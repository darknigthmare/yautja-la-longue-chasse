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2c4198b0b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talogue" sheetId="1" r:id="Rbfb27924c9214589"/>
    <x:sheet xmlns:r="http://schemas.openxmlformats.org/officeDocument/2006/relationships" name="02_Deblocages" sheetId="2" r:id="R93b06ff9a35a4f08"/>
    <x:sheet xmlns:r="http://schemas.openxmlformats.org/officeDocument/2006/relationships" name="03_Themes" sheetId="3" r:id="R1c70400369264dbd"/>
    <x:sheet xmlns:r="http://schemas.openxmlformats.org/officeDocument/2006/relationships" name="04_Jungle_1pour1" sheetId="4" r:id="R14ca2609b0ab4e8e"/>
    <x:sheet xmlns:r="http://schemas.openxmlformats.org/officeDocument/2006/relationships" name="05_Assets" sheetId="5" r:id="Rac50005823a540b6"/>
    <x:sheet xmlns:r="http://schemas.openxmlformats.org/officeDocument/2006/relationships" name="06_Roadmap" sheetId="6" r:id="Rba421fbc481c49b2"/>
    <x:sheet xmlns:r="http://schemas.openxmlformats.org/officeDocument/2006/relationships" name="07_QA" sheetId="7" r:id="Rfa42daa125ba480c"/>
    <x:sheet xmlns:r="http://schemas.openxmlformats.org/officeDocument/2006/relationships" name="08_Sources" sheetId="8" r:id="Rc2ec81b49de94724"/>
    <x:sheet xmlns:r="http://schemas.openxmlformats.org/officeDocument/2006/relationships" name="09_Lore_Equilibre" sheetId="9" r:id="Rc095c88424014287"/>
    <x:sheet xmlns:r="http://schemas.openxmlformats.org/officeDocument/2006/relationships" name="00_Resume" sheetId="10" r:id="Rb1fb7dc52491486e"/>
    <x:sheet xmlns:r="http://schemas.openxmlformats.org/officeDocument/2006/relationships" name="10_V133_Suivi" sheetId="11" r:id="R7661a99a58084e04"/>
    <x:sheet xmlns:r="http://schemas.openxmlformats.org/officeDocument/2006/relationships" name="11_V133_QA" sheetId="12" r:id="Ra8b9f71ff57140da"/>
    <x:sheet xmlns:r="http://schemas.openxmlformats.org/officeDocument/2006/relationships" name="12_V134_Etudes" sheetId="13" r:id="Rb16e0da545034bf5"/>
    <x:sheet xmlns:r="http://schemas.openxmlformats.org/officeDocument/2006/relationships" name="13_V134_Sprites" sheetId="14" r:id="R6edd9f36498744b2"/>
    <x:sheet xmlns:r="http://schemas.openxmlformats.org/officeDocument/2006/relationships" name="14_V134_QA" sheetId="15" r:id="Raed48264ecf94806"/>
    <x:sheet xmlns:r="http://schemas.openxmlformats.org/officeDocument/2006/relationships" name="15_V134_Sources" sheetId="16" r:id="Re842b866353c47ae"/>
    <x:sheet xmlns:r="http://schemas.openxmlformats.org/officeDocument/2006/relationships" name="16_V134_Bilan" sheetId="17" r:id="Rca2d40fd64d9430e"/>
    <x:sheet xmlns:r="http://schemas.openxmlformats.org/officeDocument/2006/relationships" name="17_V135_Familles" sheetId="18" r:id="R4b50d6db0e394403"/>
    <x:sheet xmlns:r="http://schemas.openxmlformats.org/officeDocument/2006/relationships" name="18_V135_QA" sheetId="19" r:id="R2f48e2d3cc164a3f"/>
    <x:sheet xmlns:r="http://schemas.openxmlformats.org/officeDocument/2006/relationships" name="19_V135_Bilan" sheetId="20" r:id="R268b10338e1e446b"/>
    <x:sheet xmlns:r="http://schemas.openxmlformats.org/officeDocument/2006/relationships" name="20_V136_Couverture" sheetId="21" r:id="R2aa72eda76124eba"/>
    <x:sheet xmlns:r="http://schemas.openxmlformats.org/officeDocument/2006/relationships" name="21_V136_219_Calques" sheetId="22" r:id="R048f6888c3624e29"/>
    <x:sheet xmlns:r="http://schemas.openxmlformats.org/officeDocument/2006/relationships" name="22_V136_Backlog" sheetId="23" r:id="Re32e1979dccb49d3"/>
    <x:sheet xmlns:r="http://schemas.openxmlformats.org/officeDocument/2006/relationships" name="23_V136_Sources" sheetId="24" r:id="R4a9cff5f2dd14b30"/>
    <x:sheet xmlns:r="http://schemas.openxmlformats.org/officeDocument/2006/relationships" name="24_V136_QA" sheetId="25" r:id="R44b101e90d524bc6"/>
    <x:sheet xmlns:r="http://schemas.openxmlformats.org/officeDocument/2006/relationships" name="25_V136_Bilan" sheetId="26" r:id="Rbb8450fdf8a641de"/>
    <x:sheet xmlns:r="http://schemas.openxmlformats.org/officeDocument/2006/relationships" name="26_V137_Couverture" sheetId="27" r:id="Rf58b4021dc2d4399"/>
    <x:sheet xmlns:r="http://schemas.openxmlformats.org/officeDocument/2006/relationships" name="27_V137_Preuve219" sheetId="28" r:id="R7d5a9a61658443da"/>
    <x:sheet xmlns:r="http://schemas.openxmlformats.org/officeDocument/2006/relationships" name="28_V137_QA_Chrome" sheetId="29" r:id="Ref63d92668694c0c"/>
    <x:sheet xmlns:r="http://schemas.openxmlformats.org/officeDocument/2006/relationships" name="29_V137_Ouverts" sheetId="30" r:id="Rac2de9138339445a"/>
    <x:sheet xmlns:r="http://schemas.openxmlformats.org/officeDocument/2006/relationships" name="30_V137_Validation54" sheetId="31" r:id="R904d300e068e4baa"/>
    <x:sheet xmlns:r="http://schemas.openxmlformats.org/officeDocument/2006/relationships" name="31_V137_Dashboard" sheetId="32" r:id="Rbc04d8b4c4d24f59"/>
    <x:sheet xmlns:r="http://schemas.openxmlformats.org/officeDocument/2006/relationships" name="32_V137_Legende" sheetId="33" r:id="R94215430ab7c4360"/>
    <x:sheet xmlns:r="http://schemas.openxmlformats.org/officeDocument/2006/relationships" name="33_V138_Acces_QA" sheetId="34" r:id="R531dcc2b0b074336"/>
    <x:sheet xmlns:r="http://schemas.openxmlformats.org/officeDocument/2006/relationships" name="34_V138_Priorites" sheetId="35" r:id="Redb5939a57614382"/>
    <x:sheet xmlns:r="http://schemas.openxmlformats.org/officeDocument/2006/relationships" name="35_V138_Synthese" sheetId="36" r:id="Rf31f9c3c1cb6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7"/>
      <x:color rgb="FFFFFFFF"/>
      <x:name val="Carlito"/>
    </x:font>
    <x:font>
      <x:sz val="10"/>
      <x:color rgb="FF172A2A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sz val="11"/>
      <x:color rgb="FF172A2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086D73"/>
      <x:name val="Carlito"/>
    </x:font>
    <x:font>
      <x:b/>
      <x:sz val="16"/>
      <x:color rgb="FFFFFFFF"/>
      <x:name val="Carlito"/>
    </x:font>
    <x:font>
      <x:i/>
      <x:sz val="11"/>
      <x:color rgb="FFA8B9BD"/>
      <x:name val="Carlito"/>
    </x:font>
    <x:font>
      <x:i/>
      <x:sz val="11"/>
      <x:color rgb="FFC77A46"/>
      <x:name val="Carlito"/>
    </x:font>
    <x:font>
      <x:b/>
      <x:sz val="15"/>
      <x:color rgb="FFEEFFFA"/>
      <x:name val="Carlito"/>
    </x:font>
    <x:font>
      <x:i/>
      <x:sz val="10"/>
      <x:color rgb="FF33565B"/>
      <x:name val="Carlito"/>
    </x:font>
    <x:font>
      <x:b/>
      <x:sz val="15"/>
      <x:color rgb="FFFFFFFF"/>
      <x:name val="Carlito"/>
    </x:font>
    <x:font>
      <x:b/>
      <x:sz val="11"/>
      <x:color rgb="FF684C19"/>
      <x:name val="Carlito"/>
    </x:font>
    <x:font>
      <x:b/>
      <x:sz val="15"/>
      <x:color rgb="FFF1FFF8"/>
      <x:name val="Carlito"/>
    </x:font>
    <x:font>
      <x:i/>
      <x:sz val="10"/>
      <x:color rgb="FF264C52"/>
      <x:name val="Carlito"/>
    </x:font>
    <x:font>
      <x:b/>
      <x:sz val="10"/>
      <x:color rgb="FFF5FCF7"/>
      <x:name val="Carlito"/>
    </x:font>
    <x:font>
      <x:b/>
      <x:sz val="11"/>
      <x:color rgb="FF684717"/>
      <x:name val="Carlito"/>
    </x:font>
    <x:font>
      <x:b/>
      <x:sz val="15"/>
      <x:color rgb="FFF5FFF7"/>
      <x:name val="Carlito"/>
    </x:font>
    <x:font>
      <x:i/>
      <x:sz val="10"/>
      <x:color rgb="FF345B5D"/>
      <x:name val="Carlito"/>
    </x:font>
    <x:font>
      <x:b/>
      <x:sz val="15"/>
      <x:color rgb="FFF5FFFA"/>
      <x:name val="Carlito"/>
    </x:font>
    <x:font>
      <x:i/>
      <x:sz val="10"/>
      <x:color rgb="FF31585D"/>
      <x:name val="Carlito"/>
    </x:font>
    <x:font>
      <x:b/>
      <x:sz val="11"/>
      <x:color rgb="FF694A20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10232A"/>
      </x:patternFill>
    </x:fill>
    <x:fill>
      <x:patternFill patternType="solid">
        <x:fgColor rgb="FFDDF1EF"/>
      </x:patternFill>
    </x:fill>
    <x:fill>
      <x:patternFill patternType="solid">
        <x:fgColor rgb="FF116466"/>
      </x:patternFill>
    </x:fill>
    <x:fill>
      <x:patternFill patternType="solid">
        <x:fgColor rgb="FF153C42"/>
      </x:patternFill>
    </x:fill>
    <x:fill>
      <x:patternFill patternType="solid">
        <x:fgColor rgb="FF112D34"/>
      </x:patternFill>
    </x:fill>
    <x:fill>
      <x:patternFill patternType="solid">
        <x:fgColor rgb="FF265B64"/>
      </x:patternFill>
    </x:fill>
    <x:fill>
      <x:patternFill patternType="solid">
        <x:fgColor rgb="FF172F2E"/>
      </x:patternFill>
    </x:fill>
    <x:fill>
      <x:patternFill patternType="solid">
        <x:fgColor rgb="FF22645D"/>
      </x:patternFill>
    </x:fill>
    <x:fill>
      <x:patternFill patternType="solid">
        <x:fgColor rgb="FF112D31"/>
      </x:patternFill>
    </x:fill>
    <x:fill>
      <x:patternFill patternType="solid">
        <x:fgColor rgb="FFE0F0EB"/>
      </x:patternFill>
    </x:fill>
    <x:fill>
      <x:patternFill patternType="solid">
        <x:fgColor rgb="FF145A5E"/>
      </x:patternFill>
    </x:fill>
    <x:fill>
      <x:patternFill patternType="solid">
        <x:fgColor rgb="FFF2E4C4"/>
      </x:patternFill>
    </x:fill>
    <x:fill>
      <x:patternFill patternType="solid">
        <x:fgColor rgb="FF102A34"/>
      </x:patternFill>
    </x:fill>
    <x:fill>
      <x:patternFill patternType="solid">
        <x:fgColor rgb="FFD9EBE8"/>
      </x:patternFill>
    </x:fill>
    <x:fill>
      <x:patternFill patternType="solid">
        <x:fgColor rgb="FF15636A"/>
      </x:patternFill>
    </x:fill>
    <x:fill>
      <x:patternFill patternType="solid">
        <x:fgColor rgb="FFF9E4BF"/>
      </x:patternFill>
    </x:fill>
    <x:fill>
      <x:patternFill patternType="solid">
        <x:fgColor rgb="FF0F2B31"/>
      </x:patternFill>
    </x:fill>
    <x:fill>
      <x:patternFill patternType="solid">
        <x:fgColor rgb="FFE4F0EC"/>
      </x:patternFill>
    </x:fill>
    <x:fill>
      <x:patternFill patternType="solid">
        <x:fgColor rgb="FF1B666A"/>
      </x:patternFill>
    </x:fill>
    <x:fill>
      <x:patternFill patternType="solid">
        <x:fgColor rgb="FF122B36"/>
      </x:patternFill>
    </x:fill>
    <x:fill>
      <x:patternFill patternType="solid">
        <x:fgColor rgb="FFE0F0EB"/>
      </x:patternFill>
    </x:fill>
    <x:fill>
      <x:patternFill patternType="solid">
        <x:fgColor rgb="FF17636A"/>
      </x:patternFill>
    </x:fill>
    <x:fill>
      <x:patternFill patternType="solid">
        <x:fgColor rgb="FFF8E6C5"/>
      </x:patternFill>
    </x:fill>
  </x:fills>
  <x:borders count="2"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7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18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wrapText="1"/>
    </x:xf>
    <x:xf numFmtId="0" fontId="19" fillId="1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21" fillId="18" borderId="0" xfId="0" applyNumberFormat="1" applyFont="1" applyFill="1" applyBorder="1"/>
    <x:xf numFmtId="0" fontId="21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22" fillId="19" borderId="0" xfId="0" applyNumberFormat="1" applyFont="1" applyFill="1" applyBorder="1"/>
    <x:xf numFmtId="0" fontId="22" fillId="19" borderId="0" xfId="0" applyNumberFormat="1" applyFont="1" applyFill="1" applyBorder="1" applyAlignment="1">
      <x:alignment wrapText="1"/>
    </x:xf>
    <x:xf numFmtId="0" fontId="22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23" fillId="21" borderId="0" xfId="0" applyNumberFormat="1" applyFont="1" applyFill="1" applyBorder="1"/>
    <x:xf numFmtId="0" fontId="23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24" fillId="22" borderId="0" xfId="0" applyNumberFormat="1" applyFont="1" applyFill="1" applyBorder="1"/>
    <x:xf numFmtId="0" fontId="24" fillId="22" borderId="0" xfId="0" applyNumberFormat="1" applyFont="1" applyFill="1" applyBorder="1" applyAlignment="1">
      <x:alignment wrapText="1"/>
    </x:xf>
    <x:xf numFmtId="0" fontId="24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5" fillId="24" borderId="0" xfId="0" applyNumberFormat="1" applyFont="1" applyFill="1" applyBorder="1"/>
    <x:xf numFmtId="0" fontId="25" fillId="2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6C410B"/>
      </x:font>
      <x:fill>
        <x:patternFill>
          <x:bgColor rgb="FFFDEBD0"/>
        </x:patternFill>
      </x:fill>
    </x:dxf>
    <x:dxf>
      <x:font>
        <x:color rgb="FF0B4C65"/>
      </x:font>
      <x:fill>
        <x:patternFill>
          <x:bgColor rgb="FFD7EEF6"/>
        </x:patternFill>
      </x:fill>
    </x:dxf>
    <x:dxf>
      <x:font>
        <x:color rgb="FF17613B"/>
      </x:font>
      <x:fill>
        <x:patternFill>
          <x:bgColor rgb="FFD7F5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77be2094a4dc2" /><Relationship Type="http://schemas.openxmlformats.org/officeDocument/2006/relationships/theme" Target="/xl/theme/theme1.xml" Id="Re17cbe6ca6994ead" /><Relationship Type="http://schemas.openxmlformats.org/officeDocument/2006/relationships/sharedStrings" Target="/xl/sharedStrings.xml" Id="Rc76a6b1ad3954564" /><Relationship Type="http://schemas.openxmlformats.org/officeDocument/2006/relationships/worksheet" Target="/xl/worksheets/sheet1.xml" Id="Rbfb27924c9214589" /><Relationship Type="http://schemas.openxmlformats.org/officeDocument/2006/relationships/worksheet" Target="/xl/worksheets/sheet2.xml" Id="R93b06ff9a35a4f08" /><Relationship Type="http://schemas.openxmlformats.org/officeDocument/2006/relationships/worksheet" Target="/xl/worksheets/sheet3.xml" Id="R1c70400369264dbd" /><Relationship Type="http://schemas.openxmlformats.org/officeDocument/2006/relationships/worksheet" Target="/xl/worksheets/sheet4.xml" Id="R14ca2609b0ab4e8e" /><Relationship Type="http://schemas.openxmlformats.org/officeDocument/2006/relationships/worksheet" Target="/xl/worksheets/sheet5.xml" Id="Rac50005823a540b6" /><Relationship Type="http://schemas.openxmlformats.org/officeDocument/2006/relationships/worksheet" Target="/xl/worksheets/sheet6.xml" Id="Rba421fbc481c49b2" /><Relationship Type="http://schemas.openxmlformats.org/officeDocument/2006/relationships/worksheet" Target="/xl/worksheets/sheet7.xml" Id="Rfa42daa125ba480c" /><Relationship Type="http://schemas.openxmlformats.org/officeDocument/2006/relationships/worksheet" Target="/xl/worksheets/sheet8.xml" Id="Rc2ec81b49de94724" /><Relationship Type="http://schemas.openxmlformats.org/officeDocument/2006/relationships/worksheet" Target="/xl/worksheets/sheet9.xml" Id="Rc095c88424014287" /><Relationship Type="http://schemas.openxmlformats.org/officeDocument/2006/relationships/worksheet" Target="/xl/worksheets/sheet10.xml" Id="Rb1fb7dc52491486e" /><Relationship Type="http://schemas.openxmlformats.org/officeDocument/2006/relationships/worksheet" Target="/xl/worksheets/sheet11.xml" Id="R7661a99a58084e04" /><Relationship Type="http://schemas.openxmlformats.org/officeDocument/2006/relationships/worksheet" Target="/xl/worksheets/sheet12.xml" Id="Ra8b9f71ff57140da" /><Relationship Type="http://schemas.openxmlformats.org/officeDocument/2006/relationships/worksheet" Target="/xl/worksheets/sheet13.xml" Id="Rb16e0da545034bf5" /><Relationship Type="http://schemas.openxmlformats.org/officeDocument/2006/relationships/worksheet" Target="/xl/worksheets/sheet14.xml" Id="R6edd9f36498744b2" /><Relationship Type="http://schemas.openxmlformats.org/officeDocument/2006/relationships/worksheet" Target="/xl/worksheets/sheet15.xml" Id="Raed48264ecf94806" /><Relationship Type="http://schemas.openxmlformats.org/officeDocument/2006/relationships/worksheet" Target="/xl/worksheets/sheet16.xml" Id="Re842b866353c47ae" /><Relationship Type="http://schemas.openxmlformats.org/officeDocument/2006/relationships/worksheet" Target="/xl/worksheets/sheet17.xml" Id="Rca2d40fd64d9430e" /><Relationship Type="http://schemas.openxmlformats.org/officeDocument/2006/relationships/worksheet" Target="/xl/worksheets/sheet18.xml" Id="R4b50d6db0e394403" /><Relationship Type="http://schemas.openxmlformats.org/officeDocument/2006/relationships/worksheet" Target="/xl/worksheets/sheet19.xml" Id="R2f48e2d3cc164a3f" /><Relationship Type="http://schemas.openxmlformats.org/officeDocument/2006/relationships/worksheet" Target="/xl/worksheets/sheet20.xml" Id="R268b10338e1e446b" /><Relationship Type="http://schemas.openxmlformats.org/officeDocument/2006/relationships/worksheet" Target="/xl/worksheets/sheet21.xml" Id="R2aa72eda76124eba" /><Relationship Type="http://schemas.openxmlformats.org/officeDocument/2006/relationships/worksheet" Target="/xl/worksheets/sheet22.xml" Id="R048f6888c3624e29" /><Relationship Type="http://schemas.openxmlformats.org/officeDocument/2006/relationships/worksheet" Target="/xl/worksheets/sheet23.xml" Id="Re32e1979dccb49d3" /><Relationship Type="http://schemas.openxmlformats.org/officeDocument/2006/relationships/worksheet" Target="/xl/worksheets/sheet24.xml" Id="R4a9cff5f2dd14b30" /><Relationship Type="http://schemas.openxmlformats.org/officeDocument/2006/relationships/worksheet" Target="/xl/worksheets/sheet25.xml" Id="R44b101e90d524bc6" /><Relationship Type="http://schemas.openxmlformats.org/officeDocument/2006/relationships/worksheet" Target="/xl/worksheets/sheet26.xml" Id="Rbb8450fdf8a641de" /><Relationship Type="http://schemas.openxmlformats.org/officeDocument/2006/relationships/worksheet" Target="/xl/worksheets/sheet27.xml" Id="Rf58b4021dc2d4399" /><Relationship Type="http://schemas.openxmlformats.org/officeDocument/2006/relationships/worksheet" Target="/xl/worksheets/sheet28.xml" Id="R7d5a9a61658443da" /><Relationship Type="http://schemas.openxmlformats.org/officeDocument/2006/relationships/worksheet" Target="/xl/worksheets/sheet29.xml" Id="Ref63d92668694c0c" /><Relationship Type="http://schemas.openxmlformats.org/officeDocument/2006/relationships/worksheet" Target="/xl/worksheets/sheet30.xml" Id="Rac2de9138339445a" /><Relationship Type="http://schemas.openxmlformats.org/officeDocument/2006/relationships/worksheet" Target="/xl/worksheets/sheet31.xml" Id="R904d300e068e4baa" /><Relationship Type="http://schemas.openxmlformats.org/officeDocument/2006/relationships/worksheet" Target="/xl/worksheets/sheet32.xml" Id="Rbc04d8b4c4d24f59" /><Relationship Type="http://schemas.openxmlformats.org/officeDocument/2006/relationships/worksheet" Target="/xl/worksheets/sheet33.xml" Id="R94215430ab7c4360" /><Relationship Type="http://schemas.openxmlformats.org/officeDocument/2006/relationships/worksheet" Target="/xl/worksheets/sheet34.xml" Id="R531dcc2b0b074336" /><Relationship Type="http://schemas.openxmlformats.org/officeDocument/2006/relationships/worksheet" Target="/xl/worksheets/sheet35.xml" Id="Redb5939a57614382" /><Relationship Type="http://schemas.openxmlformats.org/officeDocument/2006/relationships/worksheet" Target="/xl/worksheets/sheet36.xml" Id="Rf31f9c3c1cb640ef" /></Relationships>
</file>

<file path=xl/tables/table1.xml><?xml version="1.0" encoding="utf-8"?>
<x:table xmlns:x="http://schemas.openxmlformats.org/spreadsheetml/2006/main" id="1" name="GauntletsCatalogTable" displayName="GauntletsCatalogTable" ref="A4:T58" headerRowCount="1" totalsRowCount="0" totalsRowShown="0">
  <x:tableColumns count="20">
    <x:tableColumn id="1" name="ID"/>
    <x:tableColumn id="2" name="Gauntlet / propriétaire"/>
    <x:tableColumn id="3" name="Média"/>
    <x:tableColumn id="4" name="Source"/>
    <x:tableColumn id="5" name="Preuve du poignet"/>
    <x:tableColumn id="6" name="Fiabilité"/>
    <x:tableColumn id="7" name="Fidélité 1:1"/>
    <x:tableColumn id="8" name="Déblocage conçu"/>
    <x:tableColumn id="9" name="État déblocage"/>
    <x:tableColumn id="10" name="Thème"/>
    <x:tableColumn id="11" name="Couleur HDR"/>
    <x:tableColumn id="12" name="Lecture HUD (B)"/>
    <x:tableColumn id="13" name="Signature audio prévue"/>
    <x:tableColumn id="14" name="Animation prévue"/>
    <x:tableColumn id="15" name="Brief visuel"/>
    <x:tableColumn id="16" name="URL de référence"/>
    <x:tableColumn id="17" name="URL complémentaire"/>
    <x:tableColumn id="18" name="Dossier d'assets cible"/>
    <x:tableColumn id="19" name="Priorité"/>
    <x:tableColumn id="20" name="État d'intég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locksV132Table" displayName="UnlocksV132Table" ref="A4:J58" headerRowCount="1" totalsRowCount="0" totalsRowShown="0">
  <x:tableColumns count="10">
    <x:tableColumn id="1" name="ID"/>
    <x:tableColumn id="2" name="Modèle"/>
    <x:tableColumn id="3" name="Condition"/>
    <x:tableColumn id="4" name="Signal réel à écouter"/>
    <x:tableColumn id="5" name="Etat code"/>
    <x:tableColumn id="6" name="Justification lore-friendly"/>
    <x:tableColumn id="7" name="Lieu d'obtention prévu"/>
    <x:tableColumn id="8" name="Effet sur jeu"/>
    <x:tableColumn id="9" name="Testable actuellement"/>
    <x:tableColumn id="10" name="Réfé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emeProfilesTable" displayName="ThemeProfilesTable" ref="A4:L14" headerRowCount="1" totalsRowCount="0" totalsRowShown="0">
  <x:tableColumns count="12">
    <x:tableColumn id="1" name="Thème"/>
    <x:tableColumn id="2" name="Modèles"/>
    <x:tableColumn id="3" name="Accent"/>
    <x:tableColumn id="4" name="Secondaire"/>
    <x:tableColumn id="5" name="Glyphes"/>
    <x:tableColumn id="6" name="Scan"/>
    <x:tableColumn id="7" name="Ouverture"/>
    <x:tableColumn id="8" name="Signature sonore"/>
    <x:tableColumn id="9" name="Impact gameplay"/>
    <x:tableColumn id="10" name="Cible audio"/>
    <x:tableColumn id="11" name="Etat V132"/>
    <x:tableColumn id="12" name="Q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ungleOneToOneTable" displayName="JungleOneToOneTable" ref="A4:I31" headerRowCount="1" totalsRowCount="0" totalsRowShown="0">
  <x:tableColumns count="9">
    <x:tableColumn id="1" name="Test"/>
    <x:tableColumn id="2" name="Domaine"/>
    <x:tableColumn id="3" name="Objet à reproduire"/>
    <x:tableColumn id="4" name="Critère observable"/>
    <x:tableColumn id="5" name="Source prévue"/>
    <x:tableColumn id="6" name="Mesure / capture"/>
    <x:tableColumn id="7" name="Priorité"/>
    <x:tableColumn id="8" name="Validation"/>
    <x:tableColumn id="9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untletAssetMatrixTable" displayName="GauntletAssetMatrixTable" ref="A4:K544" headerRowCount="1" totalsRowCount="0" totalsRowShown="0">
  <x:tableColumns count="11">
    <x:tableColumn id="1" name="Modèle"/>
    <x:tableColumn id="2" name="Asset ID"/>
    <x:tableColumn id="3" name="Pièce indépendante"/>
    <x:tableColumn id="4" name="But"/>
    <x:tableColumn id="5" name="Priorité"/>
    <x:tableColumn id="6" name="État"/>
    <x:tableColumn id="7" name="Estimation h"/>
    <x:tableColumn id="8" name="Heures faites"/>
    <x:tableColumn id="9" name="Cible PNG/manifest"/>
    <x:tableColumn id="10" name="Source"/>
    <x:tableColumn id="11" name="Contrô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untletRoadmapTable" displayName="GauntletRoadmapTable" ref="A4:L74" headerRowCount="1" totalsRowCount="0" totalsRowShown="0">
  <x:tableColumns count="12">
    <x:tableColumn id="1" name="ID"/>
    <x:tableColumn id="2" name="Domaine"/>
    <x:tableColumn id="3" name="Tâche"/>
    <x:tableColumn id="4" name="Critère d'acceptation"/>
    <x:tableColumn id="5" name="Prio"/>
    <x:tableColumn id="6" name="Discipline"/>
    <x:tableColumn id="7" name="État"/>
    <x:tableColumn id="8" name="Estimation h"/>
    <x:tableColumn id="9" name="Réalisé h"/>
    <x:tableColumn id="10" name="Branche / PR"/>
    <x:tableColumn id="11" name="Code existant"/>
    <x:tableColumn id="12" name="Réser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untletQATable" displayName="GauntletQATable" ref="A4:I51" headerRowCount="1" totalsRowCount="0" totalsRowShown="0">
  <x:tableColumns count="9">
    <x:tableColumn id="1" name="Test"/>
    <x:tableColumn id="2" name="Famille"/>
    <x:tableColumn id="3" name="Scénario"/>
    <x:tableColumn id="4" name="Résultat attendu"/>
    <x:tableColumn id="5" name="Preuve exigée"/>
    <x:tableColumn id="6" name="Type"/>
    <x:tableColumn id="7" name="État"/>
    <x:tableColumn id="8" name="Environnement"/>
    <x:tableColumn id="9" name="Lien preu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untletSourcesTable" displayName="GauntletSourcesTable" ref="A4:G24" headerRowCount="1" totalsRowCount="0" totalsRowShown="0">
  <x:tableColumns count="7">
    <x:tableColumn id="1" name="ID"/>
    <x:tableColumn id="2" name="Titre"/>
    <x:tableColumn id="3" name="Nature"/>
    <x:tableColumn id="4" name="URL"/>
    <x:tableColumn id="5" name="Ce que cela confirme"/>
    <x:tableColumn id="6" name="Confiance"/>
    <x:tableColumn id="7" name="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untletLoreBalanceTable" displayName="GauntletLoreBalanceTable" ref="A4:E24" headerRowCount="1" totalsRowCount="0" totalsRowShown="0">
  <x:tableColumns count="5">
    <x:tableColumn id="1" name="ID"/>
    <x:tableColumn id="2" name="Catégorie"/>
    <x:tableColumn id="3" name="Règle"/>
    <x:tableColumn id="4" name="Application en jeu"/>
    <x:tableColumn id="5" name="Preuve / contrô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0611464bb24d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a33344928949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9116c43da348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4ca3ee9c0443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5a3de2391284f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d57d58613245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8f12ec978f040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41405c74c3b45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b4e5758769c45e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15" hidden="0" customWidth="1"/>
    <x:col min="4" max="4" width="12" hidden="0" customWidth="1"/>
    <x:col min="5" max="5" width="25" hidden="0" customWidth="1"/>
    <x:col min="6" max="6" width="26" hidden="0" customWidth="1"/>
    <x:col min="7" max="7" width="19" hidden="0" customWidth="1"/>
    <x:col min="8" max="8" width="28" hidden="0" customWidth="1"/>
    <x:col min="9" max="9" width="28" hidden="0" customWidth="1"/>
    <x:col min="10" max="10" width="13" hidden="0" customWidth="1"/>
    <x:col min="11" max="11" width="15" hidden="0" customWidth="1"/>
    <x:col min="12" max="12" width="29" hidden="0" customWidth="1"/>
    <x:col min="13" max="13" width="29" hidden="0" customWidth="1"/>
    <x:col min="14" max="14" width="25" hidden="0" customWidth="1"/>
    <x:col min="15" max="15" width="38" hidden="0" customWidth="1"/>
    <x:col min="16" max="16" width="39" hidden="0" customWidth="1"/>
    <x:col min="17" max="17" width="39" hidden="0" customWidth="1"/>
    <x:col min="18" max="18" width="36" hidden="0" customWidth="1"/>
    <x:col min="19" max="19" width="12" hidden="0" customWidth="1"/>
    <x:col min="20" max="20" width="37" hidden="0" customWidth="1"/>
  </x:cols>
  <x:sheetData>
    <x:row r="1" ht="38" customHeight="1">
      <x:c r="A1" s="4" t="str">
        <x:v>ARSENAL YAUTJA · V132 / 54 modèles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2" customHeight="1">
      <x:c r="A2" s="10" t="str">
        <x:v>Catalogue de production : propriétaire canonique ≠ gauntlet individuel prouvé. Toutes les variantes à référence insuffisante restent des propositions artistiques.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29" customHeight="1">
      <x:c r="A4" s="17" t="str">
        <x:v>ID</x:v>
      </x:c>
      <x:c r="B4" s="17" t="str">
        <x:v>Gauntlet / propriétaire</x:v>
      </x:c>
      <x:c r="C4" s="17" t="str">
        <x:v>Média</x:v>
      </x:c>
      <x:c r="D4" s="17" t="str">
        <x:v>Source</x:v>
      </x:c>
      <x:c r="E4" s="17" t="str">
        <x:v>Preuve du poignet</x:v>
      </x:c>
      <x:c r="F4" s="17" t="str">
        <x:v>Fiabilité</x:v>
      </x:c>
      <x:c r="G4" s="17" t="str">
        <x:v>Fidélité 1:1</x:v>
      </x:c>
      <x:c r="H4" s="17" t="str">
        <x:v>Déblocage conçu</x:v>
      </x:c>
      <x:c r="I4" s="17" t="str">
        <x:v>État déblocage</x:v>
      </x:c>
      <x:c r="J4" s="17" t="str">
        <x:v>Thème</x:v>
      </x:c>
      <x:c r="K4" s="17" t="str">
        <x:v>Couleur HDR</x:v>
      </x:c>
      <x:c r="L4" s="17" t="str">
        <x:v>Lecture HUD (B)</x:v>
      </x:c>
      <x:c r="M4" s="17" t="str">
        <x:v>Signature audio prévue</x:v>
      </x:c>
      <x:c r="N4" s="17" t="str">
        <x:v>Animation prévue</x:v>
      </x:c>
      <x:c r="O4" s="17" t="str">
        <x:v>Brief visuel</x:v>
      </x:c>
      <x:c r="P4" s="17" t="str">
        <x:v>URL de référence</x:v>
      </x:c>
      <x:c r="Q4" s="17" t="str">
        <x:v>URL complémentaire</x:v>
      </x:c>
      <x:c r="R4" s="17" t="str">
        <x:v>Dossier d'assets cible</x:v>
      </x:c>
      <x:c r="S4" s="17" t="str">
        <x:v>Priorité</x:v>
      </x:c>
      <x:c r="T4" s="17" t="str">
        <x:v>État d'intégration</x:v>
      </x:c>
    </x:row>
    <x:row r="5" ht="31" customHeight="1">
      <x:c r="A5" s="22" t="str">
        <x:v>jungle-hunter</x:v>
      </x:c>
      <x:c r="B5" s="22" t="str">
        <x:v>Jungle Hunter · 1987</x:v>
      </x:c>
      <x:c r="C5" s="22" t="str">
        <x:v>Cinéma</x:v>
      </x:c>
      <x:c r="D5" s="22" t="str">
        <x:v>P87</x:v>
      </x:c>
      <x:c r="E5" s="24" t="str">
        <x:v>Gros plan du dispositif</x:v>
      </x:c>
      <x:c r="F5" s="24" t="str">
        <x:v>A · accessoire rapproché</x:v>
      </x:c>
      <x:c r="G5" s="24" t="str">
        <x:v>NON VALIDÉ 1:1</x:v>
      </x:c>
      <x:c r="H5" s="24" t="str">
        <x:v>Modèle initial</x:v>
      </x:c>
      <x:c r="I5" s="24" t="str">
        <x:v>Disponible de base</x:v>
      </x:c>
      <x:c r="J5" s="22" t="str">
        <x:v>classic</x:v>
      </x:c>
      <x:c r="K5" s="22" t="str">
        <x:v>#71E4DC</x:v>
      </x:c>
      <x:c r="L5" s="22" t="str">
        <x:v>Observations et rapports déjà connus</x:v>
      </x:c>
      <x:c r="M5" s="22" t="str">
        <x:v>Impulsions graves en quatre temps</x:v>
      </x:c>
      <x:c r="N5" s="22" t="str">
        <x:v>Capot et faisceau ascendant</x:v>
      </x:c>
      <x:c r="O5" s="24" t="str">
        <x:v>Boîtier gauche articulé, glyphes rouges segmentés, boîtier rugueux, charnières, vis, plaques et bracelet.</x:v>
      </x:c>
      <x:c r="P5" s="24" t="str">
        <x:v>https://store.necaonline.com/products/predator-ultimate-jungle-hunter-7-scale-action-figure</x:v>
      </x:c>
      <x:c r="Q5" s="24" t="str">
        <x:v>https://www.avpcentral.com/predator-wrist-gauntlet</x:v>
      </x:c>
      <x:c r="R5" s="22" t="str">
        <x:v>public/game/assets/v134/gauntlets/jungle-hunter/</x:v>
      </x:c>
      <x:c r="S5" s="22" t="str">
        <x:v>P0</x:v>
      </x:c>
      <x:c r="T5" s="22" t="str">
        <x:v>7 calques SVG, PNG CI, hologramme + armurerie ; 1:1 non validé</x:v>
      </x:c>
    </x:row>
    <x:row r="6" ht="31" customHeight="1">
      <x:c r="A6" s="22" t="str">
        <x:v>city-hunter</x:v>
      </x:c>
      <x:c r="B6" s="22" t="str">
        <x:v>City Hunter · 1990</x:v>
      </x:c>
      <x:c r="C6" s="22" t="str">
        <x:v>Cinéma</x:v>
      </x:c>
      <x:c r="D6" s="22" t="str">
        <x:v>P90</x:v>
      </x:c>
      <x:c r="E6" s="24" t="str">
        <x:v>Gros plan du dispositif</x:v>
      </x:c>
      <x:c r="F6" s="24" t="str">
        <x:v>A · accessoire rapproché</x:v>
      </x:c>
      <x:c r="G6" s="24" t="str">
        <x:v>NON VALIDÉ 1:1</x:v>
      </x:c>
      <x:c r="H6" s="24" t="str">
        <x:v>Atelier · rang blooded</x:v>
      </x:c>
      <x:c r="I6" s="24" t="str">
        <x:v>Disponible si rang atteint</x:v>
      </x:c>
      <x:c r="J6" s="22" t="str">
        <x:v>urban</x:v>
      </x:c>
      <x:c r="K6" s="22" t="str">
        <x:v>#A2E0E8</x:v>
      </x:c>
      <x:c r="L6" s="22" t="str">
        <x:v>Passages, routes et itinéraires connus</x:v>
      </x:c>
      <x:c r="M6" s="22" t="str">
        <x:v>Bips doubles rapides</x:v>
      </x:c>
      <x:c r="N6" s="22" t="str">
        <x:v>Déploiement compact latéral</x:v>
      </x:c>
      <x:c r="O6" s="24" t="str">
        <x:v>Coque urbaine métallique provisoire ; plan dédié requis</x:v>
      </x:c>
      <x:c r="P6" s="24" t="str">
        <x:v>https://propstoreauction.com/lot-details/index/catalog/496/lot/193088/</x:v>
      </x:c>
      <x:c r="Q6" s="24" t="str">
        <x:v>https://www.thehunterslair.com/gallery/image/63-bomb-gauntletjpg/</x:v>
      </x:c>
      <x:c r="R6" s="22" t="str">
        <x:v>public/game/assets/v135/gauntlets/city-hunter/</x:v>
      </x:c>
      <x:c r="S6" s="22" t="str">
        <x:v>P1</x:v>
      </x:c>
      <x:c r="T6" s="22" t="str">
        <x:v>4 calques source-guidés, PNG CI, hologramme + armurerie ; 1:1 non validé</x:v>
      </x:c>
    </x:row>
    <x:row r="7" ht="31" customHeight="1">
      <x:c r="A7" s="22" t="str">
        <x:v>greyback</x:v>
      </x:c>
      <x:c r="B7" s="22" t="str">
        <x:v>Greyback / Elder · 1990</x:v>
      </x:c>
      <x:c r="C7" s="22" t="str">
        <x:v>Cinéma</x:v>
      </x:c>
      <x:c r="D7" s="22" t="str">
        <x:v>P90</x:v>
      </x:c>
      <x:c r="E7" s="24" t="str">
        <x:v>Personnage identifiable</x:v>
      </x:c>
      <x:c r="F7" s="24" t="str">
        <x:v>C · personnage ou classe seulement</x:v>
      </x:c>
      <x:c r="G7" s="24" t="str">
        <x:v>NON VALIDÉ 1:1</x:v>
      </x:c>
      <x:c r="H7" s="24" t="str">
        <x:v>Atelier · rang elder</x:v>
      </x:c>
      <x:c r="I7" s="24" t="str">
        <x:v>Disponible si rang atteint</x:v>
      </x:c>
      <x:c r="J7" s="22" t="str">
        <x:v>elder</x:v>
      </x:c>
      <x:c r="K7" s="22" t="str">
        <x:v>#E2C99C</x:v>
      </x:c>
      <x:c r="L7" s="22" t="str">
        <x:v>Ordres préparés et tour actuel</x:v>
      </x:c>
      <x:c r="M7" s="22" t="str">
        <x:v>Résonance basse, écho</x:v>
      </x:c>
      <x:c r="N7" s="22" t="str">
        <x:v>Panneaux cérémoniels</x:v>
      </x:c>
      <x:c r="O7" s="24" t="str">
        <x:v>Patine ancienne de démonstration ; aucune spécification canon inventée</x:v>
      </x:c>
      <x:c r="P7" s="24" t="str">
        <x:v>https://www.20thcenturystudios.com/movies/predator-2</x:v>
      </x:c>
      <x:c r="Q7" s="24"/>
      <x:c r="R7" s="22" t="str">
        <x:v>public/game/assets/v136/gauntlets/greyback/</x:v>
      </x:c>
      <x:c r="S7" s="22" t="str">
        <x:v>P1</x:v>
      </x:c>
      <x:c r="T7" s="22" t="str">
        <x:v>4 calques ORIGINAUX distincts, PNG CI ; silhouette canonique et 1:1 non réalisés</x:v>
      </x:c>
    </x:row>
    <x:row r="8" ht="31" customHeight="1">
      <x:c r="A8" s="22" t="str">
        <x:v>lost-boar</x:v>
      </x:c>
      <x:c r="B8" s="22" t="str">
        <x:v>Boar · Lost Tribe</x:v>
      </x:c>
      <x:c r="C8" s="22" t="str">
        <x:v>Cinéma</x:v>
      </x:c>
      <x:c r="D8" s="22" t="str">
        <x:v>LOST</x:v>
      </x:c>
      <x:c r="E8" s="24" t="str">
        <x:v>Personnage identifiable</x:v>
      </x:c>
      <x:c r="F8" s="24" t="str">
        <x:v>C · personnage ou classe seulement</x:v>
      </x:c>
      <x:c r="G8" s="24" t="str">
        <x:v>NON VALIDÉ 1:1</x:v>
      </x:c>
      <x:c r="H8" s="24" t="str">
        <x:v>Quête / défi réservé (non connecté)</x:v>
      </x:c>
      <x:c r="I8" s="24" t="str">
        <x:v>Non encore débloquable</x:v>
      </x:c>
      <x:c r="J8" s="22" t="str">
        <x:v>bronze</x:v>
      </x:c>
      <x:c r="K8" s="22" t="str">
        <x:v>#D7A778</x:v>
      </x:c>
      <x:c r="L8" s="22" t="str">
        <x:v>Couverture des lignes de ravitaillement</x:v>
      </x:c>
      <x:c r="M8" s="22" t="str">
        <x:v>Impact métallique bref</x:v>
      </x:c>
      <x:c r="N8" s="22" t="str">
        <x:v>Segments métalliques</x:v>
      </x:c>
      <x:c r="O8" s="24" t="str">
        <x:v>Cuivre et marques de surface conceptuels en attente de vues</x:v>
      </x:c>
      <x:c r="P8" s="24" t="str">
        <x:v>https://store.necaonline.com/blogs/news/predators-introducing-the-lost-tribe-from-our-series-6-action-figures</x:v>
      </x:c>
      <x:c r="Q8" s="24"/>
      <x:c r="R8" s="22" t="str">
        <x:v>public/game/assets/v136/gauntlets/lost-boar/</x:v>
      </x:c>
      <x:c r="S8" s="22" t="str">
        <x:v>P2</x:v>
      </x:c>
      <x:c r="T8" s="22" t="str">
        <x:v>4 calques ORIGINAUX distincts, PNG CI ; silhouette canonique et 1:1 non réalisés</x:v>
      </x:c>
    </x:row>
    <x:row r="9" ht="31" customHeight="1">
      <x:c r="A9" s="22" t="str">
        <x:v>lost-shaman</x:v>
      </x:c>
      <x:c r="B9" s="22" t="str">
        <x:v>Shaman · Lost Tribe</x:v>
      </x:c>
      <x:c r="C9" s="22" t="str">
        <x:v>Cinéma</x:v>
      </x:c>
      <x:c r="D9" s="22" t="str">
        <x:v>LOST</x:v>
      </x:c>
      <x:c r="E9" s="24" t="str">
        <x:v>Personnage identifiable</x:v>
      </x:c>
      <x:c r="F9" s="24" t="str">
        <x:v>C · personnage ou classe seulement</x:v>
      </x:c>
      <x:c r="G9" s="24" t="str">
        <x:v>NON VALIDÉ 1:1</x:v>
      </x:c>
      <x:c r="H9" s="24" t="str">
        <x:v>Quête / défi réservé (non connecté)</x:v>
      </x:c>
      <x:c r="I9" s="24" t="str">
        <x:v>Non encore débloquable</x:v>
      </x:c>
      <x:c r="J9" s="22" t="str">
        <x:v>elder</x:v>
      </x:c>
      <x:c r="K9" s="22" t="str">
        <x:v>#E2C99C</x:v>
      </x:c>
      <x:c r="L9" s="22" t="str">
        <x:v>Observations et rapports déjà connus</x:v>
      </x:c>
      <x:c r="M9" s="22" t="str">
        <x:v>Résonance basse, écho</x:v>
      </x:c>
      <x:c r="N9" s="22" t="str">
        <x:v>Panneaux cérémoniels</x:v>
      </x:c>
      <x:c r="O9" s="24" t="str">
        <x:v>Patine ancienne de démonstration ; aucune spécification canon inventée</x:v>
      </x:c>
      <x:c r="P9" s="24" t="str">
        <x:v>https://store.necaonline.com/blogs/news/predators-introducing-the-lost-tribe-from-our-series-6-action-figures</x:v>
      </x:c>
      <x:c r="Q9" s="24"/>
      <x:c r="R9" s="22" t="str">
        <x:v>public/game/assets/v136/gauntlets/lost-shaman/</x:v>
      </x:c>
      <x:c r="S9" s="22" t="str">
        <x:v>P2</x:v>
      </x:c>
      <x:c r="T9" s="22" t="str">
        <x:v>4 calques ORIGINAUX distincts, PNG CI ; silhouette canonique et 1:1 non réalisés</x:v>
      </x:c>
    </x:row>
    <x:row r="10" ht="31" customHeight="1">
      <x:c r="A10" s="22" t="str">
        <x:v>lost-guardian</x:v>
      </x:c>
      <x:c r="B10" s="22" t="str">
        <x:v>Guardian · Lost Tribe</x:v>
      </x:c>
      <x:c r="C10" s="22" t="str">
        <x:v>Cinéma</x:v>
      </x:c>
      <x:c r="D10" s="22" t="str">
        <x:v>LOST</x:v>
      </x:c>
      <x:c r="E10" s="24" t="str">
        <x:v>Personnage identifiable</x:v>
      </x:c>
      <x:c r="F10" s="24" t="str">
        <x:v>C · personnage ou classe seulement</x:v>
      </x:c>
      <x:c r="G10" s="24" t="str">
        <x:v>NON VALIDÉ 1:1</x:v>
      </x:c>
      <x:c r="H10" s="24" t="str">
        <x:v>Quête / défi réservé (non connecté)</x:v>
      </x:c>
      <x:c r="I10" s="24" t="str">
        <x:v>Non encore débloquable</x:v>
      </x:c>
      <x:c r="J10" s="22" t="str">
        <x:v>urban</x:v>
      </x:c>
      <x:c r="K10" s="22" t="str">
        <x:v>#A2E0E8</x:v>
      </x:c>
      <x:c r="L10" s="22" t="str">
        <x:v>Ordres préparés et tour actuel</x:v>
      </x:c>
      <x:c r="M10" s="22" t="str">
        <x:v>Bips doubles rapides</x:v>
      </x:c>
      <x:c r="N10" s="22" t="str">
        <x:v>Déploiement compact latéral</x:v>
      </x:c>
      <x:c r="O10" s="24" t="str">
        <x:v>Coque urbaine métallique provisoire ; plan dédié requis</x:v>
      </x:c>
      <x:c r="P10" s="24" t="str">
        <x:v>https://store.necaonline.com/blogs/news/predators-introducing-the-lost-tribe-from-our-series-6-action-figures</x:v>
      </x:c>
      <x:c r="Q10" s="24"/>
      <x:c r="R10" s="22" t="str">
        <x:v>public/game/assets/v136/gauntlets/lost-guardian/</x:v>
      </x:c>
      <x:c r="S10" s="22" t="str">
        <x:v>P2</x:v>
      </x:c>
      <x:c r="T10" s="22" t="str">
        <x:v>4 calques ORIGINAUX distincts, PNG CI ; silhouette canonique et 1:1 non réalisés</x:v>
      </x:c>
    </x:row>
    <x:row r="11" ht="31" customHeight="1">
      <x:c r="A11" s="22" t="str">
        <x:v>lost-stalker</x:v>
      </x:c>
      <x:c r="B11" s="22" t="str">
        <x:v>Stalker · Lost Tribe</x:v>
      </x:c>
      <x:c r="C11" s="22" t="str">
        <x:v>Cinéma</x:v>
      </x:c>
      <x:c r="D11" s="22" t="str">
        <x:v>LOST</x:v>
      </x:c>
      <x:c r="E11" s="24" t="str">
        <x:v>Personnage identifiable</x:v>
      </x:c>
      <x:c r="F11" s="24" t="str">
        <x:v>C · personnage ou classe seulement</x:v>
      </x:c>
      <x:c r="G11" s="24" t="str">
        <x:v>NON VALIDÉ 1:1</x:v>
      </x:c>
      <x:c r="H11" s="24" t="str">
        <x:v>Quête / défi réservé (non connecté)</x:v>
      </x:c>
      <x:c r="I11" s="24" t="str">
        <x:v>Non encore débloquable</x:v>
      </x:c>
      <x:c r="J11" s="22" t="str">
        <x:v>stealth</x:v>
      </x:c>
      <x:c r="K11" s="22" t="str">
        <x:v>#7BB2B0</x:v>
      </x:c>
      <x:c r="L11" s="22" t="str">
        <x:v>Observations et rapports déjà connus</x:v>
      </x:c>
      <x:c r="M11" s="22" t="str">
        <x:v>Bip discret étouffé</x:v>
      </x:c>
      <x:c r="N11" s="22" t="str">
        <x:v>Apparition différée</x:v>
      </x:c>
      <x:c r="O11" s="24" t="str">
        <x:v>Silhouette compacte conceptuelle ; détails poignet non confirmés</x:v>
      </x:c>
      <x:c r="P11" s="24" t="str">
        <x:v>https://store.necaonline.com/blogs/news/predators-introducing-the-lost-tribe-from-our-series-6-action-figures</x:v>
      </x:c>
      <x:c r="Q11" s="24"/>
      <x:c r="R11" s="22" t="str">
        <x:v>public/game/assets/v136/gauntlets/lost-stalker/</x:v>
      </x:c>
      <x:c r="S11" s="22" t="str">
        <x:v>P2</x:v>
      </x:c>
      <x:c r="T11" s="22" t="str">
        <x:v>4 calques ORIGINAUX distincts, PNG CI ; silhouette canonique et 1:1 non réalisés</x:v>
      </x:c>
    </x:row>
    <x:row r="12" ht="31" customHeight="1">
      <x:c r="A12" s="22" t="str">
        <x:v>lost-snake</x:v>
      </x:c>
      <x:c r="B12" s="22" t="str">
        <x:v>Snake · Lost Tribe</x:v>
      </x:c>
      <x:c r="C12" s="22" t="str">
        <x:v>Cinéma</x:v>
      </x:c>
      <x:c r="D12" s="22" t="str">
        <x:v>LOST</x:v>
      </x:c>
      <x:c r="E12" s="24" t="str">
        <x:v>Personnage identifiable</x:v>
      </x:c>
      <x:c r="F12" s="24" t="str">
        <x:v>C · personnage ou classe seulement</x:v>
      </x:c>
      <x:c r="G12" s="24" t="str">
        <x:v>NON VALIDÉ 1:1</x:v>
      </x:c>
      <x:c r="H12" s="24" t="str">
        <x:v>Quête / défi réservé (non connecté)</x:v>
      </x:c>
      <x:c r="I12" s="24" t="str">
        <x:v>Non encore débloquable</x:v>
      </x:c>
      <x:c r="J12" s="22" t="str">
        <x:v>stealth</x:v>
      </x:c>
      <x:c r="K12" s="22" t="str">
        <x:v>#7BB2B0</x:v>
      </x:c>
      <x:c r="L12" s="22" t="str">
        <x:v>Passages, routes et itinéraires connus</x:v>
      </x:c>
      <x:c r="M12" s="22" t="str">
        <x:v>Bip discret étouffé</x:v>
      </x:c>
      <x:c r="N12" s="22" t="str">
        <x:v>Apparition différée</x:v>
      </x:c>
      <x:c r="O12" s="24" t="str">
        <x:v>Silhouette compacte conceptuelle ; détails poignet non confirmés</x:v>
      </x:c>
      <x:c r="P12" s="24" t="str">
        <x:v>https://store.necaonline.com/blogs/news/predators-introducing-the-lost-tribe-from-our-series-6-action-figures</x:v>
      </x:c>
      <x:c r="Q12" s="24"/>
      <x:c r="R12" s="22" t="str">
        <x:v>public/game/assets/v136/gauntlets/lost-snake/</x:v>
      </x:c>
      <x:c r="S12" s="22" t="str">
        <x:v>P2</x:v>
      </x:c>
      <x:c r="T12" s="22" t="str">
        <x:v>4 calques ORIGINAUX distincts, PNG CI ; silhouette canonique et 1:1 non réalisés</x:v>
      </x:c>
    </x:row>
    <x:row r="13" ht="31" customHeight="1">
      <x:c r="A13" s="22" t="str">
        <x:v>lost-warrior</x:v>
      </x:c>
      <x:c r="B13" s="22" t="str">
        <x:v>Warrior · Lost Tribe</x:v>
      </x:c>
      <x:c r="C13" s="22" t="str">
        <x:v>Cinéma</x:v>
      </x:c>
      <x:c r="D13" s="22" t="str">
        <x:v>LOST</x:v>
      </x:c>
      <x:c r="E13" s="24" t="str">
        <x:v>Personnage identifiable</x:v>
      </x:c>
      <x:c r="F13" s="24" t="str">
        <x:v>C · personnage ou classe seulement</x:v>
      </x:c>
      <x:c r="G13" s="24" t="str">
        <x:v>NON VALIDÉ 1:1</x:v>
      </x:c>
      <x:c r="H13" s="24" t="str">
        <x:v>Quête / défi réservé (non connecté)</x:v>
      </x:c>
      <x:c r="I13" s="24" t="str">
        <x:v>Non encore débloquable</x:v>
      </x:c>
      <x:c r="J13" s="22" t="str">
        <x:v>bronze</x:v>
      </x:c>
      <x:c r="K13" s="22" t="str">
        <x:v>#D7A778</x:v>
      </x:c>
      <x:c r="L13" s="22" t="str">
        <x:v>Ordres préparés et tour actuel</x:v>
      </x:c>
      <x:c r="M13" s="22" t="str">
        <x:v>Impact métallique bref</x:v>
      </x:c>
      <x:c r="N13" s="22" t="str">
        <x:v>Segments métalliques</x:v>
      </x:c>
      <x:c r="O13" s="24" t="str">
        <x:v>Cuivre et marques de surface conceptuels en attente de vues</x:v>
      </x:c>
      <x:c r="P13" s="24" t="str">
        <x:v>https://store.necaonline.com/blogs/news/predators-introducing-the-lost-tribe-from-our-series-6-action-figures</x:v>
      </x:c>
      <x:c r="Q13" s="24"/>
      <x:c r="R13" s="22" t="str">
        <x:v>public/game/assets/v136/gauntlets/lost-warrior/</x:v>
      </x:c>
      <x:c r="S13" s="22" t="str">
        <x:v>P2</x:v>
      </x:c>
      <x:c r="T13" s="22" t="str">
        <x:v>4 calques ORIGINAUX distincts, PNG CI ; silhouette canonique et 1:1 non réalisés</x:v>
      </x:c>
    </x:row>
    <x:row r="14" ht="31" customHeight="1">
      <x:c r="A14" s="22" t="str">
        <x:v>lost-scout</x:v>
      </x:c>
      <x:c r="B14" s="22" t="str">
        <x:v>Scout · Lost Tribe</x:v>
      </x:c>
      <x:c r="C14" s="22" t="str">
        <x:v>Cinéma</x:v>
      </x:c>
      <x:c r="D14" s="22" t="str">
        <x:v>LOST</x:v>
      </x:c>
      <x:c r="E14" s="24" t="str">
        <x:v>Personnage identifiable</x:v>
      </x:c>
      <x:c r="F14" s="24" t="str">
        <x:v>C · personnage ou classe seulement</x:v>
      </x:c>
      <x:c r="G14" s="24" t="str">
        <x:v>NON VALIDÉ 1:1</x:v>
      </x:c>
      <x:c r="H14" s="24" t="str">
        <x:v>Quête / défi réservé (non connecté)</x:v>
      </x:c>
      <x:c r="I14" s="24" t="str">
        <x:v>Non encore débloquable</x:v>
      </x:c>
      <x:c r="J14" s="22" t="str">
        <x:v>stealth</x:v>
      </x:c>
      <x:c r="K14" s="22" t="str">
        <x:v>#7BB2B0</x:v>
      </x:c>
      <x:c r="L14" s="22" t="str">
        <x:v>Passages, routes et itinéraires connus</x:v>
      </x:c>
      <x:c r="M14" s="22" t="str">
        <x:v>Bip discret étouffé</x:v>
      </x:c>
      <x:c r="N14" s="22" t="str">
        <x:v>Apparition différée</x:v>
      </x:c>
      <x:c r="O14" s="24" t="str">
        <x:v>Silhouette compacte conceptuelle ; détails poignet non confirmés</x:v>
      </x:c>
      <x:c r="P14" s="24" t="str">
        <x:v>https://store.necaonline.com/blogs/news/predators-introducing-the-lost-tribe-from-our-series-6-action-figures</x:v>
      </x:c>
      <x:c r="Q14" s="24"/>
      <x:c r="R14" s="22" t="str">
        <x:v>public/game/assets/v136/gauntlets/lost-scout/</x:v>
      </x:c>
      <x:c r="S14" s="22" t="str">
        <x:v>P2</x:v>
      </x:c>
      <x:c r="T14" s="22" t="str">
        <x:v>4 calques ORIGINAUX distincts, PNG CI ; silhouette canonique et 1:1 non réalisés</x:v>
      </x:c>
    </x:row>
    <x:row r="15" ht="31" customHeight="1">
      <x:c r="A15" s="22" t="str">
        <x:v>lost-borg</x:v>
      </x:c>
      <x:c r="B15" s="22" t="str">
        <x:v>Lost / Borg · Lost Tribe</x:v>
      </x:c>
      <x:c r="C15" s="22" t="str">
        <x:v>Cinéma</x:v>
      </x:c>
      <x:c r="D15" s="22" t="str">
        <x:v>LOST</x:v>
      </x:c>
      <x:c r="E15" s="24" t="str">
        <x:v>Personnage identifiable</x:v>
      </x:c>
      <x:c r="F15" s="24" t="str">
        <x:v>C · personnage ou classe seulement</x:v>
      </x:c>
      <x:c r="G15" s="24" t="str">
        <x:v>NON VALIDÉ 1:1</x:v>
      </x:c>
      <x:c r="H15" s="24" t="str">
        <x:v>Quête / défi réservé (non connecté)</x:v>
      </x:c>
      <x:c r="I15" s="24" t="str">
        <x:v>Non encore débloquable</x:v>
      </x:c>
      <x:c r="J15" s="22" t="str">
        <x:v>urban</x:v>
      </x:c>
      <x:c r="K15" s="22" t="str">
        <x:v>#A2E0E8</x:v>
      </x:c>
      <x:c r="L15" s="22" t="str">
        <x:v>Observations et rapports déjà connus</x:v>
      </x:c>
      <x:c r="M15" s="22" t="str">
        <x:v>Bips doubles rapides</x:v>
      </x:c>
      <x:c r="N15" s="22" t="str">
        <x:v>Déploiement compact latéral</x:v>
      </x:c>
      <x:c r="O15" s="24" t="str">
        <x:v>Coque urbaine métallique provisoire ; plan dédié requis</x:v>
      </x:c>
      <x:c r="P15" s="24" t="str">
        <x:v>https://store.necaonline.com/blogs/news/predators-introducing-the-lost-tribe-from-our-series-6-action-figures</x:v>
      </x:c>
      <x:c r="Q15" s="24"/>
      <x:c r="R15" s="22" t="str">
        <x:v>public/game/assets/v136/gauntlets/lost-borg/</x:v>
      </x:c>
      <x:c r="S15" s="22" t="str">
        <x:v>P2</x:v>
      </x:c>
      <x:c r="T15" s="22" t="str">
        <x:v>4 calques ORIGINAUX distincts, PNG CI ; silhouette canonique et 1:1 non réalisés</x:v>
      </x:c>
    </x:row>
    <x:row r="16" ht="31" customHeight="1">
      <x:c r="A16" s="22" t="str">
        <x:v>scar</x:v>
      </x:c>
      <x:c r="B16" s="22" t="str">
        <x:v>Scar · AVP 2004</x:v>
      </x:c>
      <x:c r="C16" s="22" t="str">
        <x:v>Cinéma</x:v>
      </x:c>
      <x:c r="D16" s="22" t="str">
        <x:v>PHG</x:v>
      </x:c>
      <x:c r="E16" s="24" t="str">
        <x:v>Équipement attesté</x:v>
      </x:c>
      <x:c r="F16" s="24" t="str">
        <x:v>B · costume/concept officiel</x:v>
      </x:c>
      <x:c r="G16" s="24" t="str">
        <x:v>NON VALIDÉ 1:1</x:v>
      </x:c>
      <x:c r="H16" s="24" t="str">
        <x:v>Atelier · rang blooded</x:v>
      </x:c>
      <x:c r="I16" s="24" t="str">
        <x:v>Disponible si rang atteint</x:v>
      </x:c>
      <x:c r="J16" s="22" t="str">
        <x:v>scar</x:v>
      </x:c>
      <x:c r="K16" s="22" t="str">
        <x:v>#AACFB9</x:v>
      </x:c>
      <x:c r="L16" s="22" t="str">
        <x:v>Observations et rapports déjà connus</x:v>
      </x:c>
      <x:c r="M16" s="22" t="str">
        <x:v>Impulsion Young Blood</x:v>
      </x:c>
      <x:c r="N16" s="22" t="str">
        <x:v>Ouverture robuste</x:v>
      </x:c>
      <x:c r="O16" s="24" t="str">
        <x:v>Forme Young Blood provisoire ; ouvrir le capot selon les vues canoniques</x:v>
      </x:c>
      <x:c r="P16" s="24" t="str">
        <x:v>https://predator.illfonic.com/</x:v>
      </x:c>
      <x:c r="Q16" s="24" t="str">
        <x:v>https://www.avpcentral.com/yautja</x:v>
      </x:c>
      <x:c r="R16" s="22" t="str">
        <x:v>public/game/assets/v136/gauntlets/scar/</x:v>
      </x:c>
      <x:c r="S16" s="22" t="str">
        <x:v>P1</x:v>
      </x:c>
      <x:c r="T16" s="22" t="str">
        <x:v>4 calques ORIGINAUX distincts, PNG CI ; silhouette canonique et 1:1 non réalisés</x:v>
      </x:c>
    </x:row>
    <x:row r="17" ht="31" customHeight="1">
      <x:c r="A17" s="22" t="str">
        <x:v>celtic</x:v>
      </x:c>
      <x:c r="B17" s="22" t="str">
        <x:v>Celtic · AVP 2004</x:v>
      </x:c>
      <x:c r="C17" s="22" t="str">
        <x:v>Cinéma</x:v>
      </x:c>
      <x:c r="D17" s="22" t="str">
        <x:v>PHG</x:v>
      </x:c>
      <x:c r="E17" s="24" t="str">
        <x:v>Personnage identifiable</x:v>
      </x:c>
      <x:c r="F17" s="24" t="str">
        <x:v>C · personnage ou classe seulement</x:v>
      </x:c>
      <x:c r="G17" s="24" t="str">
        <x:v>NON VALIDÉ 1:1</x:v>
      </x:c>
      <x:c r="H17" s="24" t="str">
        <x:v>Quête / défi réservé (non connecté)</x:v>
      </x:c>
      <x:c r="I17" s="24" t="str">
        <x:v>Non encore débloquable</x:v>
      </x:c>
      <x:c r="J17" s="22" t="str">
        <x:v>scar</x:v>
      </x:c>
      <x:c r="K17" s="22" t="str">
        <x:v>#AACFB9</x:v>
      </x:c>
      <x:c r="L17" s="22" t="str">
        <x:v>Ordres préparés et tour actuel</x:v>
      </x:c>
      <x:c r="M17" s="22" t="str">
        <x:v>Impulsion Young Blood</x:v>
      </x:c>
      <x:c r="N17" s="22" t="str">
        <x:v>Ouverture robuste</x:v>
      </x:c>
      <x:c r="O17" s="24" t="str">
        <x:v>Forme Young Blood provisoire ; ouvrir le capot selon les vues canoniques</x:v>
      </x:c>
      <x:c r="P17" s="24" t="str">
        <x:v>https://predator.illfonic.com/</x:v>
      </x:c>
      <x:c r="Q17" s="24"/>
      <x:c r="R17" s="22" t="str">
        <x:v>public/game/assets/v136/gauntlets/celtic/</x:v>
      </x:c>
      <x:c r="S17" s="22" t="str">
        <x:v>P2</x:v>
      </x:c>
      <x:c r="T17" s="22" t="str">
        <x:v>4 calques ORIGINAUX distincts, PNG CI ; silhouette canonique et 1:1 non réalisés</x:v>
      </x:c>
    </x:row>
    <x:row r="18" ht="31" customHeight="1">
      <x:c r="A18" s="22" t="str">
        <x:v>chopper</x:v>
      </x:c>
      <x:c r="B18" s="22" t="str">
        <x:v>Chopper · AVP 2004</x:v>
      </x:c>
      <x:c r="C18" s="22" t="str">
        <x:v>Cinéma</x:v>
      </x:c>
      <x:c r="D18" s="22" t="str">
        <x:v>PHG</x:v>
      </x:c>
      <x:c r="E18" s="24" t="str">
        <x:v>Personnage identifiable</x:v>
      </x:c>
      <x:c r="F18" s="24" t="str">
        <x:v>C · personnage ou classe seulement</x:v>
      </x:c>
      <x:c r="G18" s="24" t="str">
        <x:v>NON VALIDÉ 1:1</x:v>
      </x:c>
      <x:c r="H18" s="24" t="str">
        <x:v>Quête / défi réservé (non connecté)</x:v>
      </x:c>
      <x:c r="I18" s="24" t="str">
        <x:v>Non encore débloquable</x:v>
      </x:c>
      <x:c r="J18" s="22" t="str">
        <x:v>scar</x:v>
      </x:c>
      <x:c r="K18" s="22" t="str">
        <x:v>#AACFB9</x:v>
      </x:c>
      <x:c r="L18" s="22" t="str">
        <x:v>Passages, routes et itinéraires connus</x:v>
      </x:c>
      <x:c r="M18" s="22" t="str">
        <x:v>Impulsion Young Blood</x:v>
      </x:c>
      <x:c r="N18" s="22" t="str">
        <x:v>Ouverture robuste</x:v>
      </x:c>
      <x:c r="O18" s="24" t="str">
        <x:v>Forme Young Blood provisoire ; ouvrir le capot selon les vues canoniques</x:v>
      </x:c>
      <x:c r="P18" s="24" t="str">
        <x:v>https://predator.illfonic.com/</x:v>
      </x:c>
      <x:c r="Q18" s="24"/>
      <x:c r="R18" s="22" t="str">
        <x:v>public/game/assets/v136/gauntlets/chopper/</x:v>
      </x:c>
      <x:c r="S18" s="22" t="str">
        <x:v>P2</x:v>
      </x:c>
      <x:c r="T18" s="22" t="str">
        <x:v>4 calques ORIGINAUX distincts, PNG CI ; silhouette canonique et 1:1 non réalisés</x:v>
      </x:c>
    </x:row>
    <x:row r="19" ht="31" customHeight="1">
      <x:c r="A19" s="22" t="str">
        <x:v>avp-elder</x:v>
      </x:c>
      <x:c r="B19" s="22" t="str">
        <x:v>Elder · AVP 2004</x:v>
      </x:c>
      <x:c r="C19" s="22" t="str">
        <x:v>Cinéma</x:v>
      </x:c>
      <x:c r="D19" s="22" t="str">
        <x:v>CG</x:v>
      </x:c>
      <x:c r="E19" s="24" t="str">
        <x:v>Personnage identifiable</x:v>
      </x:c>
      <x:c r="F19" s="24" t="str">
        <x:v>C · personnage ou classe seulement</x:v>
      </x:c>
      <x:c r="G19" s="24" t="str">
        <x:v>NON VALIDÉ 1:1</x:v>
      </x:c>
      <x:c r="H19" s="24" t="str">
        <x:v>Quête / défi réservé (non connecté)</x:v>
      </x:c>
      <x:c r="I19" s="24" t="str">
        <x:v>Non encore débloquable</x:v>
      </x:c>
      <x:c r="J19" s="22" t="str">
        <x:v>elder</x:v>
      </x:c>
      <x:c r="K19" s="22" t="str">
        <x:v>#E2C99C</x:v>
      </x:c>
      <x:c r="L19" s="22" t="str">
        <x:v>Ordres préparés et tour actuel</x:v>
      </x:c>
      <x:c r="M19" s="22" t="str">
        <x:v>Résonance basse, écho</x:v>
      </x:c>
      <x:c r="N19" s="22" t="str">
        <x:v>Panneaux cérémoniels</x:v>
      </x:c>
      <x:c r="O19" s="24" t="str">
        <x:v>Patine ancienne de démonstration ; aucune spécification canon inventée</x:v>
      </x:c>
      <x:c r="P19" s="24" t="str">
        <x:v>https://www.avpgalaxy.net/merch/neca/predator/series/</x:v>
      </x:c>
      <x:c r="Q19" s="24"/>
      <x:c r="R19" s="22" t="str">
        <x:v>public/game/assets/v136/gauntlets/avp-elder/</x:v>
      </x:c>
      <x:c r="S19" s="22" t="str">
        <x:v>P2</x:v>
      </x:c>
      <x:c r="T19" s="22" t="str">
        <x:v>4 calques ORIGINAUX distincts, PNG CI ; silhouette canonique et 1:1 non réalisés</x:v>
      </x:c>
    </x:row>
    <x:row r="20" ht="31" customHeight="1">
      <x:c r="A20" s="22" t="str">
        <x:v>wolf</x:v>
      </x:c>
      <x:c r="B20" s="22" t="str">
        <x:v>Wolf · AVP-R 2007</x:v>
      </x:c>
      <x:c r="C20" s="22" t="str">
        <x:v>Cinéma</x:v>
      </x:c>
      <x:c r="D20" s="22" t="str">
        <x:v>PHG</x:v>
      </x:c>
      <x:c r="E20" s="24" t="str">
        <x:v>Équipement attesté</x:v>
      </x:c>
      <x:c r="F20" s="24" t="str">
        <x:v>B · costume/concept officiel</x:v>
      </x:c>
      <x:c r="G20" s="24" t="str">
        <x:v>NON VALIDÉ 1:1</x:v>
      </x:c>
      <x:c r="H20" s="24" t="str">
        <x:v>Atelier · rang elite</x:v>
      </x:c>
      <x:c r="I20" s="24" t="str">
        <x:v>Disponible si rang atteint</x:v>
      </x:c>
      <x:c r="J20" s="22" t="str">
        <x:v>wolf</x:v>
      </x:c>
      <x:c r="K20" s="22" t="str">
        <x:v>#9CDBDE</x:v>
      </x:c>
      <x:c r="L20" s="22" t="str">
        <x:v>Aptes, blessés et secours existants</x:v>
      </x:c>
      <x:c r="M20" s="22" t="str">
        <x:v>Triplet diagnostique</x:v>
      </x:c>
      <x:c r="N20" s="22" t="str">
        <x:v>Multi-volets rapides</x:v>
      </x:c>
      <x:c r="O20" s="24" t="str">
        <x:v>Outillage polyvalent de démonstration ; vérifier le poignet de Wolf</x:v>
      </x:c>
      <x:c r="P20" s="24" t="str">
        <x:v>https://propstoreauction.com/lot-details/index/catalog/347/lot/112704</x:v>
      </x:c>
      <x:c r="Q20" s="24" t="str">
        <x:v>https://predator.illfonic.com/</x:v>
      </x:c>
      <x:c r="R20" s="22" t="str">
        <x:v>public/game/assets/v135/gauntlets/wolf/</x:v>
      </x:c>
      <x:c r="S20" s="22" t="str">
        <x:v>P1</x:v>
      </x:c>
      <x:c r="T20" s="22" t="str">
        <x:v>4 calques source-guidés, PNG CI, hologramme + armurerie ; 1:1 non validé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2" t="str">
        <x:v>Cinéma</x:v>
      </x:c>
      <x:c r="D21" s="22" t="str">
        <x:v>PHG</x:v>
      </x:c>
      <x:c r="E21" s="24" t="str">
        <x:v>Équipement attesté</x:v>
      </x:c>
      <x:c r="F21" s="24" t="str">
        <x:v>B · costume/concept officiel</x:v>
      </x:c>
      <x:c r="G21" s="24" t="str">
        <x:v>NON VALIDÉ 1:1</x:v>
      </x:c>
      <x:c r="H21" s="24" t="str">
        <x:v>Atelier · rang blooded</x:v>
      </x:c>
      <x:c r="I21" s="24" t="str">
        <x:v>Disponible si rang atteint</x:v>
      </x:c>
      <x:c r="J21" s="22" t="str">
        <x:v>classic</x:v>
      </x:c>
      <x:c r="K21" s="22" t="str">
        <x:v>#71E4DC</x:v>
      </x:c>
      <x:c r="L21" s="22" t="str">
        <x:v>Observations et rapports déjà connus</x:v>
      </x:c>
      <x:c r="M21" s="22" t="str">
        <x:v>Impulsions graves en quatre temps</x:v>
      </x:c>
      <x:c r="N21" s="22" t="str">
        <x:v>Capot et faisceau ascendant</x:v>
      </x:c>
      <x:c r="O21" s="24" t="str">
        <x:v>Silhouette Yautja classique provisoire ; alignement au héros à contrôler</x:v>
      </x:c>
      <x:c r="P21" s="24" t="str">
        <x:v>https://predator.illfonic.com/</x:v>
      </x:c>
      <x:c r="Q21" s="24"/>
      <x:c r="R21" s="22" t="str">
        <x:v>public/game/assets/v136/gauntlets/captured-classic/</x:v>
      </x:c>
      <x:c r="S21" s="22" t="str">
        <x:v>P1</x:v>
      </x:c>
      <x:c r="T21" s="22" t="str">
        <x:v>4 calques ORIGINAUX distincts, PNG CI ; silhouette canonique et 1:1 non réalisés</x:v>
      </x:c>
    </x:row>
    <x:row r="22" ht="31" customHeight="1">
      <x:c r="A22" s="22" t="str">
        <x:v>berserker-2010</x:v>
      </x:c>
      <x:c r="B22" s="22" t="str">
        <x:v>Mr Black / Berserker · 2010</x:v>
      </x:c>
      <x:c r="C22" s="22" t="str">
        <x:v>Cinéma</x:v>
      </x:c>
      <x:c r="D22" s="22" t="str">
        <x:v>PHG</x:v>
      </x:c>
      <x:c r="E22" s="24" t="str">
        <x:v>Personnage identifiable</x:v>
      </x:c>
      <x:c r="F22" s="24" t="str">
        <x:v>C · personnage ou classe seulement</x:v>
      </x:c>
      <x:c r="G22" s="24" t="str">
        <x:v>NON VALIDÉ 1:1</x:v>
      </x:c>
      <x:c r="H22" s="24" t="str">
        <x:v>Quête / défi réservé (non connecté)</x:v>
      </x:c>
      <x:c r="I22" s="24" t="str">
        <x:v>Non encore débloquable</x:v>
      </x:c>
      <x:c r="J22" s="22" t="str">
        <x:v>brutal</x:v>
      </x:c>
      <x:c r="K22" s="22" t="str">
        <x:v>#E08C65</x:v>
      </x:c>
      <x:c r="L22" s="22" t="str">
        <x:v>Ordres préparés et tour actuel</x:v>
      </x:c>
      <x:c r="M22" s="22" t="str">
        <x:v>Grave distordu</x:v>
      </x:c>
      <x:c r="N22" s="22" t="str">
        <x:v>Impulsion lourde</x:v>
      </x:c>
      <x:c r="O22" s="24" t="str">
        <x:v>Blindage lourd provisoire ; plans de référence à fournir</x:v>
      </x:c>
      <x:c r="P22" s="24" t="str">
        <x:v>https://predator.illfonic.com/</x:v>
      </x:c>
      <x:c r="Q22" s="24"/>
      <x:c r="R22" s="22" t="str">
        <x:v>public/game/assets/v136/gauntlets/berserker-2010/</x:v>
      </x:c>
      <x:c r="S22" s="22" t="str">
        <x:v>P2</x:v>
      </x:c>
      <x:c r="T22" s="22" t="str">
        <x:v>4 calques ORIGINAUX distincts, PNG CI ; silhouette canonique et 1:1 non réalisés</x:v>
      </x:c>
    </x:row>
    <x:row r="23" ht="31" customHeight="1">
      <x:c r="A23" s="22" t="str">
        <x:v>falconer-2010</x:v>
      </x:c>
      <x:c r="B23" s="22" t="str">
        <x:v>Falconer · 2010</x:v>
      </x:c>
      <x:c r="C23" s="22" t="str">
        <x:v>Cinéma</x:v>
      </x:c>
      <x:c r="D23" s="22" t="str">
        <x:v>PHG</x:v>
      </x:c>
      <x:c r="E23" s="24" t="str">
        <x:v>Personnage identifiable</x:v>
      </x:c>
      <x:c r="F23" s="24" t="str">
        <x:v>C · personnage ou classe seulement</x:v>
      </x:c>
      <x:c r="G23" s="24" t="str">
        <x:v>NON VALIDÉ 1:1</x:v>
      </x:c>
      <x:c r="H23" s="24" t="str">
        <x:v>Quête / défi réservé (non connecté)</x:v>
      </x:c>
      <x:c r="I23" s="24" t="str">
        <x:v>Non encore débloquable</x:v>
      </x:c>
      <x:c r="J23" s="22" t="str">
        <x:v>stealth</x:v>
      </x:c>
      <x:c r="K23" s="22" t="str">
        <x:v>#7BB2B0</x:v>
      </x:c>
      <x:c r="L23" s="22" t="str">
        <x:v>Passages, routes et itinéraires connus</x:v>
      </x:c>
      <x:c r="M23" s="22" t="str">
        <x:v>Bip discret étouffé</x:v>
      </x:c>
      <x:c r="N23" s="22" t="str">
        <x:v>Apparition différée</x:v>
      </x:c>
      <x:c r="O23" s="24" t="str">
        <x:v>Silhouette compacte conceptuelle ; détails poignet non confirmés</x:v>
      </x:c>
      <x:c r="P23" s="24" t="str">
        <x:v>https://predator.illfonic.com/</x:v>
      </x:c>
      <x:c r="Q23" s="24"/>
      <x:c r="R23" s="22" t="str">
        <x:v>public/game/assets/v136/gauntlets/falconer-2010/</x:v>
      </x:c>
      <x:c r="S23" s="22" t="str">
        <x:v>P2</x:v>
      </x:c>
      <x:c r="T23" s="22" t="str">
        <x:v>4 calques ORIGINAUX distincts, PNG CI ; silhouette canonique et 1:1 non réalisés</x:v>
      </x:c>
    </x:row>
    <x:row r="24" ht="31" customHeight="1">
      <x:c r="A24" s="22" t="str">
        <x:v>tracker-2010</x:v>
      </x:c>
      <x:c r="B24" s="22" t="str">
        <x:v>Tracker · 2010</x:v>
      </x:c>
      <x:c r="C24" s="22" t="str">
        <x:v>Cinéma</x:v>
      </x:c>
      <x:c r="D24" s="22" t="str">
        <x:v>PHG</x:v>
      </x:c>
      <x:c r="E24" s="24" t="str">
        <x:v>Personnage identifiable</x:v>
      </x:c>
      <x:c r="F24" s="24" t="str">
        <x:v>C · personnage ou classe seulement</x:v>
      </x:c>
      <x:c r="G24" s="24" t="str">
        <x:v>NON VALIDÉ 1:1</x:v>
      </x:c>
      <x:c r="H24" s="24" t="str">
        <x:v>Quête / défi réservé (non connecté)</x:v>
      </x:c>
      <x:c r="I24" s="24" t="str">
        <x:v>Non encore débloquable</x:v>
      </x:c>
      <x:c r="J24" s="22" t="str">
        <x:v>brutal</x:v>
      </x:c>
      <x:c r="K24" s="22" t="str">
        <x:v>#E08C65</x:v>
      </x:c>
      <x:c r="L24" s="22" t="str">
        <x:v>Passages, routes et itinéraires connus</x:v>
      </x:c>
      <x:c r="M24" s="22" t="str">
        <x:v>Grave distordu</x:v>
      </x:c>
      <x:c r="N24" s="22" t="str">
        <x:v>Impulsion lourde</x:v>
      </x:c>
      <x:c r="O24" s="24" t="str">
        <x:v>Blindage lourd provisoire ; plans de référence à fournir</x:v>
      </x:c>
      <x:c r="P24" s="24" t="str">
        <x:v>https://predator.illfonic.com/</x:v>
      </x:c>
      <x:c r="Q24" s="24"/>
      <x:c r="R24" s="22" t="str">
        <x:v>public/game/assets/v136/gauntlets/tracker-2010/</x:v>
      </x:c>
      <x:c r="S24" s="22" t="str">
        <x:v>P2</x:v>
      </x:c>
      <x:c r="T24" s="22" t="str">
        <x:v>4 calques ORIGINAUX distincts, PNG CI ; silhouette canonique et 1:1 non réalisés</x:v>
      </x:c>
    </x:row>
    <x:row r="25" ht="31" customHeight="1">
      <x:c r="A25" s="22" t="str">
        <x:v>fugitive</x:v>
      </x:c>
      <x:c r="B25" s="22" t="str">
        <x:v>Fugitive · The Predator 2018</x:v>
      </x:c>
      <x:c r="C25" s="22" t="str">
        <x:v>Cinéma</x:v>
      </x:c>
      <x:c r="D25" s="22" t="str">
        <x:v>CG</x:v>
      </x:c>
      <x:c r="E25" s="24" t="str">
        <x:v>Équipement attesté</x:v>
      </x:c>
      <x:c r="F25" s="24" t="str">
        <x:v>B · costume/concept officiel</x:v>
      </x:c>
      <x:c r="G25" s="24" t="str">
        <x:v>NON VALIDÉ 1:1</x:v>
      </x:c>
      <x:c r="H25" s="24" t="str">
        <x:v>Atelier · rang elite</x:v>
      </x:c>
      <x:c r="I25" s="24" t="str">
        <x:v>Disponible si rang atteint</x:v>
      </x:c>
      <x:c r="J25" s="22" t="str">
        <x:v>urban</x:v>
      </x:c>
      <x:c r="K25" s="22" t="str">
        <x:v>#A2E0E8</x:v>
      </x:c>
      <x:c r="L25" s="22" t="str">
        <x:v>Observations et rapports déjà connus</x:v>
      </x:c>
      <x:c r="M25" s="22" t="str">
        <x:v>Bips doubles rapides</x:v>
      </x:c>
      <x:c r="N25" s="22" t="str">
        <x:v>Déploiement compact latéral</x:v>
      </x:c>
      <x:c r="O25" s="24" t="str">
        <x:v>Coque urbaine métallique provisoire ; plan dédié requis</x:v>
      </x:c>
      <x:c r="P25" s="24" t="str">
        <x:v>https://www.avpgalaxy.net/merch/neca/predator/series/</x:v>
      </x:c>
      <x:c r="Q25" s="24"/>
      <x:c r="R25" s="22" t="str">
        <x:v>public/game/assets/v136/gauntlets/fugitive/</x:v>
      </x:c>
      <x:c r="S25" s="22" t="str">
        <x:v>P2</x:v>
      </x:c>
      <x:c r="T25" s="22" t="str">
        <x:v>4 calques ORIGINAUX distincts, PNG CI ; silhouette canonique et 1:1 non réalisés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2" t="str">
        <x:v>Cinéma</x:v>
      </x:c>
      <x:c r="D26" s="22" t="str">
        <x:v>CG</x:v>
      </x:c>
      <x:c r="E26" s="24" t="str">
        <x:v>Personnage identifiable</x:v>
      </x:c>
      <x:c r="F26" s="24" t="str">
        <x:v>C · personnage ou classe seulement</x:v>
      </x:c>
      <x:c r="G26" s="24" t="str">
        <x:v>NON VALIDÉ 1:1</x:v>
      </x:c>
      <x:c r="H26" s="24" t="str">
        <x:v>Quête / défi réservé (non connecté)</x:v>
      </x:c>
      <x:c r="I26" s="24" t="str">
        <x:v>Non encore débloquable</x:v>
      </x:c>
      <x:c r="J26" s="22" t="str">
        <x:v>brutal</x:v>
      </x:c>
      <x:c r="K26" s="22" t="str">
        <x:v>#E08C65</x:v>
      </x:c>
      <x:c r="L26" s="22" t="str">
        <x:v>Ordres préparés et tour actuel</x:v>
      </x:c>
      <x:c r="M26" s="22" t="str">
        <x:v>Grave distordu</x:v>
      </x:c>
      <x:c r="N26" s="22" t="str">
        <x:v>Impulsion lourde</x:v>
      </x:c>
      <x:c r="O26" s="24" t="str">
        <x:v>Blindage lourd provisoire ; plans de référence à fournir</x:v>
      </x:c>
      <x:c r="P26" s="24" t="str">
        <x:v>https://www.avpgalaxy.net/merch/neca/predator/series/</x:v>
      </x:c>
      <x:c r="Q26" s="24"/>
      <x:c r="R26" s="22" t="str">
        <x:v>public/game/assets/v136/gauntlets/assassin/</x:v>
      </x:c>
      <x:c r="S26" s="22" t="str">
        <x:v>P2</x:v>
      </x:c>
      <x:c r="T26" s="22" t="str">
        <x:v>4 calques ORIGINAUX distincts, PNG CI ; silhouette canonique et 1:1 non réalisés</x:v>
      </x:c>
    </x:row>
    <x:row r="27" ht="31" customHeight="1">
      <x:c r="A27" s="22" t="str">
        <x:v>feral</x:v>
      </x:c>
      <x:c r="B27" s="22" t="str">
        <x:v>Feral · Prey 2022</x:v>
      </x:c>
      <x:c r="C27" s="22" t="str">
        <x:v>Cinéma</x:v>
      </x:c>
      <x:c r="D27" s="22" t="str">
        <x:v>PREY</x:v>
      </x:c>
      <x:c r="E27" s="24" t="str">
        <x:v>Équipement attesté</x:v>
      </x:c>
      <x:c r="F27" s="24" t="str">
        <x:v>B · costume/concept officiel</x:v>
      </x:c>
      <x:c r="G27" s="24" t="str">
        <x:v>NON VALIDÉ 1:1</x:v>
      </x:c>
      <x:c r="H27" s="24" t="str">
        <x:v>Atelier · rang elite</x:v>
      </x:c>
      <x:c r="I27" s="24" t="str">
        <x:v>Disponible si rang atteint</x:v>
      </x:c>
      <x:c r="J27" s="22" t="str">
        <x:v>feral</x:v>
      </x:c>
      <x:c r="K27" s="22" t="str">
        <x:v>#E1B77C</x:v>
      </x:c>
      <x:c r="L27" s="22" t="str">
        <x:v>Passages, routes et itinéraires connus</x:v>
      </x:c>
      <x:c r="M27" s="22" t="str">
        <x:v>Claquement organique</x:v>
      </x:c>
      <x:c r="N27" s="22" t="str">
        <x:v>Écailles et lentille</x:v>
      </x:c>
      <x:c r="O27" s="24" t="str">
        <x:v>Composants os/métal ; ne pas greffer l'écran du modèle 1987</x:v>
      </x:c>
      <x:c r="P27" s="24" t="str">
        <x:v>https://www.avpgalaxy.net/2022/07/31/new-prey-tv-spot-shows-feral-predators-cloak-vision-modes-and-gadgets/</x:v>
      </x:c>
      <x:c r="Q27" s="24" t="str">
        <x:v>https://www.artofvfx.com/prey-chris-uyede-vfx-supervisor-mpc/</x:v>
      </x:c>
      <x:c r="R27" s="22" t="str">
        <x:v>public/game/assets/v135/gauntlets/feral/</x:v>
      </x:c>
      <x:c r="S27" s="22" t="str">
        <x:v>P1</x:v>
      </x:c>
      <x:c r="T27" s="22" t="str">
        <x:v>4 calques source-guidés, PNG CI, hologramme + armurerie ; 1:1 non validé</x:v>
      </x:c>
    </x:row>
    <x:row r="28" ht="31" customHeight="1">
      <x:c r="A28" s="22" t="str">
        <x:v>dek</x:v>
      </x:c>
      <x:c r="B28" s="22" t="str">
        <x:v>Dek · Badlands 2025</x:v>
      </x:c>
      <x:c r="C28" s="22" t="str">
        <x:v>Cinéma</x:v>
      </x:c>
      <x:c r="D28" s="22" t="str">
        <x:v>BAD</x:v>
      </x:c>
      <x:c r="E28" s="24" t="str">
        <x:v>Concept Wētā identifié</x:v>
      </x:c>
      <x:c r="F28" s="24" t="str">
        <x:v>B · costume/concept officiel</x:v>
      </x:c>
      <x:c r="G28" s="24" t="str">
        <x:v>NON VALIDÉ 1:1</x:v>
      </x:c>
      <x:c r="H28" s="24" t="str">
        <x:v>Atelier · rang elder</x:v>
      </x:c>
      <x:c r="I28" s="24" t="str">
        <x:v>Disponible si rang atteint</x:v>
      </x:c>
      <x:c r="J28" s="22" t="str">
        <x:v>badlands</x:v>
      </x:c>
      <x:c r="K28" s="22" t="str">
        <x:v>#D8AD80</x:v>
      </x:c>
      <x:c r="L28" s="22" t="str">
        <x:v>Observations et rapports déjà connus</x:v>
      </x:c>
      <x:c r="M28" s="22" t="str">
        <x:v>Balayage cristallin</x:v>
      </x:c>
      <x:c r="N28" s="22" t="str">
        <x:v>Filigrane concentrique</x:v>
      </x:c>
      <x:c r="O28" s="24" t="str">
        <x:v>Cuivre, os, filigranes et inscriptions selon atelier Wētā</x:v>
      </x:c>
      <x:c r="P28" s="24" t="str">
        <x:v>https://www.wetaworkshop.com/projects/predator-badlands</x:v>
      </x:c>
      <x:c r="Q28" s="24" t="str">
        <x:v>https://www.wetaworkshop.com/projects/predator-badlands</x:v>
      </x:c>
      <x:c r="R28" s="22" t="str">
        <x:v>public/game/assets/v135/gauntlets/dek/</x:v>
      </x:c>
      <x:c r="S28" s="22" t="str">
        <x:v>P1</x:v>
      </x:c>
      <x:c r="T28" s="22" t="str">
        <x:v>4 calques source-guidés, PNG CI, hologramme + armurerie ; 1:1 non validé</x:v>
      </x:c>
    </x:row>
    <x:row r="29" ht="31" customHeight="1">
      <x:c r="A29" s="22" t="str">
        <x:v>kwei</x:v>
      </x:c>
      <x:c r="B29" s="22" t="str">
        <x:v>Kwei · Badlands 2025</x:v>
      </x:c>
      <x:c r="C29" s="22" t="str">
        <x:v>Cinéma</x:v>
      </x:c>
      <x:c r="D29" s="22" t="str">
        <x:v>BAD</x:v>
      </x:c>
      <x:c r="E29" s="24" t="str">
        <x:v>Personnage identifiable</x:v>
      </x:c>
      <x:c r="F29" s="24" t="str">
        <x:v>C · personnage ou classe seulement</x:v>
      </x:c>
      <x:c r="G29" s="24" t="str">
        <x:v>NON VALIDÉ 1:1</x:v>
      </x:c>
      <x:c r="H29" s="24" t="str">
        <x:v>Quête / défi réservé (non connecté)</x:v>
      </x:c>
      <x:c r="I29" s="24" t="str">
        <x:v>Non encore débloquable</x:v>
      </x:c>
      <x:c r="J29" s="22" t="str">
        <x:v>badlands</x:v>
      </x:c>
      <x:c r="K29" s="22" t="str">
        <x:v>#D8AD80</x:v>
      </x:c>
      <x:c r="L29" s="22" t="str">
        <x:v>Ordres préparés et tour actuel</x:v>
      </x:c>
      <x:c r="M29" s="22" t="str">
        <x:v>Balayage cristallin</x:v>
      </x:c>
      <x:c r="N29" s="22" t="str">
        <x:v>Filigrane concentrique</x:v>
      </x:c>
      <x:c r="O29" s="24" t="str">
        <x:v>Cuivre, os, filigranes et inscriptions selon atelier Wētā</x:v>
      </x:c>
      <x:c r="P29" s="24" t="str">
        <x:v>https://wetaworkshopdesignstudio.artstation.com/projects/rlxRPa</x:v>
      </x:c>
      <x:c r="Q29" s="24"/>
      <x:c r="R29" s="22" t="str">
        <x:v>public/game/assets/v136/gauntlets/kwei/</x:v>
      </x:c>
      <x:c r="S29" s="22" t="str">
        <x:v>P2</x:v>
      </x:c>
      <x:c r="T29" s="22" t="str">
        <x:v>4 calques ORIGINAUX distincts, PNG CI ; silhouette canonique et 1:1 non réalisés</x:v>
      </x:c>
    </x:row>
    <x:row r="30" ht="31" customHeight="1">
      <x:c r="A30" s="22" t="str">
        <x:v>njohrr</x:v>
      </x:c>
      <x:c r="B30" s="22" t="str">
        <x:v>Njohrr · Badlands 2025</x:v>
      </x:c>
      <x:c r="C30" s="22" t="str">
        <x:v>Cinéma</x:v>
      </x:c>
      <x:c r="D30" s="22" t="str">
        <x:v>BAD</x:v>
      </x:c>
      <x:c r="E30" s="24" t="str">
        <x:v>Personnage identifiable</x:v>
      </x:c>
      <x:c r="F30" s="24" t="str">
        <x:v>C · personnage ou classe seulement</x:v>
      </x:c>
      <x:c r="G30" s="24" t="str">
        <x:v>NON VALIDÉ 1:1</x:v>
      </x:c>
      <x:c r="H30" s="24" t="str">
        <x:v>Quête / défi réservé (non connecté)</x:v>
      </x:c>
      <x:c r="I30" s="24" t="str">
        <x:v>Non encore débloquable</x:v>
      </x:c>
      <x:c r="J30" s="22" t="str">
        <x:v>elder</x:v>
      </x:c>
      <x:c r="K30" s="22" t="str">
        <x:v>#E2C99C</x:v>
      </x:c>
      <x:c r="L30" s="22" t="str">
        <x:v>Ordres préparés et tour actuel</x:v>
      </x:c>
      <x:c r="M30" s="22" t="str">
        <x:v>Résonance basse, écho</x:v>
      </x:c>
      <x:c r="N30" s="22" t="str">
        <x:v>Panneaux cérémoniels</x:v>
      </x:c>
      <x:c r="O30" s="24" t="str">
        <x:v>Patine ancienne de démonstration ; aucune spécification canon inventée</x:v>
      </x:c>
      <x:c r="P30" s="24" t="str">
        <x:v>https://wetaworkshopdesignstudio.artstation.com/projects/rlxRPa</x:v>
      </x:c>
      <x:c r="Q30" s="24"/>
      <x:c r="R30" s="22" t="str">
        <x:v>public/game/assets/v136/gauntlets/njohrr/</x:v>
      </x:c>
      <x:c r="S30" s="22" t="str">
        <x:v>P2</x:v>
      </x:c>
      <x:c r="T30" s="22" t="str">
        <x:v>4 calques ORIGINAUX distincts, PNG CI ; silhouette canonique et 1:1 non réalisés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2" t="str">
        <x:v>Animation</x:v>
      </x:c>
      <x:c r="D31" s="22" t="str">
        <x:v>KOK</x:v>
      </x:c>
      <x:c r="E31" s="24" t="str">
        <x:v>Personnage identifiable</x:v>
      </x:c>
      <x:c r="F31" s="24" t="str">
        <x:v>C · personnage ou classe seulement</x:v>
      </x:c>
      <x:c r="G31" s="24" t="str">
        <x:v>NON VALIDÉ 1:1</x:v>
      </x:c>
      <x:c r="H31" s="24" t="str">
        <x:v>Quête / défi réservé (non connecté)</x:v>
      </x:c>
      <x:c r="I31" s="24" t="str">
        <x:v>Non encore débloquable</x:v>
      </x:c>
      <x:c r="J31" s="22" t="str">
        <x:v>bronze</x:v>
      </x:c>
      <x:c r="K31" s="22" t="str">
        <x:v>#D7A778</x:v>
      </x:c>
      <x:c r="L31" s="22" t="str">
        <x:v>Ordres préparés et tour actuel</x:v>
      </x:c>
      <x:c r="M31" s="22" t="str">
        <x:v>Impact métallique bref</x:v>
      </x:c>
      <x:c r="N31" s="22" t="str">
        <x:v>Segments métalliques</x:v>
      </x:c>
      <x:c r="O31" s="24" t="str">
        <x:v>Cuivre et marques de surface conceptuels en attente de vues</x:v>
      </x:c>
      <x:c r="P31" s="24" t="str">
        <x:v>https://www.20thcenturystudios.com/movies/predator-killer-of-killers</x:v>
      </x:c>
      <x:c r="Q31" s="24"/>
      <x:c r="R31" s="22" t="str">
        <x:v>public/game/assets/v136/gauntlets/kok-viking/</x:v>
      </x:c>
      <x:c r="S31" s="22" t="str">
        <x:v>P2</x:v>
      </x:c>
      <x:c r="T31" s="22" t="str">
        <x:v>4 calques ORIGINAUX distincts, PNG CI ; silhouette canonique et 1:1 non réalisés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2" t="str">
        <x:v>Animation</x:v>
      </x:c>
      <x:c r="D32" s="22" t="str">
        <x:v>KOK</x:v>
      </x:c>
      <x:c r="E32" s="24" t="str">
        <x:v>Personnage identifiable</x:v>
      </x:c>
      <x:c r="F32" s="24" t="str">
        <x:v>C · personnage ou classe seulement</x:v>
      </x:c>
      <x:c r="G32" s="24" t="str">
        <x:v>NON VALIDÉ 1:1</x:v>
      </x:c>
      <x:c r="H32" s="24" t="str">
        <x:v>Quête / défi réservé (non connecté)</x:v>
      </x:c>
      <x:c r="I32" s="24" t="str">
        <x:v>Non encore débloquable</x:v>
      </x:c>
      <x:c r="J32" s="22" t="str">
        <x:v>stealth</x:v>
      </x:c>
      <x:c r="K32" s="22" t="str">
        <x:v>#7BB2B0</x:v>
      </x:c>
      <x:c r="L32" s="22" t="str">
        <x:v>Observations et rapports déjà connus</x:v>
      </x:c>
      <x:c r="M32" s="22" t="str">
        <x:v>Bip discret étouffé</x:v>
      </x:c>
      <x:c r="N32" s="22" t="str">
        <x:v>Apparition différée</x:v>
      </x:c>
      <x:c r="O32" s="24" t="str">
        <x:v>Silhouette compacte conceptuelle ; détails poignet non confirmés</x:v>
      </x:c>
      <x:c r="P32" s="24" t="str">
        <x:v>https://www.20thcenturystudios.com/movies/predator-killer-of-killers</x:v>
      </x:c>
      <x:c r="Q32" s="24"/>
      <x:c r="R32" s="22" t="str">
        <x:v>public/game/assets/v136/gauntlets/kok-ninja/</x:v>
      </x:c>
      <x:c r="S32" s="22" t="str">
        <x:v>P2</x:v>
      </x:c>
      <x:c r="T32" s="22" t="str">
        <x:v>4 calques ORIGINAUX distincts, PNG CI ; silhouette canonique et 1:1 non réalisés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2" t="str">
        <x:v>Animation</x:v>
      </x:c>
      <x:c r="D33" s="22" t="str">
        <x:v>KOK</x:v>
      </x:c>
      <x:c r="E33" s="24" t="str">
        <x:v>Personnage identifiable</x:v>
      </x:c>
      <x:c r="F33" s="24" t="str">
        <x:v>C · personnage ou classe seulement</x:v>
      </x:c>
      <x:c r="G33" s="24" t="str">
        <x:v>NON VALIDÉ 1:1</x:v>
      </x:c>
      <x:c r="H33" s="24" t="str">
        <x:v>Quête / défi réservé (non connecté)</x:v>
      </x:c>
      <x:c r="I33" s="24" t="str">
        <x:v>Non encore débloquable</x:v>
      </x:c>
      <x:c r="J33" s="22" t="str">
        <x:v>urban</x:v>
      </x:c>
      <x:c r="K33" s="22" t="str">
        <x:v>#A2E0E8</x:v>
      </x:c>
      <x:c r="L33" s="22" t="str">
        <x:v>Passages, routes et itinéraires connus</x:v>
      </x:c>
      <x:c r="M33" s="22" t="str">
        <x:v>Bips doubles rapides</x:v>
      </x:c>
      <x:c r="N33" s="22" t="str">
        <x:v>Déploiement compact latéral</x:v>
      </x:c>
      <x:c r="O33" s="24" t="str">
        <x:v>Coque urbaine métallique provisoire ; plan dédié requis</x:v>
      </x:c>
      <x:c r="P33" s="24" t="str">
        <x:v>https://www.20thcenturystudios.com/movies/predator-killer-of-killers</x:v>
      </x:c>
      <x:c r="Q33" s="24"/>
      <x:c r="R33" s="22" t="str">
        <x:v>public/game/assets/v136/gauntlets/kok-pilot/</x:v>
      </x:c>
      <x:c r="S33" s="22" t="str">
        <x:v>P2</x:v>
      </x:c>
      <x:c r="T33" s="22" t="str">
        <x:v>4 calques ORIGINAUX distincts, PNG CI ; silhouette canonique et 1:1 non réalisés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2" t="str">
        <x:v>Animation</x:v>
      </x:c>
      <x:c r="D34" s="22" t="str">
        <x:v>KOK</x:v>
      </x:c>
      <x:c r="E34" s="24" t="str">
        <x:v>Personnage identifiable</x:v>
      </x:c>
      <x:c r="F34" s="24" t="str">
        <x:v>C · personnage ou classe seulement</x:v>
      </x:c>
      <x:c r="G34" s="24" t="str">
        <x:v>NON VALIDÉ 1:1</x:v>
      </x:c>
      <x:c r="H34" s="24" t="str">
        <x:v>Quête / défi réservé (non connecté)</x:v>
      </x:c>
      <x:c r="I34" s="24" t="str">
        <x:v>Non encore débloquable</x:v>
      </x:c>
      <x:c r="J34" s="22" t="str">
        <x:v>elder</x:v>
      </x:c>
      <x:c r="K34" s="22" t="str">
        <x:v>#E2C99C</x:v>
      </x:c>
      <x:c r="L34" s="22" t="str">
        <x:v>Ordres préparés et tour actuel</x:v>
      </x:c>
      <x:c r="M34" s="22" t="str">
        <x:v>Résonance basse, écho</x:v>
      </x:c>
      <x:c r="N34" s="22" t="str">
        <x:v>Panneaux cérémoniels</x:v>
      </x:c>
      <x:c r="O34" s="24" t="str">
        <x:v>Patine ancienne de démonstration ; aucune spécification canon inventée</x:v>
      </x:c>
      <x:c r="P34" s="24" t="str">
        <x:v>https://www.20thcenturystudios.com/movies/predator-killer-of-killers</x:v>
      </x:c>
      <x:c r="Q34" s="24"/>
      <x:c r="R34" s="22" t="str">
        <x:v>public/game/assets/v136/gauntlets/kok-grendel/</x:v>
      </x:c>
      <x:c r="S34" s="22" t="str">
        <x:v>P2</x:v>
      </x:c>
      <x:c r="T34" s="22" t="str">
        <x:v>4 calques ORIGINAUX distincts, PNG CI ; silhouette canonique et 1:1 non réalisés</x:v>
      </x:c>
    </x:row>
    <x:row r="35" ht="31" customHeight="1">
      <x:c r="A35" s="22" t="str">
        <x:v>phg-hunter</x:v>
      </x:c>
      <x:c r="B35" s="22" t="str">
        <x:v>Hunter · PHG</x:v>
      </x:c>
      <x:c r="C35" s="22" t="str">
        <x:v>Jeu licencié</x:v>
      </x:c>
      <x:c r="D35" s="22" t="str">
        <x:v>PHG</x:v>
      </x:c>
      <x:c r="E35" s="24" t="str">
        <x:v>Classe identifiable</x:v>
      </x:c>
      <x:c r="F35" s="24" t="str">
        <x:v>C · personnage ou classe seulement</x:v>
      </x:c>
      <x:c r="G35" s="24" t="str">
        <x:v>NON VALIDÉ 1:1</x:v>
      </x:c>
      <x:c r="H35" s="24" t="str">
        <x:v>Atelier · rang blooded</x:v>
      </x:c>
      <x:c r="I35" s="24" t="str">
        <x:v>Disponible si rang atteint</x:v>
      </x:c>
      <x:c r="J35" s="22" t="str">
        <x:v>classic</x:v>
      </x:c>
      <x:c r="K35" s="22" t="str">
        <x:v>#71E4DC</x:v>
      </x:c>
      <x:c r="L35" s="22" t="str">
        <x:v>Ordres préparés et tour actuel</x:v>
      </x:c>
      <x:c r="M35" s="22" t="str">
        <x:v>Impulsions graves en quatre temps</x:v>
      </x:c>
      <x:c r="N35" s="22" t="str">
        <x:v>Capot et faisceau ascendant</x:v>
      </x:c>
      <x:c r="O35" s="24" t="str">
        <x:v>Silhouette Yautja classique provisoire ; alignement au héros à contrôler</x:v>
      </x:c>
      <x:c r="P35" s="24" t="str">
        <x:v>https://predator.illfonic.com/</x:v>
      </x:c>
      <x:c r="Q35" s="24"/>
      <x:c r="R35" s="22" t="str">
        <x:v>public/game/assets/v136/gauntlets/phg-hunter/</x:v>
      </x:c>
      <x:c r="S35" s="22" t="str">
        <x:v>P2</x:v>
      </x:c>
      <x:c r="T35" s="22" t="str">
        <x:v>4 calques ORIGINAUX distincts, PNG CI ; silhouette canonique et 1:1 non réalisés</x:v>
      </x:c>
    </x:row>
    <x:row r="36" ht="31" customHeight="1">
      <x:c r="A36" s="22" t="str">
        <x:v>phg-scout</x:v>
      </x:c>
      <x:c r="B36" s="22" t="str">
        <x:v>Scout · PHG</x:v>
      </x:c>
      <x:c r="C36" s="22" t="str">
        <x:v>Jeu licencié</x:v>
      </x:c>
      <x:c r="D36" s="22" t="str">
        <x:v>PHG</x:v>
      </x:c>
      <x:c r="E36" s="24" t="str">
        <x:v>Classe identifiable</x:v>
      </x:c>
      <x:c r="F36" s="24" t="str">
        <x:v>C · personnage ou classe seulement</x:v>
      </x:c>
      <x:c r="G36" s="24" t="str">
        <x:v>NON VALIDÉ 1:1</x:v>
      </x:c>
      <x:c r="H36" s="24" t="str">
        <x:v>Quête / défi réservé (non connecté)</x:v>
      </x:c>
      <x:c r="I36" s="24" t="str">
        <x:v>Non encore débloquable</x:v>
      </x:c>
      <x:c r="J36" s="22" t="str">
        <x:v>stealth</x:v>
      </x:c>
      <x:c r="K36" s="22" t="str">
        <x:v>#7BB2B0</x:v>
      </x:c>
      <x:c r="L36" s="22" t="str">
        <x:v>Passages, routes et itinéraires connus</x:v>
      </x:c>
      <x:c r="M36" s="22" t="str">
        <x:v>Bip discret étouffé</x:v>
      </x:c>
      <x:c r="N36" s="22" t="str">
        <x:v>Apparition différée</x:v>
      </x:c>
      <x:c r="O36" s="24" t="str">
        <x:v>Silhouette compacte conceptuelle ; détails poignet non confirmés</x:v>
      </x:c>
      <x:c r="P36" s="24" t="str">
        <x:v>https://predator.illfonic.com/</x:v>
      </x:c>
      <x:c r="Q36" s="24"/>
      <x:c r="R36" s="22" t="str">
        <x:v>public/game/assets/v136/gauntlets/phg-scout/</x:v>
      </x:c>
      <x:c r="S36" s="22" t="str">
        <x:v>P2</x:v>
      </x:c>
      <x:c r="T36" s="22" t="str">
        <x:v>4 calques ORIGINAUX distincts, PNG CI ; silhouette canonique et 1:1 non réalisés</x:v>
      </x:c>
    </x:row>
    <x:row r="37" ht="31" customHeight="1">
      <x:c r="A37" s="22" t="str">
        <x:v>phg-berserker</x:v>
      </x:c>
      <x:c r="B37" s="22" t="str">
        <x:v>Berserker · PHG</x:v>
      </x:c>
      <x:c r="C37" s="22" t="str">
        <x:v>Jeu licencié</x:v>
      </x:c>
      <x:c r="D37" s="22" t="str">
        <x:v>PHG</x:v>
      </x:c>
      <x:c r="E37" s="24" t="str">
        <x:v>Classe identifiable</x:v>
      </x:c>
      <x:c r="F37" s="24" t="str">
        <x:v>C · personnage ou classe seulement</x:v>
      </x:c>
      <x:c r="G37" s="24" t="str">
        <x:v>NON VALIDÉ 1:1</x:v>
      </x:c>
      <x:c r="H37" s="24" t="str">
        <x:v>Quête / défi réservé (non connecté)</x:v>
      </x:c>
      <x:c r="I37" s="24" t="str">
        <x:v>Non encore débloquable</x:v>
      </x:c>
      <x:c r="J37" s="22" t="str">
        <x:v>brutal</x:v>
      </x:c>
      <x:c r="K37" s="22" t="str">
        <x:v>#E08C65</x:v>
      </x:c>
      <x:c r="L37" s="22" t="str">
        <x:v>Ordres préparés et tour actuel</x:v>
      </x:c>
      <x:c r="M37" s="22" t="str">
        <x:v>Grave distordu</x:v>
      </x:c>
      <x:c r="N37" s="22" t="str">
        <x:v>Impulsion lourde</x:v>
      </x:c>
      <x:c r="O37" s="24" t="str">
        <x:v>Blindage lourd provisoire ; plans de référence à fournir</x:v>
      </x:c>
      <x:c r="P37" s="24" t="str">
        <x:v>https://predator.illfonic.com/</x:v>
      </x:c>
      <x:c r="Q37" s="24"/>
      <x:c r="R37" s="22" t="str">
        <x:v>public/game/assets/v136/gauntlets/phg-berserker/</x:v>
      </x:c>
      <x:c r="S37" s="22" t="str">
        <x:v>P2</x:v>
      </x:c>
      <x:c r="T37" s="22" t="str">
        <x:v>4 calques ORIGINAUX distincts, PNG CI ; silhouette canonique et 1:1 non réalisés</x:v>
      </x:c>
    </x:row>
    <x:row r="38" ht="31" customHeight="1">
      <x:c r="A38" s="22" t="str">
        <x:v>phg-alpha</x:v>
      </x:c>
      <x:c r="B38" s="22" t="str">
        <x:v>Alpha · PHG</x:v>
      </x:c>
      <x:c r="C38" s="22" t="str">
        <x:v>Jeu licencié</x:v>
      </x:c>
      <x:c r="D38" s="22" t="str">
        <x:v>PHG</x:v>
      </x:c>
      <x:c r="E38" s="24" t="str">
        <x:v>Classe identifiable</x:v>
      </x:c>
      <x:c r="F38" s="24" t="str">
        <x:v>C · personnage ou classe seulement</x:v>
      </x:c>
      <x:c r="G38" s="24" t="str">
        <x:v>NON VALIDÉ 1:1</x:v>
      </x:c>
      <x:c r="H38" s="24" t="str">
        <x:v>Quête / défi réservé (non connecté)</x:v>
      </x:c>
      <x:c r="I38" s="24" t="str">
        <x:v>Non encore débloquable</x:v>
      </x:c>
      <x:c r="J38" s="22" t="str">
        <x:v>elder</x:v>
      </x:c>
      <x:c r="K38" s="22" t="str">
        <x:v>#E2C99C</x:v>
      </x:c>
      <x:c r="L38" s="22" t="str">
        <x:v>Observations et rapports déjà connus</x:v>
      </x:c>
      <x:c r="M38" s="22" t="str">
        <x:v>Résonance basse, écho</x:v>
      </x:c>
      <x:c r="N38" s="22" t="str">
        <x:v>Panneaux cérémoniels</x:v>
      </x:c>
      <x:c r="O38" s="24" t="str">
        <x:v>Patine ancienne de démonstration ; aucune spécification canon inventée</x:v>
      </x:c>
      <x:c r="P38" s="24" t="str">
        <x:v>https://predator.illfonic.com/</x:v>
      </x:c>
      <x:c r="Q38" s="24"/>
      <x:c r="R38" s="22" t="str">
        <x:v>public/game/assets/v136/gauntlets/phg-alpha/</x:v>
      </x:c>
      <x:c r="S38" s="22" t="str">
        <x:v>P2</x:v>
      </x:c>
      <x:c r="T38" s="22" t="str">
        <x:v>4 calques ORIGINAUX distincts, PNG CI ; silhouette canonique et 1:1 non réalisés</x:v>
      </x:c>
    </x:row>
    <x:row r="39" ht="31" customHeight="1">
      <x:c r="A39" s="22" t="str">
        <x:v>phg-samurai</x:v>
      </x:c>
      <x:c r="B39" s="22" t="str">
        <x:v>Samurai · PHG</x:v>
      </x:c>
      <x:c r="C39" s="22" t="str">
        <x:v>Jeu licencié</x:v>
      </x:c>
      <x:c r="D39" s="22" t="str">
        <x:v>PHG</x:v>
      </x:c>
      <x:c r="E39" s="24" t="str">
        <x:v>Classe identifiable</x:v>
      </x:c>
      <x:c r="F39" s="24" t="str">
        <x:v>C · personnage ou classe seulement</x:v>
      </x:c>
      <x:c r="G39" s="24" t="str">
        <x:v>NON VALIDÉ 1:1</x:v>
      </x:c>
      <x:c r="H39" s="24" t="str">
        <x:v>Quête / défi réservé (non connecté)</x:v>
      </x:c>
      <x:c r="I39" s="24" t="str">
        <x:v>Non encore débloquable</x:v>
      </x:c>
      <x:c r="J39" s="22" t="str">
        <x:v>bronze</x:v>
      </x:c>
      <x:c r="K39" s="22" t="str">
        <x:v>#D7A778</x:v>
      </x:c>
      <x:c r="L39" s="22" t="str">
        <x:v>Ordres préparés et tour actuel</x:v>
      </x:c>
      <x:c r="M39" s="22" t="str">
        <x:v>Impact métallique bref</x:v>
      </x:c>
      <x:c r="N39" s="22" t="str">
        <x:v>Segments métalliques</x:v>
      </x:c>
      <x:c r="O39" s="24" t="str">
        <x:v>Cuivre et marques de surface conceptuels en attente de vues</x:v>
      </x:c>
      <x:c r="P39" s="24" t="str">
        <x:v>https://predator.illfonic.com/</x:v>
      </x:c>
      <x:c r="Q39" s="24"/>
      <x:c r="R39" s="22" t="str">
        <x:v>public/game/assets/v136/gauntlets/phg-samurai/</x:v>
      </x:c>
      <x:c r="S39" s="22" t="str">
        <x:v>P2</x:v>
      </x:c>
      <x:c r="T39" s="22" t="str">
        <x:v>4 calques ORIGINAUX distincts, PNG CI ; silhouette canonique et 1:1 non réalisés</x:v>
      </x:c>
    </x:row>
    <x:row r="40" ht="31" customHeight="1">
      <x:c r="A40" s="22" t="str">
        <x:v>phg-viking</x:v>
      </x:c>
      <x:c r="B40" s="22" t="str">
        <x:v>Viking · PHG</x:v>
      </x:c>
      <x:c r="C40" s="22" t="str">
        <x:v>Jeu licencié</x:v>
      </x:c>
      <x:c r="D40" s="22" t="str">
        <x:v>PHG</x:v>
      </x:c>
      <x:c r="E40" s="24" t="str">
        <x:v>Classe identifiable</x:v>
      </x:c>
      <x:c r="F40" s="24" t="str">
        <x:v>C · personnage ou classe seulement</x:v>
      </x:c>
      <x:c r="G40" s="24" t="str">
        <x:v>NON VALIDÉ 1:1</x:v>
      </x:c>
      <x:c r="H40" s="24" t="str">
        <x:v>Quête / défi réservé (non connecté)</x:v>
      </x:c>
      <x:c r="I40" s="24" t="str">
        <x:v>Non encore débloquable</x:v>
      </x:c>
      <x:c r="J40" s="22" t="str">
        <x:v>bronze</x:v>
      </x:c>
      <x:c r="K40" s="22" t="str">
        <x:v>#D7A778</x:v>
      </x:c>
      <x:c r="L40" s="22" t="str">
        <x:v>Ordres préparés et tour actuel</x:v>
      </x:c>
      <x:c r="M40" s="22" t="str">
        <x:v>Impact métallique bref</x:v>
      </x:c>
      <x:c r="N40" s="22" t="str">
        <x:v>Segments métalliques</x:v>
      </x:c>
      <x:c r="O40" s="24" t="str">
        <x:v>Cuivre et marques de surface conceptuels en attente de vues</x:v>
      </x:c>
      <x:c r="P40" s="24" t="str">
        <x:v>https://predator.illfonic.com/</x:v>
      </x:c>
      <x:c r="Q40" s="24"/>
      <x:c r="R40" s="22" t="str">
        <x:v>public/game/assets/v136/gauntlets/phg-viking/</x:v>
      </x:c>
      <x:c r="S40" s="22" t="str">
        <x:v>P2</x:v>
      </x:c>
      <x:c r="T40" s="22" t="str">
        <x:v>4 calques ORIGINAUX distincts, PNG CI ; silhouette canonique et 1:1 non réalisés</x:v>
      </x:c>
    </x:row>
    <x:row r="41" ht="31" customHeight="1">
      <x:c r="A41" s="22" t="str">
        <x:v>phg-valkyrie</x:v>
      </x:c>
      <x:c r="B41" s="22" t="str">
        <x:v>Valkyrie · PHG</x:v>
      </x:c>
      <x:c r="C41" s="22" t="str">
        <x:v>Jeu licencié</x:v>
      </x:c>
      <x:c r="D41" s="22" t="str">
        <x:v>PHG</x:v>
      </x:c>
      <x:c r="E41" s="24" t="str">
        <x:v>Classe identifiable</x:v>
      </x:c>
      <x:c r="F41" s="24" t="str">
        <x:v>C · personnage ou classe seulement</x:v>
      </x:c>
      <x:c r="G41" s="24" t="str">
        <x:v>NON VALIDÉ 1:1</x:v>
      </x:c>
      <x:c r="H41" s="24" t="str">
        <x:v>Quête / défi réservé (non connecté)</x:v>
      </x:c>
      <x:c r="I41" s="24" t="str">
        <x:v>Non encore débloquable</x:v>
      </x:c>
      <x:c r="J41" s="22" t="str">
        <x:v>bronze</x:v>
      </x:c>
      <x:c r="K41" s="22" t="str">
        <x:v>#D7A778</x:v>
      </x:c>
      <x:c r="L41" s="22" t="str">
        <x:v>Aptes, blessés et secours existants</x:v>
      </x:c>
      <x:c r="M41" s="22" t="str">
        <x:v>Impact métallique bref</x:v>
      </x:c>
      <x:c r="N41" s="22" t="str">
        <x:v>Segments métalliques</x:v>
      </x:c>
      <x:c r="O41" s="24" t="str">
        <x:v>Cuivre et marques de surface conceptuels en attente de vues</x:v>
      </x:c>
      <x:c r="P41" s="24" t="str">
        <x:v>https://predator.illfonic.com/</x:v>
      </x:c>
      <x:c r="Q41" s="24"/>
      <x:c r="R41" s="22" t="str">
        <x:v>public/game/assets/v136/gauntlets/phg-valkyrie/</x:v>
      </x:c>
      <x:c r="S41" s="22" t="str">
        <x:v>P2</x:v>
      </x:c>
      <x:c r="T41" s="22" t="str">
        <x:v>4 calques ORIGINAUX distincts, PNG CI ; silhouette canonique et 1:1 non réalisés</x:v>
      </x:c>
    </x:row>
    <x:row r="42" ht="31" customHeight="1">
      <x:c r="A42" s="22" t="str">
        <x:v>phg-cleopatra</x:v>
      </x:c>
      <x:c r="B42" s="22" t="str">
        <x:v>Cleopatra · PHG</x:v>
      </x:c>
      <x:c r="C42" s="22" t="str">
        <x:v>Jeu licencié</x:v>
      </x:c>
      <x:c r="D42" s="22" t="str">
        <x:v>PHG</x:v>
      </x:c>
      <x:c r="E42" s="24" t="str">
        <x:v>Classe identifiable</x:v>
      </x:c>
      <x:c r="F42" s="24" t="str">
        <x:v>C · personnage ou classe seulement</x:v>
      </x:c>
      <x:c r="G42" s="24" t="str">
        <x:v>NON VALIDÉ 1:1</x:v>
      </x:c>
      <x:c r="H42" s="24" t="str">
        <x:v>Quête / défi réservé (non connecté)</x:v>
      </x:c>
      <x:c r="I42" s="24" t="str">
        <x:v>Non encore débloquable</x:v>
      </x:c>
      <x:c r="J42" s="22" t="str">
        <x:v>elder</x:v>
      </x:c>
      <x:c r="K42" s="22" t="str">
        <x:v>#E2C99C</x:v>
      </x:c>
      <x:c r="L42" s="22" t="str">
        <x:v>Ordres préparés et tour actuel</x:v>
      </x:c>
      <x:c r="M42" s="22" t="str">
        <x:v>Résonance basse, écho</x:v>
      </x:c>
      <x:c r="N42" s="22" t="str">
        <x:v>Panneaux cérémoniels</x:v>
      </x:c>
      <x:c r="O42" s="24" t="str">
        <x:v>Patine ancienne de démonstration ; aucune spécification canon inventée</x:v>
      </x:c>
      <x:c r="P42" s="24" t="str">
        <x:v>https://predator.illfonic.com/</x:v>
      </x:c>
      <x:c r="Q42" s="24"/>
      <x:c r="R42" s="22" t="str">
        <x:v>public/game/assets/v136/gauntlets/phg-cleopatra/</x:v>
      </x:c>
      <x:c r="S42" s="22" t="str">
        <x:v>P2</x:v>
      </x:c>
      <x:c r="T42" s="22" t="str">
        <x:v>4 calques ORIGINAUX distincts, PNG CI ; silhouette canonique et 1:1 non réalisés</x:v>
      </x:c>
    </x:row>
    <x:row r="43" ht="31" customHeight="1">
      <x:c r="A43" s="22" t="str">
        <x:v>phg-exiled</x:v>
      </x:c>
      <x:c r="B43" s="22" t="str">
        <x:v>Exiled · PHG</x:v>
      </x:c>
      <x:c r="C43" s="22" t="str">
        <x:v>Jeu licencié</x:v>
      </x:c>
      <x:c r="D43" s="22" t="str">
        <x:v>PHG</x:v>
      </x:c>
      <x:c r="E43" s="24" t="str">
        <x:v>Classe identifiable</x:v>
      </x:c>
      <x:c r="F43" s="24" t="str">
        <x:v>C · personnage ou classe seulement</x:v>
      </x:c>
      <x:c r="G43" s="24" t="str">
        <x:v>NON VALIDÉ 1:1</x:v>
      </x:c>
      <x:c r="H43" s="24" t="str">
        <x:v>Quête / défi réservé (non connecté)</x:v>
      </x:c>
      <x:c r="I43" s="24" t="str">
        <x:v>Non encore débloquable</x:v>
      </x:c>
      <x:c r="J43" s="22" t="str">
        <x:v>stealth</x:v>
      </x:c>
      <x:c r="K43" s="22" t="str">
        <x:v>#7BB2B0</x:v>
      </x:c>
      <x:c r="L43" s="22" t="str">
        <x:v>Passages, routes et itinéraires connus</x:v>
      </x:c>
      <x:c r="M43" s="22" t="str">
        <x:v>Bip discret étouffé</x:v>
      </x:c>
      <x:c r="N43" s="22" t="str">
        <x:v>Apparition différée</x:v>
      </x:c>
      <x:c r="O43" s="24" t="str">
        <x:v>Silhouette compacte conceptuelle ; détails poignet non confirmés</x:v>
      </x:c>
      <x:c r="P43" s="24" t="str">
        <x:v>https://predator.illfonic.com/</x:v>
      </x:c>
      <x:c r="Q43" s="24"/>
      <x:c r="R43" s="22" t="str">
        <x:v>public/game/assets/v136/gauntlets/phg-exiled/</x:v>
      </x:c>
      <x:c r="S43" s="22" t="str">
        <x:v>P2</x:v>
      </x:c>
      <x:c r="T43" s="22" t="str">
        <x:v>4 calques ORIGINAUX distincts, PNG CI ; silhouette canonique et 1:1 non réalisés</x:v>
      </x:c>
    </x:row>
    <x:row r="44" ht="31" customHeight="1">
      <x:c r="A44" s="22" t="str">
        <x:v>phg-pirate</x:v>
      </x:c>
      <x:c r="B44" s="22" t="str">
        <x:v>Pirate · PHG</x:v>
      </x:c>
      <x:c r="C44" s="22" t="str">
        <x:v>Jeu licencié</x:v>
      </x:c>
      <x:c r="D44" s="22" t="str">
        <x:v>PHG</x:v>
      </x:c>
      <x:c r="E44" s="24" t="str">
        <x:v>Classe identifiable</x:v>
      </x:c>
      <x:c r="F44" s="24" t="str">
        <x:v>C · personnage ou classe seulement</x:v>
      </x:c>
      <x:c r="G44" s="24" t="str">
        <x:v>NON VALIDÉ 1:1</x:v>
      </x:c>
      <x:c r="H44" s="24" t="str">
        <x:v>Quête / défi réservé (non connecté)</x:v>
      </x:c>
      <x:c r="I44" s="24" t="str">
        <x:v>Non encore débloquable</x:v>
      </x:c>
      <x:c r="J44" s="22" t="str">
        <x:v>bronze</x:v>
      </x:c>
      <x:c r="K44" s="22" t="str">
        <x:v>#D7A778</x:v>
      </x:c>
      <x:c r="L44" s="22" t="str">
        <x:v>Couverture des lignes de ravitaillement</x:v>
      </x:c>
      <x:c r="M44" s="22" t="str">
        <x:v>Impact métallique bref</x:v>
      </x:c>
      <x:c r="N44" s="22" t="str">
        <x:v>Segments métalliques</x:v>
      </x:c>
      <x:c r="O44" s="24" t="str">
        <x:v>Cuivre et marques de surface conceptuels en attente de vues</x:v>
      </x:c>
      <x:c r="P44" s="24" t="str">
        <x:v>https://predator.illfonic.com/</x:v>
      </x:c>
      <x:c r="Q44" s="24"/>
      <x:c r="R44" s="22" t="str">
        <x:v>public/game/assets/v136/gauntlets/phg-pirate/</x:v>
      </x:c>
      <x:c r="S44" s="22" t="str">
        <x:v>P2</x:v>
      </x:c>
      <x:c r="T44" s="22" t="str">
        <x:v>4 calques ORIGINAUX distincts, PNG CI ; silhouette canonique et 1:1 non réalisés</x:v>
      </x:c>
    </x:row>
    <x:row r="45" ht="31" customHeight="1">
      <x:c r="A45" s="22" t="str">
        <x:v>phg-bionic</x:v>
      </x:c>
      <x:c r="B45" s="22" t="str">
        <x:v>Bionic · PHG</x:v>
      </x:c>
      <x:c r="C45" s="22" t="str">
        <x:v>Jeu licencié</x:v>
      </x:c>
      <x:c r="D45" s="22" t="str">
        <x:v>PHGDLC</x:v>
      </x:c>
      <x:c r="E45" s="24" t="str">
        <x:v>Classe identifiable</x:v>
      </x:c>
      <x:c r="F45" s="24" t="str">
        <x:v>C · personnage ou classe seulement</x:v>
      </x:c>
      <x:c r="G45" s="24" t="str">
        <x:v>NON VALIDÉ 1:1</x:v>
      </x:c>
      <x:c r="H45" s="24" t="str">
        <x:v>Quête / défi réservé (non connecté)</x:v>
      </x:c>
      <x:c r="I45" s="24" t="str">
        <x:v>Non encore débloquable</x:v>
      </x:c>
      <x:c r="J45" s="22" t="str">
        <x:v>urban</x:v>
      </x:c>
      <x:c r="K45" s="22" t="str">
        <x:v>#A2E0E8</x:v>
      </x:c>
      <x:c r="L45" s="22" t="str">
        <x:v>Aptes, blessés et secours existants</x:v>
      </x:c>
      <x:c r="M45" s="22" t="str">
        <x:v>Bips doubles rapides</x:v>
      </x:c>
      <x:c r="N45" s="22" t="str">
        <x:v>Déploiement compact latéral</x:v>
      </x:c>
      <x:c r="O45" s="24" t="str">
        <x:v>Coque urbaine métallique provisoire ; plan dédié requis</x:v>
      </x:c>
      <x:c r="P45" s="24" t="str">
        <x:v>https://store.steampowered.com/app/1556200/Predator__Hunting_Grounds/</x:v>
      </x:c>
      <x:c r="Q45" s="24"/>
      <x:c r="R45" s="22" t="str">
        <x:v>public/game/assets/v136/gauntlets/phg-bionic/</x:v>
      </x:c>
      <x:c r="S45" s="22" t="str">
        <x:v>P2</x:v>
      </x:c>
      <x:c r="T45" s="22" t="str">
        <x:v>4 calques ORIGINAUX distincts, PNG CI ; silhouette canonique et 1:1 non réalisés</x:v>
      </x:c>
    </x:row>
    <x:row r="46" ht="31" customHeight="1">
      <x:c r="A46" s="22" t="str">
        <x:v>phg-emissary</x:v>
      </x:c>
      <x:c r="B46" s="22" t="str">
        <x:v>Emissary · PHG</x:v>
      </x:c>
      <x:c r="C46" s="22" t="str">
        <x:v>Jeu licencié</x:v>
      </x:c>
      <x:c r="D46" s="22" t="str">
        <x:v>PHGDLC</x:v>
      </x:c>
      <x:c r="E46" s="24" t="str">
        <x:v>Classe identifiable</x:v>
      </x:c>
      <x:c r="F46" s="24" t="str">
        <x:v>C · personnage ou classe seulement</x:v>
      </x:c>
      <x:c r="G46" s="24" t="str">
        <x:v>NON VALIDÉ 1:1</x:v>
      </x:c>
      <x:c r="H46" s="24" t="str">
        <x:v>Quête / défi réservé (non connecté)</x:v>
      </x:c>
      <x:c r="I46" s="24" t="str">
        <x:v>Non encore débloquable</x:v>
      </x:c>
      <x:c r="J46" s="22" t="str">
        <x:v>urban</x:v>
      </x:c>
      <x:c r="K46" s="22" t="str">
        <x:v>#A2E0E8</x:v>
      </x:c>
      <x:c r="L46" s="22" t="str">
        <x:v>Ordres préparés et tour actuel</x:v>
      </x:c>
      <x:c r="M46" s="22" t="str">
        <x:v>Bips doubles rapides</x:v>
      </x:c>
      <x:c r="N46" s="22" t="str">
        <x:v>Déploiement compact latéral</x:v>
      </x:c>
      <x:c r="O46" s="24" t="str">
        <x:v>Coque urbaine métallique provisoire ; plan dédié requis</x:v>
      </x:c>
      <x:c r="P46" s="24" t="str">
        <x:v>https://store.steampowered.com/app/1556200/Predator__Hunting_Grounds/</x:v>
      </x:c>
      <x:c r="Q46" s="24"/>
      <x:c r="R46" s="22" t="str">
        <x:v>public/game/assets/v136/gauntlets/phg-emissary/</x:v>
      </x:c>
      <x:c r="S46" s="22" t="str">
        <x:v>P2</x:v>
      </x:c>
      <x:c r="T46" s="22" t="str">
        <x:v>4 calques ORIGINAUX distincts, PNG CI ; silhouette canonique et 1:1 non réalisés</x:v>
      </x:c>
    </x:row>
    <x:row r="47" ht="31" customHeight="1">
      <x:c r="A47" s="22" t="str">
        <x:v>phg-oni</x:v>
      </x:c>
      <x:c r="B47" s="22" t="str">
        <x:v>Oni · PHG</x:v>
      </x:c>
      <x:c r="C47" s="22" t="str">
        <x:v>Jeu licencié</x:v>
      </x:c>
      <x:c r="D47" s="22" t="str">
        <x:v>PHGDLC</x:v>
      </x:c>
      <x:c r="E47" s="24" t="str">
        <x:v>Classe identifiable</x:v>
      </x:c>
      <x:c r="F47" s="24" t="str">
        <x:v>C · personnage ou classe seulement</x:v>
      </x:c>
      <x:c r="G47" s="24" t="str">
        <x:v>NON VALIDÉ 1:1</x:v>
      </x:c>
      <x:c r="H47" s="24" t="str">
        <x:v>Quête / défi réservé (non connecté)</x:v>
      </x:c>
      <x:c r="I47" s="24" t="str">
        <x:v>Non encore débloquable</x:v>
      </x:c>
      <x:c r="J47" s="22" t="str">
        <x:v>brutal</x:v>
      </x:c>
      <x:c r="K47" s="22" t="str">
        <x:v>#E08C65</x:v>
      </x:c>
      <x:c r="L47" s="22" t="str">
        <x:v>Ordres préparés et tour actuel</x:v>
      </x:c>
      <x:c r="M47" s="22" t="str">
        <x:v>Grave distordu</x:v>
      </x:c>
      <x:c r="N47" s="22" t="str">
        <x:v>Impulsion lourde</x:v>
      </x:c>
      <x:c r="O47" s="24" t="str">
        <x:v>Blindage lourd provisoire ; plans de référence à fournir</x:v>
      </x:c>
      <x:c r="P47" s="24" t="str">
        <x:v>https://store.steampowered.com/app/1556200/Predator__Hunting_Grounds/</x:v>
      </x:c>
      <x:c r="Q47" s="24"/>
      <x:c r="R47" s="22" t="str">
        <x:v>public/game/assets/v136/gauntlets/phg-oni/</x:v>
      </x:c>
      <x:c r="S47" s="22" t="str">
        <x:v>P2</x:v>
      </x:c>
      <x:c r="T47" s="22" t="str">
        <x:v>4 calques ORIGINAUX distincts, PNG CI ; silhouette canonique et 1:1 non réalisés</x:v>
      </x:c>
    </x:row>
    <x:row r="48" ht="31" customHeight="1">
      <x:c r="A48" s="22" t="str">
        <x:v>phg-witch</x:v>
      </x:c>
      <x:c r="B48" s="22" t="str">
        <x:v>Witch · PHG</x:v>
      </x:c>
      <x:c r="C48" s="22" t="str">
        <x:v>Jeu licencié</x:v>
      </x:c>
      <x:c r="D48" s="22" t="str">
        <x:v>PHGDLC</x:v>
      </x:c>
      <x:c r="E48" s="24" t="str">
        <x:v>Classe identifiable</x:v>
      </x:c>
      <x:c r="F48" s="24" t="str">
        <x:v>C · personnage ou classe seulement</x:v>
      </x:c>
      <x:c r="G48" s="24" t="str">
        <x:v>NON VALIDÉ 1:1</x:v>
      </x:c>
      <x:c r="H48" s="24" t="str">
        <x:v>Quête / défi réservé (non connecté)</x:v>
      </x:c>
      <x:c r="I48" s="24" t="str">
        <x:v>Non encore débloquable</x:v>
      </x:c>
      <x:c r="J48" s="22" t="str">
        <x:v>stealth</x:v>
      </x:c>
      <x:c r="K48" s="22" t="str">
        <x:v>#7BB2B0</x:v>
      </x:c>
      <x:c r="L48" s="22" t="str">
        <x:v>Observations et rapports déjà connus</x:v>
      </x:c>
      <x:c r="M48" s="22" t="str">
        <x:v>Bip discret étouffé</x:v>
      </x:c>
      <x:c r="N48" s="22" t="str">
        <x:v>Apparition différée</x:v>
      </x:c>
      <x:c r="O48" s="24" t="str">
        <x:v>Silhouette compacte conceptuelle ; détails poignet non confirmés</x:v>
      </x:c>
      <x:c r="P48" s="24" t="str">
        <x:v>https://store.steampowered.com/app/1556200/Predator__Hunting_Grounds/</x:v>
      </x:c>
      <x:c r="Q48" s="24"/>
      <x:c r="R48" s="22" t="str">
        <x:v>public/game/assets/v136/gauntlets/phg-witch/</x:v>
      </x:c>
      <x:c r="S48" s="22" t="str">
        <x:v>P2</x:v>
      </x:c>
      <x:c r="T48" s="22" t="str">
        <x:v>4 calques ORIGINAUX distincts, PNG CI ; silhouette canonique et 1:1 non réalisés</x:v>
      </x:c>
    </x:row>
    <x:row r="49" ht="31" customHeight="1">
      <x:c r="A49" s="22" t="str">
        <x:v>phg-father</x:v>
      </x:c>
      <x:c r="B49" s="22" t="str">
        <x:v>Father · PHG</x:v>
      </x:c>
      <x:c r="C49" s="22" t="str">
        <x:v>Jeu licencié</x:v>
      </x:c>
      <x:c r="D49" s="22" t="str">
        <x:v>PHGDLC</x:v>
      </x:c>
      <x:c r="E49" s="24" t="str">
        <x:v>Classe identifiable</x:v>
      </x:c>
      <x:c r="F49" s="24" t="str">
        <x:v>C · personnage ou classe seulement</x:v>
      </x:c>
      <x:c r="G49" s="24" t="str">
        <x:v>NON VALIDÉ 1:1</x:v>
      </x:c>
      <x:c r="H49" s="24" t="str">
        <x:v>Quête / défi réservé (non connecté)</x:v>
      </x:c>
      <x:c r="I49" s="24" t="str">
        <x:v>Non encore débloquable</x:v>
      </x:c>
      <x:c r="J49" s="22" t="str">
        <x:v>elder</x:v>
      </x:c>
      <x:c r="K49" s="22" t="str">
        <x:v>#E2C99C</x:v>
      </x:c>
      <x:c r="L49" s="22" t="str">
        <x:v>Ordres préparés et tour actuel</x:v>
      </x:c>
      <x:c r="M49" s="22" t="str">
        <x:v>Résonance basse, écho</x:v>
      </x:c>
      <x:c r="N49" s="22" t="str">
        <x:v>Panneaux cérémoniels</x:v>
      </x:c>
      <x:c r="O49" s="24" t="str">
        <x:v>Patine ancienne de démonstration ; aucune spécification canon inventée</x:v>
      </x:c>
      <x:c r="P49" s="24" t="str">
        <x:v>https://store.steampowered.com/app/1556200/Predator__Hunting_Grounds/</x:v>
      </x:c>
      <x:c r="Q49" s="24"/>
      <x:c r="R49" s="22" t="str">
        <x:v>public/game/assets/v136/gauntlets/phg-father/</x:v>
      </x:c>
      <x:c r="S49" s="22" t="str">
        <x:v>P2</x:v>
      </x:c>
      <x:c r="T49" s="22" t="str">
        <x:v>4 calques ORIGINAUX distincts, PNG CI ; silhouette canonique et 1:1 non réalisés</x:v>
      </x:c>
    </x:row>
    <x:row r="50" ht="31" customHeight="1">
      <x:c r="A50" s="22" t="str">
        <x:v>phg-jotun</x:v>
      </x:c>
      <x:c r="B50" s="22" t="str">
        <x:v>Jotun · PHG</x:v>
      </x:c>
      <x:c r="C50" s="22" t="str">
        <x:v>Jeu licencié</x:v>
      </x:c>
      <x:c r="D50" s="22" t="str">
        <x:v>PHGDLC</x:v>
      </x:c>
      <x:c r="E50" s="24" t="str">
        <x:v>Classe identifiable</x:v>
      </x:c>
      <x:c r="F50" s="24" t="str">
        <x:v>C · personnage ou classe seulement</x:v>
      </x:c>
      <x:c r="G50" s="24" t="str">
        <x:v>NON VALIDÉ 1:1</x:v>
      </x:c>
      <x:c r="H50" s="24" t="str">
        <x:v>Quête / défi réservé (non connecté)</x:v>
      </x:c>
      <x:c r="I50" s="24" t="str">
        <x:v>Non encore débloquable</x:v>
      </x:c>
      <x:c r="J50" s="22" t="str">
        <x:v>brutal</x:v>
      </x:c>
      <x:c r="K50" s="22" t="str">
        <x:v>#E08C65</x:v>
      </x:c>
      <x:c r="L50" s="22" t="str">
        <x:v>Ordres préparés et tour actuel</x:v>
      </x:c>
      <x:c r="M50" s="22" t="str">
        <x:v>Grave distordu</x:v>
      </x:c>
      <x:c r="N50" s="22" t="str">
        <x:v>Impulsion lourde</x:v>
      </x:c>
      <x:c r="O50" s="24" t="str">
        <x:v>Blindage lourd provisoire ; plans de référence à fournir</x:v>
      </x:c>
      <x:c r="P50" s="24" t="str">
        <x:v>https://store.steampowered.com/app/1556200/Predator__Hunting_Grounds/</x:v>
      </x:c>
      <x:c r="Q50" s="24"/>
      <x:c r="R50" s="22" t="str">
        <x:v>public/game/assets/v136/gauntlets/phg-jotun/</x:v>
      </x:c>
      <x:c r="S50" s="22" t="str">
        <x:v>P2</x:v>
      </x:c>
      <x:c r="T50" s="22" t="str">
        <x:v>4 calques ORIGINAUX distincts, PNG CI ; silhouette canonique et 1:1 non réalisés</x:v>
      </x:c>
    </x:row>
    <x:row r="51" ht="31" customHeight="1">
      <x:c r="A51" s="22" t="str">
        <x:v>phg-exalted</x:v>
      </x:c>
      <x:c r="B51" s="22" t="str">
        <x:v>Exalted · PHG</x:v>
      </x:c>
      <x:c r="C51" s="22" t="str">
        <x:v>Jeu licencié</x:v>
      </x:c>
      <x:c r="D51" s="22" t="str">
        <x:v>PHGDLC</x:v>
      </x:c>
      <x:c r="E51" s="24" t="str">
        <x:v>Classe identifiable</x:v>
      </x:c>
      <x:c r="F51" s="24" t="str">
        <x:v>C · personnage ou classe seulement</x:v>
      </x:c>
      <x:c r="G51" s="24" t="str">
        <x:v>NON VALIDÉ 1:1</x:v>
      </x:c>
      <x:c r="H51" s="24" t="str">
        <x:v>Quête / défi réservé (non connecté)</x:v>
      </x:c>
      <x:c r="I51" s="24" t="str">
        <x:v>Non encore débloquable</x:v>
      </x:c>
      <x:c r="J51" s="22" t="str">
        <x:v>elder</x:v>
      </x:c>
      <x:c r="K51" s="22" t="str">
        <x:v>#E2C99C</x:v>
      </x:c>
      <x:c r="L51" s="22" t="str">
        <x:v>Observations et rapports déjà connus</x:v>
      </x:c>
      <x:c r="M51" s="22" t="str">
        <x:v>Résonance basse, écho</x:v>
      </x:c>
      <x:c r="N51" s="22" t="str">
        <x:v>Panneaux cérémoniels</x:v>
      </x:c>
      <x:c r="O51" s="24" t="str">
        <x:v>Patine ancienne de démonstration ; aucune spécification canon inventée</x:v>
      </x:c>
      <x:c r="P51" s="24" t="str">
        <x:v>https://store.steampowered.com/app/1556200/Predator__Hunting_Grounds/</x:v>
      </x:c>
      <x:c r="Q51" s="24"/>
      <x:c r="R51" s="22" t="str">
        <x:v>public/game/assets/v136/gauntlets/phg-exalted/</x:v>
      </x:c>
      <x:c r="S51" s="22" t="str">
        <x:v>P2</x:v>
      </x:c>
      <x:c r="T51" s="22" t="str">
        <x:v>4 calques ORIGINAUX distincts, PNG CI ; silhouette canonique et 1:1 non réalisés</x:v>
      </x:c>
    </x:row>
    <x:row r="52" ht="31" customHeight="1">
      <x:c r="A52" s="22" t="str">
        <x:v>phg-anubis</x:v>
      </x:c>
      <x:c r="B52" s="22" t="str">
        <x:v>Anubis · PHG</x:v>
      </x:c>
      <x:c r="C52" s="22" t="str">
        <x:v>Jeu licencié</x:v>
      </x:c>
      <x:c r="D52" s="22" t="str">
        <x:v>PHGDLC</x:v>
      </x:c>
      <x:c r="E52" s="24" t="str">
        <x:v>Classe identifiable</x:v>
      </x:c>
      <x:c r="F52" s="24" t="str">
        <x:v>C · personnage ou classe seulement</x:v>
      </x:c>
      <x:c r="G52" s="24" t="str">
        <x:v>NON VALIDÉ 1:1</x:v>
      </x:c>
      <x:c r="H52" s="24" t="str">
        <x:v>Quête / défi réservé (non connecté)</x:v>
      </x:c>
      <x:c r="I52" s="24" t="str">
        <x:v>Non encore débloquable</x:v>
      </x:c>
      <x:c r="J52" s="22" t="str">
        <x:v>bronze</x:v>
      </x:c>
      <x:c r="K52" s="22" t="str">
        <x:v>#D7A778</x:v>
      </x:c>
      <x:c r="L52" s="22" t="str">
        <x:v>Observations et rapports déjà connus</x:v>
      </x:c>
      <x:c r="M52" s="22" t="str">
        <x:v>Impact métallique bref</x:v>
      </x:c>
      <x:c r="N52" s="22" t="str">
        <x:v>Segments métalliques</x:v>
      </x:c>
      <x:c r="O52" s="24" t="str">
        <x:v>Cuivre et marques de surface conceptuels en attente de vues</x:v>
      </x:c>
      <x:c r="P52" s="24" t="str">
        <x:v>https://store.steampowered.com/app/1556200/Predator__Hunting_Grounds/</x:v>
      </x:c>
      <x:c r="Q52" s="24"/>
      <x:c r="R52" s="22" t="str">
        <x:v>public/game/assets/v136/gauntlets/phg-anubis/</x:v>
      </x:c>
      <x:c r="S52" s="22" t="str">
        <x:v>P2</x:v>
      </x:c>
      <x:c r="T52" s="22" t="str">
        <x:v>4 calques ORIGINAUX distincts, PNG CI ; silhouette canonique et 1:1 non réalisés</x:v>
      </x:c>
    </x:row>
    <x:row r="53" ht="31" customHeight="1">
      <x:c r="A53" s="22" t="str">
        <x:v>phg-gladiator</x:v>
      </x:c>
      <x:c r="B53" s="22" t="str">
        <x:v>Gladiator · PHG</x:v>
      </x:c>
      <x:c r="C53" s="22" t="str">
        <x:v>Jeu licencié</x:v>
      </x:c>
      <x:c r="D53" s="22" t="str">
        <x:v>PHGDLC</x:v>
      </x:c>
      <x:c r="E53" s="24" t="str">
        <x:v>Classe identifiable</x:v>
      </x:c>
      <x:c r="F53" s="24" t="str">
        <x:v>C · personnage ou classe seulement</x:v>
      </x:c>
      <x:c r="G53" s="24" t="str">
        <x:v>NON VALIDÉ 1:1</x:v>
      </x:c>
      <x:c r="H53" s="24" t="str">
        <x:v>Quête / défi réservé (non connecté)</x:v>
      </x:c>
      <x:c r="I53" s="24" t="str">
        <x:v>Non encore débloquable</x:v>
      </x:c>
      <x:c r="J53" s="22" t="str">
        <x:v>brutal</x:v>
      </x:c>
      <x:c r="K53" s="22" t="str">
        <x:v>#E08C65</x:v>
      </x:c>
      <x:c r="L53" s="22" t="str">
        <x:v>Ordres préparés et tour actuel</x:v>
      </x:c>
      <x:c r="M53" s="22" t="str">
        <x:v>Grave distordu</x:v>
      </x:c>
      <x:c r="N53" s="22" t="str">
        <x:v>Impulsion lourde</x:v>
      </x:c>
      <x:c r="O53" s="24" t="str">
        <x:v>Blindage lourd provisoire ; plans de référence à fournir</x:v>
      </x:c>
      <x:c r="P53" s="24" t="str">
        <x:v>https://store.steampowered.com/app/1556200/Predator__Hunting_Grounds/</x:v>
      </x:c>
      <x:c r="Q53" s="24"/>
      <x:c r="R53" s="22" t="str">
        <x:v>public/game/assets/v136/gauntlets/phg-gladiator/</x:v>
      </x:c>
      <x:c r="S53" s="22" t="str">
        <x:v>P2</x:v>
      </x:c>
      <x:c r="T53" s="22" t="str">
        <x:v>4 calques ORIGINAUX distincts, PNG CI ; silhouette canonique et 1:1 non réalisés</x:v>
      </x:c>
    </x:row>
    <x:row r="54" ht="31" customHeight="1">
      <x:c r="A54" s="22" t="str">
        <x:v>scarface</x:v>
      </x:c>
      <x:c r="B54" s="22" t="str">
        <x:v>Scarface · Concrete Jungle</x:v>
      </x:c>
      <x:c r="C54" s="22" t="str">
        <x:v>Jeu vidéo</x:v>
      </x:c>
      <x:c r="D54" s="22" t="str">
        <x:v>CG</x:v>
      </x:c>
      <x:c r="E54" s="24" t="str">
        <x:v>Personnage identifiable</x:v>
      </x:c>
      <x:c r="F54" s="24" t="str">
        <x:v>C · personnage ou classe seulement</x:v>
      </x:c>
      <x:c r="G54" s="24" t="str">
        <x:v>NON VALIDÉ 1:1</x:v>
      </x:c>
      <x:c r="H54" s="24" t="str">
        <x:v>Quête / défi réservé (non connecté)</x:v>
      </x:c>
      <x:c r="I54" s="24" t="str">
        <x:v>Non encore débloquable</x:v>
      </x:c>
      <x:c r="J54" s="22" t="str">
        <x:v>urban</x:v>
      </x:c>
      <x:c r="K54" s="22" t="str">
        <x:v>#A2E0E8</x:v>
      </x:c>
      <x:c r="L54" s="22" t="str">
        <x:v>Ordres préparés et tour actuel</x:v>
      </x:c>
      <x:c r="M54" s="22" t="str">
        <x:v>Bips doubles rapides</x:v>
      </x:c>
      <x:c r="N54" s="22" t="str">
        <x:v>Déploiement compact latéral</x:v>
      </x:c>
      <x:c r="O54" s="24" t="str">
        <x:v>Coque urbaine métallique provisoire ; plan dédié requis</x:v>
      </x:c>
      <x:c r="P54" s="24" t="str">
        <x:v>https://www.avpgalaxy.net/merch/neca/predator/series/</x:v>
      </x:c>
      <x:c r="Q54" s="24"/>
      <x:c r="R54" s="22" t="str">
        <x:v>public/game/assets/v136/gauntlets/scarface/</x:v>
      </x:c>
      <x:c r="S54" s="22" t="str">
        <x:v>P2</x:v>
      </x:c>
      <x:c r="T54" s="22" t="str">
        <x:v>4 calques ORIGINAUX distincts, PNG CI ; silhouette canonique et 1:1 non réalisés</x:v>
      </x:c>
    </x:row>
    <x:row r="55" ht="31" customHeight="1">
      <x:c r="A55" s="22" t="str">
        <x:v>stone-heart</x:v>
      </x:c>
      <x:c r="B55" s="22" t="str">
        <x:v>Stone Heart · Concrete Jungle</x:v>
      </x:c>
      <x:c r="C55" s="22" t="str">
        <x:v>Jeu vidéo</x:v>
      </x:c>
      <x:c r="D55" s="22" t="str">
        <x:v>CG</x:v>
      </x:c>
      <x:c r="E55" s="24" t="str">
        <x:v>Personnage identifiable</x:v>
      </x:c>
      <x:c r="F55" s="24" t="str">
        <x:v>C · personnage ou classe seulement</x:v>
      </x:c>
      <x:c r="G55" s="24" t="str">
        <x:v>NON VALIDÉ 1:1</x:v>
      </x:c>
      <x:c r="H55" s="24" t="str">
        <x:v>Quête / défi réservé (non connecté)</x:v>
      </x:c>
      <x:c r="I55" s="24" t="str">
        <x:v>Non encore débloquable</x:v>
      </x:c>
      <x:c r="J55" s="22" t="str">
        <x:v>brutal</x:v>
      </x:c>
      <x:c r="K55" s="22" t="str">
        <x:v>#E08C65</x:v>
      </x:c>
      <x:c r="L55" s="22" t="str">
        <x:v>Aptes, blessés et secours existants</x:v>
      </x:c>
      <x:c r="M55" s="22" t="str">
        <x:v>Grave distordu</x:v>
      </x:c>
      <x:c r="N55" s="22" t="str">
        <x:v>Impulsion lourde</x:v>
      </x:c>
      <x:c r="O55" s="24" t="str">
        <x:v>Blindage lourd provisoire ; plans de référence à fournir</x:v>
      </x:c>
      <x:c r="P55" s="24" t="str">
        <x:v>https://www.avpgalaxy.net/merch/neca/predator/series/</x:v>
      </x:c>
      <x:c r="Q55" s="24"/>
      <x:c r="R55" s="22" t="str">
        <x:v>public/game/assets/v136/gauntlets/stone-heart/</x:v>
      </x:c>
      <x:c r="S55" s="22" t="str">
        <x:v>P2</x:v>
      </x:c>
      <x:c r="T55" s="22" t="str">
        <x:v>4 calques ORIGINAUX distincts, PNG CI ; silhouette canonique et 1:1 non réalisés</x:v>
      </x:c>
    </x:row>
    <x:row r="56" ht="31" customHeight="1">
      <x:c r="A56" s="22" t="str">
        <x:v>ahab</x:v>
      </x:c>
      <x:c r="B56" s="22" t="str">
        <x:v>Ahab · comics / NECA</x:v>
      </x:c>
      <x:c r="C56" s="22" t="str">
        <x:v>Comics</x:v>
      </x:c>
      <x:c r="D56" s="22" t="str">
        <x:v>CG</x:v>
      </x:c>
      <x:c r="E56" s="24" t="str">
        <x:v>Personnage identifiable</x:v>
      </x:c>
      <x:c r="F56" s="24" t="str">
        <x:v>C · personnage ou classe seulement</x:v>
      </x:c>
      <x:c r="G56" s="24" t="str">
        <x:v>NON VALIDÉ 1:1</x:v>
      </x:c>
      <x:c r="H56" s="24" t="str">
        <x:v>Quête / défi réservé (non connecté)</x:v>
      </x:c>
      <x:c r="I56" s="24" t="str">
        <x:v>Non encore débloquable</x:v>
      </x:c>
      <x:c r="J56" s="22" t="str">
        <x:v>elder</x:v>
      </x:c>
      <x:c r="K56" s="22" t="str">
        <x:v>#E2C99C</x:v>
      </x:c>
      <x:c r="L56" s="22" t="str">
        <x:v>Observations et rapports déjà connus</x:v>
      </x:c>
      <x:c r="M56" s="22" t="str">
        <x:v>Résonance basse, écho</x:v>
      </x:c>
      <x:c r="N56" s="22" t="str">
        <x:v>Panneaux cérémoniels</x:v>
      </x:c>
      <x:c r="O56" s="24" t="str">
        <x:v>Patine ancienne de démonstration ; aucune spécification canon inventée</x:v>
      </x:c>
      <x:c r="P56" s="24" t="str">
        <x:v>https://www.avpgalaxy.net/merch/neca/predator/series/</x:v>
      </x:c>
      <x:c r="Q56" s="24"/>
      <x:c r="R56" s="22" t="str">
        <x:v>public/game/assets/v136/gauntlets/ahab/</x:v>
      </x:c>
      <x:c r="S56" s="22" t="str">
        <x:v>P2</x:v>
      </x:c>
      <x:c r="T56" s="22" t="str">
        <x:v>4 calques ORIGINAUX distincts, PNG CI ; silhouette canonique et 1:1 non réalisés</x:v>
      </x:c>
    </x:row>
    <x:row r="57" ht="31" customHeight="1">
      <x:c r="A57" s="22" t="str">
        <x:v>dark-2010</x:v>
      </x:c>
      <x:c r="B57" s="22" t="str">
        <x:v>Dark · Aliens vs Predator (2010)</x:v>
      </x:c>
      <x:c r="C57" s="22" t="str">
        <x:v>Jeu vidéo</x:v>
      </x:c>
      <x:c r="D57" s="22" t="str">
        <x:v>CG</x:v>
      </x:c>
      <x:c r="E57" s="24" t="str">
        <x:v>Personnage identifiable</x:v>
      </x:c>
      <x:c r="F57" s="24" t="str">
        <x:v>C · personnage ou classe seulement</x:v>
      </x:c>
      <x:c r="G57" s="24" t="str">
        <x:v>NON VALIDÉ 1:1</x:v>
      </x:c>
      <x:c r="H57" s="24" t="str">
        <x:v>Quête / défi réservé (non connecté)</x:v>
      </x:c>
      <x:c r="I57" s="24" t="str">
        <x:v>Non encore débloquable</x:v>
      </x:c>
      <x:c r="J57" s="22" t="str">
        <x:v>stealth</x:v>
      </x:c>
      <x:c r="K57" s="22" t="str">
        <x:v>#7BB2B0</x:v>
      </x:c>
      <x:c r="L57" s="22" t="str">
        <x:v>Passages, routes et itinéraires connus</x:v>
      </x:c>
      <x:c r="M57" s="22" t="str">
        <x:v>Bip discret étouffé</x:v>
      </x:c>
      <x:c r="N57" s="22" t="str">
        <x:v>Apparition différée</x:v>
      </x:c>
      <x:c r="O57" s="24" t="str">
        <x:v>Silhouette compacte conceptuelle ; détails poignet non confirmés</x:v>
      </x:c>
      <x:c r="P57" s="24" t="str">
        <x:v>https://www.avpgalaxy.net/merch/neca/predator/series/</x:v>
      </x:c>
      <x:c r="Q57" s="24"/>
      <x:c r="R57" s="22" t="str">
        <x:v>public/game/assets/v136/gauntlets/dark-2010/</x:v>
      </x:c>
      <x:c r="S57" s="22" t="str">
        <x:v>P2</x:v>
      </x:c>
      <x:c r="T57" s="22" t="str">
        <x:v>4 calques ORIGINAUX distincts, PNG CI ; silhouette canonique et 1:1 non réalisés</x:v>
      </x:c>
    </x:row>
    <x:row r="58" ht="31" customHeight="1">
      <x:c r="A58" s="22" t="str">
        <x:v>phg-captured</x:v>
      </x:c>
      <x:c r="B58" s="22" t="str">
        <x:v>Captured · PHG</x:v>
      </x:c>
      <x:c r="C58" s="22" t="str">
        <x:v>Jeu licencié</x:v>
      </x:c>
      <x:c r="D58" s="22" t="str">
        <x:v>PHG</x:v>
      </x:c>
      <x:c r="E58" s="24" t="str">
        <x:v>Classe identifiable</x:v>
      </x:c>
      <x:c r="F58" s="24" t="str">
        <x:v>C · personnage ou classe seulement</x:v>
      </x:c>
      <x:c r="G58" s="24" t="str">
        <x:v>NON VALIDÉ 1:1</x:v>
      </x:c>
      <x:c r="H58" s="24" t="str">
        <x:v>Quête / défi réservé (non connecté)</x:v>
      </x:c>
      <x:c r="I58" s="24" t="str">
        <x:v>Non encore débloquable</x:v>
      </x:c>
      <x:c r="J58" s="22" t="str">
        <x:v>classic</x:v>
      </x:c>
      <x:c r="K58" s="22" t="str">
        <x:v>#71E4DC</x:v>
      </x:c>
      <x:c r="L58" s="22" t="str">
        <x:v>Observations et rapports déjà connus</x:v>
      </x:c>
      <x:c r="M58" s="22" t="str">
        <x:v>Impulsions graves en quatre temps</x:v>
      </x:c>
      <x:c r="N58" s="22" t="str">
        <x:v>Capot et faisceau ascendant</x:v>
      </x:c>
      <x:c r="O58" s="24" t="str">
        <x:v>Silhouette Yautja classique provisoire ; alignement au héros à contrôler</x:v>
      </x:c>
      <x:c r="P58" s="24" t="str">
        <x:v>https://predator.illfonic.com/</x:v>
      </x:c>
      <x:c r="Q58" s="24"/>
      <x:c r="R58" s="22" t="str">
        <x:v>public/game/assets/v136/gauntlets/phg-captured/</x:v>
      </x:c>
      <x:c r="S58" s="22" t="str">
        <x:v>P2</x:v>
      </x:c>
      <x:c r="T58" s="22" t="str">
        <x:v>4 calques ORIGINAUX distincts, PNG CI ; silhouette canonique et 1:1 non réalisés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360611464bb24da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43" hidden="0" customWidth="1"/>
    <x:col min="4" max="4" width="39" hidden="0" customWidth="1"/>
    <x:col min="5" max="5" width="26" hidden="0" customWidth="1"/>
    <x:col min="6" max="6" width="40" hidden="0" customWidth="1"/>
    <x:col min="7" max="7" width="27" hidden="0" customWidth="1"/>
    <x:col min="8" max="8" width="31" hidden="0" customWidth="1"/>
    <x:col min="9" max="9" width="22" hidden="0" customWidth="1"/>
    <x:col min="10" max="10" width="39" hidden="0" customWidth="1"/>
  </x:cols>
  <x:sheetData>
    <x:row r="1" ht="38" customHeight="1">
      <x:c r="A1" s="4" t="str">
        <x:v>PROGRESSION · 54 CONDITIONS DISTINCTES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Les quêtes futures ne doivent jamais être considérées comme fonctionnelles. Les rangs utilisés proviennent de la véritable sauvegarde de chasse.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ID</x:v>
      </x:c>
      <x:c r="B4" s="17" t="str">
        <x:v>Modèle</x:v>
      </x:c>
      <x:c r="C4" s="17" t="str">
        <x:v>Condition</x:v>
      </x:c>
      <x:c r="D4" s="17" t="str">
        <x:v>Signal réel à écouter</x:v>
      </x:c>
      <x:c r="E4" s="17" t="str">
        <x:v>Etat code</x:v>
      </x:c>
      <x:c r="F4" s="17" t="str">
        <x:v>Justification lore-friendly</x:v>
      </x:c>
      <x:c r="G4" s="17" t="str">
        <x:v>Lieu d'obtention prévu</x:v>
      </x:c>
      <x:c r="H4" s="17" t="str">
        <x:v>Effet sur jeu</x:v>
      </x:c>
      <x:c r="I4" s="17" t="str">
        <x:v>Testable actuellement</x:v>
      </x:c>
      <x:c r="J4" s="17" t="str">
        <x:v>Référence</x:v>
      </x:c>
    </x:row>
    <x:row r="5" ht="31" customHeight="1">
      <x:c r="A5" s="22" t="str">
        <x:v>jungle-hunter</x:v>
      </x:c>
      <x:c r="B5" s="22" t="str">
        <x:v>Jungle Hunter · 1987</x:v>
      </x:c>
      <x:c r="C5" s="24" t="str">
        <x:v>Gratuit / initial</x:v>
      </x:c>
      <x:c r="D5" s="24" t="str">
        <x:v>Start default</x:v>
      </x:c>
      <x:c r="E5" s="24" t="str">
        <x:v>Garde de rang/initiale implémentée et contrôlée par tests ciblés</x:v>
      </x:c>
      <x:c r="F5" s="24" t="str">
        <x:v>Héritage du modèle historique, reproduction autorisée par l'atelier du clan</x:v>
      </x:c>
      <x:c r="G5" s="24" t="str">
        <x:v>Armurerie de clan</x:v>
      </x:c>
      <x:c r="H5" s="24" t="str">
        <x:v>Aucun changement de dégâts ou crédits</x:v>
      </x:c>
      <x:c r="I5" s="22" t="str">
        <x:v>Code OK ; scénario complet d'atelier à vérifier</x:v>
      </x:c>
      <x:c r="J5" s="22" t="str">
        <x:v>https://store.necaonline.com/products/predator-ultimate-jungle-hunter-7-scale-action-figure</x:v>
      </x:c>
    </x:row>
    <x:row r="6" ht="31" customHeight="1">
      <x:c r="A6" s="22" t="str">
        <x:v>city-hunter</x:v>
      </x:c>
      <x:c r="B6" s="22" t="str">
        <x:v>City Hunter · 1990</x:v>
      </x:c>
      <x:c r="C6" s="24" t="str">
        <x:v>Rank &gt;= blooded</x:v>
      </x:c>
      <x:c r="D6" s="24" t="str">
        <x:v>save.profile.rankId (lecture seule)</x:v>
      </x:c>
      <x:c r="E6" s="24" t="str">
        <x:v>Garde de rang/initiale implémentée et contrôlée par tests ciblés</x:v>
      </x:c>
      <x:c r="F6" s="24" t="str">
        <x:v>Accès aux archives urbaines des anciens chasseurs</x:v>
      </x:c>
      <x:c r="G6" s="24" t="str">
        <x:v>Armurerie de clan</x:v>
      </x:c>
      <x:c r="H6" s="24" t="str">
        <x:v>Aucun changement de dégâts ou crédits</x:v>
      </x:c>
      <x:c r="I6" s="22" t="str">
        <x:v>Code OK ; scénario complet d'atelier à vérifier</x:v>
      </x:c>
      <x:c r="J6" s="22" t="str">
        <x:v>https://propstoreauction.com/lot-details/index/catalog/496/lot/193088/</x:v>
      </x:c>
    </x:row>
    <x:row r="7" ht="31" customHeight="1">
      <x:c r="A7" s="22" t="str">
        <x:v>greyback</x:v>
      </x:c>
      <x:c r="B7" s="22" t="str">
        <x:v>Greyback / Elder · 1990</x:v>
      </x:c>
      <x:c r="C7" s="24" t="str">
        <x:v>Rank &gt;= elder</x:v>
      </x:c>
      <x:c r="D7" s="24" t="str">
        <x:v>save.profile.rankId (lecture seule)</x:v>
      </x:c>
      <x:c r="E7" s="24" t="str">
        <x:v>Garde de rang/initiale implémentée et contrôlée par tests ciblés</x:v>
      </x:c>
      <x:c r="F7" s="24" t="str">
        <x:v>Accès aux archives urbaines des anciens chasseurs</x:v>
      </x:c>
      <x:c r="G7" s="24" t="str">
        <x:v>Armurerie de clan</x:v>
      </x:c>
      <x:c r="H7" s="24" t="str">
        <x:v>Aucun changement de dégâts ou crédits</x:v>
      </x:c>
      <x:c r="I7" s="22" t="str">
        <x:v>Code OK ; scénario complet d'atelier à vérifier</x:v>
      </x:c>
      <x:c r="J7" s="22" t="str">
        <x:v>https://www.20thcenturystudios.com/movies/predator-2</x:v>
      </x:c>
    </x:row>
    <x:row r="8" ht="31" customHeight="1">
      <x:c r="A8" s="22" t="str">
        <x:v>lost-boar</x:v>
      </x:c>
      <x:c r="B8" s="22" t="str">
        <x:v>Boar · Lost Tribe</x:v>
      </x:c>
      <x:c r="C8" s="24" t="str">
        <x:v>Étude V134 : 1 réussite(s) desert-sandmaw, trophée elite, 15 scans + rite</x:v>
      </x:c>
      <x:c r="D8" s="24" t="str">
        <x:v>save.missionProgress / trophies / statistics.totalScans / rang elite</x:v>
      </x:c>
      <x:c r="E8" s="24" t="str">
        <x:v>Implémenté en V13 : étude à valider manuellement ; non offert automatiquement</x:v>
      </x:c>
      <x:c r="F8" s="24" t="str">
        <x:v>Exploration de reliques du clan perdu, pas de vol automatique</x:v>
      </x:c>
      <x:c r="G8" s="24" t="str">
        <x:v>Armurerie vaisseau / Guerre des clans (atelier Homeworld physique à produire)</x:v>
      </x:c>
      <x:c r="H8" s="24" t="str">
        <x:v>Aucun changement de dégâts ou crédits</x:v>
      </x:c>
      <x:c r="I8" s="22" t="str">
        <x:v>Testable par tests V134 ; parcours humain complet à valider</x:v>
      </x:c>
      <x:c r="J8" s="22" t="str">
        <x:v>https://store.necaonline.com/blogs/news/predators-introducing-the-lost-tribe-from-our-series-6-action-figures</x:v>
      </x:c>
    </x:row>
    <x:row r="9" ht="31" customHeight="1">
      <x:c r="A9" s="22" t="str">
        <x:v>lost-shaman</x:v>
      </x:c>
      <x:c r="B9" s="22" t="str">
        <x:v>Shaman · Lost Tribe</x:v>
      </x:c>
      <x:c r="C9" s="24" t="str">
        <x:v>Étude V134 : 1 réussite(s) ocean-leviathan, trophée worthy, 5 scans</x:v>
      </x:c>
      <x:c r="D9" s="24" t="str">
        <x:v>save.missionProgress / trophies / statistics.totalScans / rang blooded</x:v>
      </x:c>
      <x:c r="E9" s="24" t="str">
        <x:v>Implémenté en V13 : étude à valider manuellement ; non offert automatiquement</x:v>
      </x:c>
      <x:c r="F9" s="24" t="str">
        <x:v>Exploration de reliques du clan perdu, pas de vol automatique</x:v>
      </x:c>
      <x:c r="G9" s="24" t="str">
        <x:v>Armurerie vaisseau / Guerre des clans (atelier Homeworld physique à produire)</x:v>
      </x:c>
      <x:c r="H9" s="24" t="str">
        <x:v>Aucun changement de dégâts ou crédits</x:v>
      </x:c>
      <x:c r="I9" s="22" t="str">
        <x:v>Testable par tests V134 ; parcours humain complet à valider</x:v>
      </x:c>
      <x:c r="J9" s="22" t="str">
        <x:v>https://store.necaonline.com/blogs/news/predators-introducing-the-lost-tribe-from-our-series-6-action-figures</x:v>
      </x:c>
    </x:row>
    <x:row r="10" ht="31" customHeight="1">
      <x:c r="A10" s="22" t="str">
        <x:v>lost-guardian</x:v>
      </x:c>
      <x:c r="B10" s="22" t="str">
        <x:v>Guardian · Lost Tribe</x:v>
      </x:c>
      <x:c r="C10" s="24" t="str">
        <x:v>Étude V134 : 1 réussite(s) desert-sandmaw, trophée blooded, 10 scans</x:v>
      </x:c>
      <x:c r="D10" s="24" t="str">
        <x:v>save.missionProgress / trophies / statistics.totalScans / rang blooded</x:v>
      </x:c>
      <x:c r="E10" s="24" t="str">
        <x:v>Implémenté en V13 : étude à valider manuellement ; non offert automatiquement</x:v>
      </x:c>
      <x:c r="F10" s="24" t="str">
        <x:v>Exploration de reliques du clan perdu, pas de vol automatique</x:v>
      </x:c>
      <x:c r="G10" s="24" t="str">
        <x:v>Armurerie vaisseau / Guerre des clans (atelier Homeworld physique à produire)</x:v>
      </x:c>
      <x:c r="H10" s="24" t="str">
        <x:v>Aucun changement de dégâts ou crédits</x:v>
      </x:c>
      <x:c r="I10" s="22" t="str">
        <x:v>Testable par tests V134 ; parcours humain complet à valider</x:v>
      </x:c>
      <x:c r="J10" s="22" t="str">
        <x:v>https://store.necaonline.com/blogs/news/predators-introducing-the-lost-tribe-from-our-series-6-action-figures</x:v>
      </x:c>
    </x:row>
    <x:row r="11" ht="31" customHeight="1">
      <x:c r="A11" s="22" t="str">
        <x:v>lost-stalker</x:v>
      </x:c>
      <x:c r="B11" s="22" t="str">
        <x:v>Stalker · Lost Tribe</x:v>
      </x:c>
      <x:c r="C11" s="24" t="str">
        <x:v>Étude V134 : 1 réussite(s) fungal-hivemind, trophée elite, 15 scans + rite</x:v>
      </x:c>
      <x:c r="D11" s="24" t="str">
        <x:v>save.missionProgress / trophies / statistics.totalScans / rang elite</x:v>
      </x:c>
      <x:c r="E11" s="24" t="str">
        <x:v>Implémenté en V13 : étude à valider manuellement ; non offert automatiquement</x:v>
      </x:c>
      <x:c r="F11" s="24" t="str">
        <x:v>Exploration de reliques du clan perdu, pas de vol automatique</x:v>
      </x:c>
      <x:c r="G11" s="24" t="str">
        <x:v>Armurerie vaisseau / Guerre des clans (atelier Homeworld physique à produire)</x:v>
      </x:c>
      <x:c r="H11" s="24" t="str">
        <x:v>Aucun changement de dégâts ou crédits</x:v>
      </x:c>
      <x:c r="I11" s="22" t="str">
        <x:v>Testable par tests V134 ; parcours humain complet à valider</x:v>
      </x:c>
      <x:c r="J11" s="22" t="str">
        <x:v>https://store.necaonline.com/blogs/news/predators-introducing-the-lost-tribe-from-our-series-6-action-figures</x:v>
      </x:c>
    </x:row>
    <x:row r="12" ht="31" customHeight="1">
      <x:c r="A12" s="22" t="str">
        <x:v>lost-snake</x:v>
      </x:c>
      <x:c r="B12" s="22" t="str">
        <x:v>Snake · Lost Tribe</x:v>
      </x:c>
      <x:c r="C12" s="24" t="str">
        <x:v>Étude V134 : 1 réussite(s) volcano-bad-blood, trophée elite, 15 scans + rite</x:v>
      </x:c>
      <x:c r="D12" s="24" t="str">
        <x:v>save.missionProgress / trophies / statistics.totalScans / rang elite</x:v>
      </x:c>
      <x:c r="E12" s="24" t="str">
        <x:v>Implémenté en V13 : étude à valider manuellement ; non offert automatiquement</x:v>
      </x:c>
      <x:c r="F12" s="24" t="str">
        <x:v>Exploration de reliques du clan perdu, pas de vol automatique</x:v>
      </x:c>
      <x:c r="G12" s="24" t="str">
        <x:v>Armurerie vaisseau / Guerre des clans (atelier Homeworld physique à produire)</x:v>
      </x:c>
      <x:c r="H12" s="24" t="str">
        <x:v>Aucun changement de dégâts ou crédits</x:v>
      </x:c>
      <x:c r="I12" s="22" t="str">
        <x:v>Testable par tests V134 ; parcours humain complet à valider</x:v>
      </x:c>
      <x:c r="J12" s="22" t="str">
        <x:v>https://store.necaonline.com/blogs/news/predators-introducing-the-lost-tribe-from-our-series-6-action-figures</x:v>
      </x:c>
    </x:row>
    <x:row r="13" ht="31" customHeight="1">
      <x:c r="A13" s="22" t="str">
        <x:v>lost-warrior</x:v>
      </x:c>
      <x:c r="B13" s="22" t="str">
        <x:v>Warrior · Lost Tribe</x:v>
      </x:c>
      <x:c r="C13" s="24" t="str">
        <x:v>Étude V134 : 1 réussite(s) ice-cryostalker, trophée worthy, 5 scans</x:v>
      </x:c>
      <x:c r="D13" s="24" t="str">
        <x:v>save.missionProgress / trophies / statistics.totalScans / rang blooded</x:v>
      </x:c>
      <x:c r="E13" s="24" t="str">
        <x:v>Implémenté en V13 : étude à valider manuellement ; non offert automatiquement</x:v>
      </x:c>
      <x:c r="F13" s="24" t="str">
        <x:v>Exploration de reliques du clan perdu, pas de vol automatique</x:v>
      </x:c>
      <x:c r="G13" s="24" t="str">
        <x:v>Armurerie vaisseau / Guerre des clans (atelier Homeworld physique à produire)</x:v>
      </x:c>
      <x:c r="H13" s="24" t="str">
        <x:v>Aucun changement de dégâts ou crédits</x:v>
      </x:c>
      <x:c r="I13" s="22" t="str">
        <x:v>Testable par tests V134 ; parcours humain complet à valider</x:v>
      </x:c>
      <x:c r="J13" s="22" t="str">
        <x:v>https://store.necaonline.com/blogs/news/predators-introducing-the-lost-tribe-from-our-series-6-action-figures</x:v>
      </x:c>
    </x:row>
    <x:row r="14" ht="31" customHeight="1">
      <x:c r="A14" s="22" t="str">
        <x:v>lost-scout</x:v>
      </x:c>
      <x:c r="B14" s="22" t="str">
        <x:v>Scout · Lost Tribe</x:v>
      </x:c>
      <x:c r="C14" s="24" t="str">
        <x:v>Étude V134 : 1 réussite(s) ice-cryostalker, trophée worthy, 5 scans</x:v>
      </x:c>
      <x:c r="D14" s="24" t="str">
        <x:v>save.missionProgress / trophies / statistics.totalScans / rang blooded</x:v>
      </x:c>
      <x:c r="E14" s="24" t="str">
        <x:v>Implémenté en V13 : étude à valider manuellement ; non offert automatiquement</x:v>
      </x:c>
      <x:c r="F14" s="24" t="str">
        <x:v>Exploration de reliques du clan perdu, pas de vol automatique</x:v>
      </x:c>
      <x:c r="G14" s="24" t="str">
        <x:v>Armurerie vaisseau / Guerre des clans (atelier Homeworld physique à produire)</x:v>
      </x:c>
      <x:c r="H14" s="24" t="str">
        <x:v>Aucun changement de dégâts ou crédits</x:v>
      </x:c>
      <x:c r="I14" s="22" t="str">
        <x:v>Testable par tests V134 ; parcours humain complet à valider</x:v>
      </x:c>
      <x:c r="J14" s="22" t="str">
        <x:v>https://store.necaonline.com/blogs/news/predators-introducing-the-lost-tribe-from-our-series-6-action-figures</x:v>
      </x:c>
    </x:row>
    <x:row r="15" ht="31" customHeight="1">
      <x:c r="A15" s="22" t="str">
        <x:v>lost-borg</x:v>
      </x:c>
      <x:c r="B15" s="22" t="str">
        <x:v>Lost / Borg · Lost Tribe</x:v>
      </x:c>
      <x:c r="C15" s="24" t="str">
        <x:v>Étude V134 : 1 réussite(s) swamp-hydra, trophée elite, 15 scans + rite</x:v>
      </x:c>
      <x:c r="D15" s="24" t="str">
        <x:v>save.missionProgress / trophies / statistics.totalScans / rang elite</x:v>
      </x:c>
      <x:c r="E15" s="24" t="str">
        <x:v>Implémenté en V13 : étude à valider manuellement ; non offert automatiquement</x:v>
      </x:c>
      <x:c r="F15" s="24" t="str">
        <x:v>Exploration de reliques du clan perdu, pas de vol automatique</x:v>
      </x:c>
      <x:c r="G15" s="24" t="str">
        <x:v>Armurerie vaisseau / Guerre des clans (atelier Homeworld physique à produire)</x:v>
      </x:c>
      <x:c r="H15" s="24" t="str">
        <x:v>Aucun changement de dégâts ou crédits</x:v>
      </x:c>
      <x:c r="I15" s="22" t="str">
        <x:v>Testable par tests V134 ; parcours humain complet à valider</x:v>
      </x:c>
      <x:c r="J15" s="22" t="str">
        <x:v>https://store.necaonline.com/blogs/news/predators-introducing-the-lost-tribe-from-our-series-6-action-figures</x:v>
      </x:c>
    </x:row>
    <x:row r="16" ht="31" customHeight="1">
      <x:c r="A16" s="22" t="str">
        <x:v>scar</x:v>
      </x:c>
      <x:c r="B16" s="22" t="str">
        <x:v>Scar · AVP 2004</x:v>
      </x:c>
      <x:c r="C16" s="24" t="str">
        <x:v>Rank &gt;= blooded</x:v>
      </x:c>
      <x:c r="D16" s="24" t="str">
        <x:v>save.profile.rankId (lecture seule)</x:v>
      </x:c>
      <x:c r="E16" s="24" t="str">
        <x:v>Garde de rang/initiale implémentée et contrôlée par tests ciblés</x:v>
      </x:c>
      <x:c r="F16" s="24" t="str">
        <x:v>Schéma de classe à acquérir auprès d'un spécialiste d'armement</x:v>
      </x:c>
      <x:c r="G16" s="24" t="str">
        <x:v>Armurerie de clan</x:v>
      </x:c>
      <x:c r="H16" s="24" t="str">
        <x:v>Aucun changement de dégâts ou crédits</x:v>
      </x:c>
      <x:c r="I16" s="22" t="str">
        <x:v>Code OK ; scénario complet d'atelier à vérifier</x:v>
      </x:c>
      <x:c r="J16" s="22" t="str">
        <x:v>https://predator.illfonic.com/</x:v>
      </x:c>
    </x:row>
    <x:row r="17" ht="31" customHeight="1">
      <x:c r="A17" s="22" t="str">
        <x:v>celtic</x:v>
      </x:c>
      <x:c r="B17" s="22" t="str">
        <x:v>Celtic · AVP 2004</x:v>
      </x:c>
      <x:c r="C17" s="24" t="str">
        <x:v>Étude V134 : 1 réussite(s) swamp-hydra, trophée blooded, 10 scans</x:v>
      </x:c>
      <x:c r="D17" s="24" t="str">
        <x:v>save.missionProgress / trophies / statistics.totalScans / rang blooded</x:v>
      </x:c>
      <x:c r="E17" s="24" t="str">
        <x:v>Implémenté en V13 : étude à valider manuellement ; non offert automatiquement</x:v>
      </x:c>
      <x:c r="F17" s="24" t="str">
        <x:v>Schéma de classe à acquérir auprès d'un spécialiste d'armement</x:v>
      </x:c>
      <x:c r="G17" s="24" t="str">
        <x:v>Armurerie vaisseau / Guerre des clans (atelier Homeworld physique à produire)</x:v>
      </x:c>
      <x:c r="H17" s="24" t="str">
        <x:v>Aucun changement de dégâts ou crédits</x:v>
      </x:c>
      <x:c r="I17" s="22" t="str">
        <x:v>Testable par tests V134 ; parcours humain complet à valider</x:v>
      </x:c>
      <x:c r="J17" s="22" t="str">
        <x:v>https://predator.illfonic.com/</x:v>
      </x:c>
    </x:row>
    <x:row r="18" ht="31" customHeight="1">
      <x:c r="A18" s="22" t="str">
        <x:v>chopper</x:v>
      </x:c>
      <x:c r="B18" s="22" t="str">
        <x:v>Chopper · AVP 2004</x:v>
      </x:c>
      <x:c r="C18" s="24" t="str">
        <x:v>Étude V134 : 1 réussite(s) volcano-bad-blood, trophée worthy, 5 scans</x:v>
      </x:c>
      <x:c r="D18" s="24" t="str">
        <x:v>save.missionProgress / trophies / statistics.totalScans / rang blooded</x:v>
      </x:c>
      <x:c r="E18" s="24" t="str">
        <x:v>Implémenté en V13 : étude à valider manuellement ; non offert automatiquement</x:v>
      </x:c>
      <x:c r="F18" s="24" t="str">
        <x:v>Schéma de classe à acquérir auprès d'un spécialiste d'armement</x:v>
      </x:c>
      <x:c r="G18" s="24" t="str">
        <x:v>Armurerie vaisseau / Guerre des clans (atelier Homeworld physique à produire)</x:v>
      </x:c>
      <x:c r="H18" s="24" t="str">
        <x:v>Aucun changement de dégâts ou crédits</x:v>
      </x:c>
      <x:c r="I18" s="22" t="str">
        <x:v>Testable par tests V134 ; parcours humain complet à valider</x:v>
      </x:c>
      <x:c r="J18" s="22" t="str">
        <x:v>https://predator.illfonic.com/</x:v>
      </x:c>
    </x:row>
    <x:row r="19" ht="31" customHeight="1">
      <x:c r="A19" s="22" t="str">
        <x:v>avp-elder</x:v>
      </x:c>
      <x:c r="B19" s="22" t="str">
        <x:v>Elder · AVP 2004</x:v>
      </x:c>
      <x:c r="C19" s="24" t="str">
        <x:v>Étude V134 : 2 réussite(s) ice-cryostalker, trophée flawless, 20 scans + rite</x:v>
      </x:c>
      <x:c r="D19" s="24" t="str">
        <x:v>save.missionProgress / trophies / statistics.totalScans / rang elder</x:v>
      </x:c>
      <x:c r="E19" s="24" t="str">
        <x:v>Implémenté en V13 : étude à valider manuellement ; non offert automatiquement</x:v>
      </x:c>
      <x:c r="F19" s="24" t="str">
        <x:v>Archive ou trophée documenté dans le codex</x:v>
      </x:c>
      <x:c r="G19" s="24" t="str">
        <x:v>Armurerie vaisseau / Guerre des clans (atelier Homeworld physique à produire)</x:v>
      </x:c>
      <x:c r="H19" s="24" t="str">
        <x:v>Aucun changement de dégâts ou crédits</x:v>
      </x:c>
      <x:c r="I19" s="22" t="str">
        <x:v>Testable par tests V134 ; parcours humain complet à valider</x:v>
      </x:c>
      <x:c r="J19" s="22" t="str">
        <x:v>https://www.avpgalaxy.net/merch/neca/predator/series/</x:v>
      </x:c>
    </x:row>
    <x:row r="20" ht="31" customHeight="1">
      <x:c r="A20" s="22" t="str">
        <x:v>wolf</x:v>
      </x:c>
      <x:c r="B20" s="22" t="str">
        <x:v>Wolf · AVP-R 2007</x:v>
      </x:c>
      <x:c r="C20" s="24" t="str">
        <x:v>Rank &gt;= elite</x:v>
      </x:c>
      <x:c r="D20" s="24" t="str">
        <x:v>save.profile.rankId (lecture seule)</x:v>
      </x:c>
      <x:c r="E20" s="24" t="str">
        <x:v>Garde de rang/initiale implémentée et contrôlée par tests ciblés</x:v>
      </x:c>
      <x:c r="F20" s="24" t="str">
        <x:v>Schéma de classe à acquérir auprès d'un spécialiste d'armement</x:v>
      </x:c>
      <x:c r="G20" s="24" t="str">
        <x:v>Armurerie de clan</x:v>
      </x:c>
      <x:c r="H20" s="24" t="str">
        <x:v>Aucun changement de dégâts ou crédits</x:v>
      </x:c>
      <x:c r="I20" s="22" t="str">
        <x:v>Code OK ; scénario complet d'atelier à vérifier</x:v>
      </x:c>
      <x:c r="J20" s="22" t="str">
        <x:v>https://propstoreauction.com/lot-details/index/catalog/347/lot/112704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4" t="str">
        <x:v>Rank &gt;= blooded</x:v>
      </x:c>
      <x:c r="D21" s="24" t="str">
        <x:v>save.profile.rankId (lecture seule)</x:v>
      </x:c>
      <x:c r="E21" s="24" t="str">
        <x:v>Garde de rang/initiale implémentée et contrôlée par tests ciblés</x:v>
      </x:c>
      <x:c r="F21" s="24" t="str">
        <x:v>Schéma de classe à acquérir auprès d'un spécialiste d'armement</x:v>
      </x:c>
      <x:c r="G21" s="24" t="str">
        <x:v>Armurerie de clan</x:v>
      </x:c>
      <x:c r="H21" s="24" t="str">
        <x:v>Aucun changement de dégâts ou crédits</x:v>
      </x:c>
      <x:c r="I21" s="22" t="str">
        <x:v>Code OK ; scénario complet d'atelier à vérifier</x:v>
      </x:c>
      <x:c r="J21" s="22" t="str">
        <x:v>https://predator.illfonic.com/</x:v>
      </x:c>
    </x:row>
    <x:row r="22" ht="31" customHeight="1">
      <x:c r="A22" s="22" t="str">
        <x:v>berserker-2010</x:v>
      </x:c>
      <x:c r="B22" s="22" t="str">
        <x:v>Mr Black / Berserker · 2010</x:v>
      </x:c>
      <x:c r="C22" s="24" t="str">
        <x:v>Étude V134 : 1 réussite(s) desert-sandmaw, trophée elite, 15 scans + rite</x:v>
      </x:c>
      <x:c r="D22" s="24" t="str">
        <x:v>save.missionProgress / trophies / statistics.totalScans / rang elite</x:v>
      </x:c>
      <x:c r="E22" s="24" t="str">
        <x:v>Implémenté en V13 : étude à valider manuellement ; non offert automatiquement</x:v>
      </x:c>
      <x:c r="F22" s="24" t="str">
        <x:v>Schéma de classe à acquérir auprès d'un spécialiste d'armement</x:v>
      </x:c>
      <x:c r="G22" s="24" t="str">
        <x:v>Armurerie vaisseau / Guerre des clans (atelier Homeworld physique à produire)</x:v>
      </x:c>
      <x:c r="H22" s="24" t="str">
        <x:v>Aucun changement de dégâts ou crédits</x:v>
      </x:c>
      <x:c r="I22" s="22" t="str">
        <x:v>Testable par tests V134 ; parcours humain complet à valider</x:v>
      </x:c>
      <x:c r="J22" s="22" t="str">
        <x:v>https://predator.illfonic.com/</x:v>
      </x:c>
    </x:row>
    <x:row r="23" ht="31" customHeight="1">
      <x:c r="A23" s="22" t="str">
        <x:v>falconer-2010</x:v>
      </x:c>
      <x:c r="B23" s="22" t="str">
        <x:v>Falconer · 2010</x:v>
      </x:c>
      <x:c r="C23" s="24" t="str">
        <x:v>Étude V134 : 1 réussite(s) ruins-ancient-guardian, trophée blooded, 10 scans</x:v>
      </x:c>
      <x:c r="D23" s="24" t="str">
        <x:v>save.missionProgress / trophies / statistics.totalScans / rang blooded</x:v>
      </x:c>
      <x:c r="E23" s="24" t="str">
        <x:v>Implémenté en V13 : étude à valider manuellement ; non offert automatiquement</x:v>
      </x:c>
      <x:c r="F23" s="24" t="str">
        <x:v>Schéma de classe à acquérir auprès d'un spécialiste d'armement</x:v>
      </x:c>
      <x:c r="G23" s="24" t="str">
        <x:v>Armurerie vaisseau / Guerre des clans (atelier Homeworld physique à produire)</x:v>
      </x:c>
      <x:c r="H23" s="24" t="str">
        <x:v>Aucun changement de dégâts ou crédits</x:v>
      </x:c>
      <x:c r="I23" s="22" t="str">
        <x:v>Testable par tests V134 ; parcours humain complet à valider</x:v>
      </x:c>
      <x:c r="J23" s="22" t="str">
        <x:v>https://predator.illfonic.com/</x:v>
      </x:c>
    </x:row>
    <x:row r="24" ht="31" customHeight="1">
      <x:c r="A24" s="22" t="str">
        <x:v>tracker-2010</x:v>
      </x:c>
      <x:c r="B24" s="22" t="str">
        <x:v>Tracker · 2010</x:v>
      </x:c>
      <x:c r="C24" s="24" t="str">
        <x:v>Étude V134 : 1 réussite(s) fungal-hivemind, trophée blooded, 10 scans</x:v>
      </x:c>
      <x:c r="D24" s="24" t="str">
        <x:v>save.missionProgress / trophies / statistics.totalScans / rang blooded</x:v>
      </x:c>
      <x:c r="E24" s="24" t="str">
        <x:v>Implémenté en V13 : étude à valider manuellement ; non offert automatiquement</x:v>
      </x:c>
      <x:c r="F24" s="24" t="str">
        <x:v>Schéma de classe à acquérir auprès d'un spécialiste d'armement</x:v>
      </x:c>
      <x:c r="G24" s="24" t="str">
        <x:v>Armurerie vaisseau / Guerre des clans (atelier Homeworld physique à produire)</x:v>
      </x:c>
      <x:c r="H24" s="24" t="str">
        <x:v>Aucun changement de dégâts ou crédits</x:v>
      </x:c>
      <x:c r="I24" s="22" t="str">
        <x:v>Testable par tests V134 ; parcours humain complet à valider</x:v>
      </x:c>
      <x:c r="J24" s="22" t="str">
        <x:v>https://predator.illfonic.com/</x:v>
      </x:c>
    </x:row>
    <x:row r="25" ht="31" customHeight="1">
      <x:c r="A25" s="22" t="str">
        <x:v>fugitive</x:v>
      </x:c>
      <x:c r="B25" s="22" t="str">
        <x:v>Fugitive · The Predator 2018</x:v>
      </x:c>
      <x:c r="C25" s="24" t="str">
        <x:v>Rank &gt;= elite</x:v>
      </x:c>
      <x:c r="D25" s="24" t="str">
        <x:v>save.profile.rankId (lecture seule)</x:v>
      </x:c>
      <x:c r="E25" s="24" t="str">
        <x:v>Garde de rang/initiale implémentée et contrôlée par tests ciblés</x:v>
      </x:c>
      <x:c r="F25" s="24" t="str">
        <x:v>Archive ou trophée documenté dans le codex</x:v>
      </x:c>
      <x:c r="G25" s="24" t="str">
        <x:v>Armurerie de clan</x:v>
      </x:c>
      <x:c r="H25" s="24" t="str">
        <x:v>Aucun changement de dégâts ou crédits</x:v>
      </x:c>
      <x:c r="I25" s="22" t="str">
        <x:v>Code OK ; scénario complet d'atelier à vérifier</x:v>
      </x:c>
      <x:c r="J25" s="22" t="str">
        <x:v>https://www.avpgalaxy.net/merch/neca/predator/series/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4" t="str">
        <x:v>Étude V134 : 1 réussite(s) ice-cryostalker, trophée worthy, 5 scans</x:v>
      </x:c>
      <x:c r="D26" s="24" t="str">
        <x:v>save.missionProgress / trophies / statistics.totalScans / rang blooded</x:v>
      </x:c>
      <x:c r="E26" s="24" t="str">
        <x:v>Implémenté en V13 : étude à valider manuellement ; non offert automatiquement</x:v>
      </x:c>
      <x:c r="F26" s="24" t="str">
        <x:v>Archive ou trophée documenté dans le codex</x:v>
      </x:c>
      <x:c r="G26" s="24" t="str">
        <x:v>Armurerie vaisseau / Guerre des clans (atelier Homeworld physique à produire)</x:v>
      </x:c>
      <x:c r="H26" s="24" t="str">
        <x:v>Aucun changement de dégâts ou crédits</x:v>
      </x:c>
      <x:c r="I26" s="22" t="str">
        <x:v>Testable par tests V134 ; parcours humain complet à valider</x:v>
      </x:c>
      <x:c r="J26" s="22" t="str">
        <x:v>https://www.avpgalaxy.net/merch/neca/predator/series/</x:v>
      </x:c>
    </x:row>
    <x:row r="27" ht="31" customHeight="1">
      <x:c r="A27" s="22" t="str">
        <x:v>feral</x:v>
      </x:c>
      <x:c r="B27" s="22" t="str">
        <x:v>Feral · Prey 2022</x:v>
      </x:c>
      <x:c r="C27" s="24" t="str">
        <x:v>Rank &gt;= elite</x:v>
      </x:c>
      <x:c r="D27" s="24" t="str">
        <x:v>save.profile.rankId (lecture seule)</x:v>
      </x:c>
      <x:c r="E27" s="24" t="str">
        <x:v>Garde de rang/initiale implémentée et contrôlée par tests ciblés</x:v>
      </x:c>
      <x:c r="F27" s="24" t="str">
        <x:v>Étude de technologie de chasse archaïque</x:v>
      </x:c>
      <x:c r="G27" s="24" t="str">
        <x:v>Armurerie de clan</x:v>
      </x:c>
      <x:c r="H27" s="24" t="str">
        <x:v>Aucun changement de dégâts ou crédits</x:v>
      </x:c>
      <x:c r="I27" s="22" t="str">
        <x:v>Code OK ; scénario complet d'atelier à vérifier</x:v>
      </x:c>
      <x:c r="J27" s="22" t="str">
        <x:v>https://www.avpgalaxy.net/2022/07/31/new-prey-tv-spot-shows-feral-predators-cloak-vision-modes-and-gadgets/</x:v>
      </x:c>
    </x:row>
    <x:row r="28" ht="31" customHeight="1">
      <x:c r="A28" s="22" t="str">
        <x:v>dek</x:v>
      </x:c>
      <x:c r="B28" s="22" t="str">
        <x:v>Dek · Badlands 2025</x:v>
      </x:c>
      <x:c r="C28" s="24" t="str">
        <x:v>Rank &gt;= elder</x:v>
      </x:c>
      <x:c r="D28" s="24" t="str">
        <x:v>save.profile.rankId (lecture seule)</x:v>
      </x:c>
      <x:c r="E28" s="24" t="str">
        <x:v>Garde de rang/initiale implémentée et contrôlée par tests ciblés</x:v>
      </x:c>
      <x:c r="F28" s="24" t="str">
        <x:v>Découverte de données de forge de clans avancés</x:v>
      </x:c>
      <x:c r="G28" s="24" t="str">
        <x:v>Armurerie de clan</x:v>
      </x:c>
      <x:c r="H28" s="24" t="str">
        <x:v>Aucun changement de dégâts ou crédits</x:v>
      </x:c>
      <x:c r="I28" s="22" t="str">
        <x:v>Code OK ; scénario complet d'atelier à vérifier</x:v>
      </x:c>
      <x:c r="J28" s="22" t="str">
        <x:v>https://www.wetaworkshop.com/projects/predator-badlands</x:v>
      </x:c>
    </x:row>
    <x:row r="29" ht="31" customHeight="1">
      <x:c r="A29" s="22" t="str">
        <x:v>kwei</x:v>
      </x:c>
      <x:c r="B29" s="22" t="str">
        <x:v>Kwei · Badlands 2025</x:v>
      </x:c>
      <x:c r="C29" s="24" t="str">
        <x:v>Étude V134 : 1 réussite(s) ruins-ancient-guardian, trophée blooded, 10 scans</x:v>
      </x:c>
      <x:c r="D29" s="24" t="str">
        <x:v>save.missionProgress / trophies / statistics.totalScans / rang blooded</x:v>
      </x:c>
      <x:c r="E29" s="24" t="str">
        <x:v>Implémenté en V13 : étude à valider manuellement ; non offert automatiquement</x:v>
      </x:c>
      <x:c r="F29" s="24" t="str">
        <x:v>Découverte de données de forge de clans avancés</x:v>
      </x:c>
      <x:c r="G29" s="24" t="str">
        <x:v>Armurerie vaisseau / Guerre des clans (atelier Homeworld physique à produire)</x:v>
      </x:c>
      <x:c r="H29" s="24" t="str">
        <x:v>Aucun changement de dégâts ou crédits</x:v>
      </x:c>
      <x:c r="I29" s="22" t="str">
        <x:v>Testable par tests V134 ; parcours humain complet à valider</x:v>
      </x:c>
      <x:c r="J29" s="22" t="str">
        <x:v>https://wetaworkshopdesignstudio.artstation.com/projects/rlxRPa</x:v>
      </x:c>
    </x:row>
    <x:row r="30" ht="31" customHeight="1">
      <x:c r="A30" s="22" t="str">
        <x:v>njohrr</x:v>
      </x:c>
      <x:c r="B30" s="22" t="str">
        <x:v>Njohrr · Badlands 2025</x:v>
      </x:c>
      <x:c r="C30" s="24" t="str">
        <x:v>Étude V134 : 1 réussite(s) volcano-bad-blood, trophée elite, 15 scans + rite</x:v>
      </x:c>
      <x:c r="D30" s="24" t="str">
        <x:v>save.missionProgress / trophies / statistics.totalScans / rang elite</x:v>
      </x:c>
      <x:c r="E30" s="24" t="str">
        <x:v>Implémenté en V13 : étude à valider manuellement ; non offert automatiquement</x:v>
      </x:c>
      <x:c r="F30" s="24" t="str">
        <x:v>Découverte de données de forge de clans avancés</x:v>
      </x:c>
      <x:c r="G30" s="24" t="str">
        <x:v>Armurerie vaisseau / Guerre des clans (atelier Homeworld physique à produire)</x:v>
      </x:c>
      <x:c r="H30" s="24" t="str">
        <x:v>Aucun changement de dégâts ou crédits</x:v>
      </x:c>
      <x:c r="I30" s="22" t="str">
        <x:v>Testable par tests V134 ; parcours humain complet à valider</x:v>
      </x:c>
      <x:c r="J30" s="22" t="str">
        <x:v>https://wetaworkshopdesignstudio.artstation.com/projects/rlxRPa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4" t="str">
        <x:v>Étude V134 : 1 réussite(s) ruins-ancient-guardian, trophée blooded, 10 scans</x:v>
      </x:c>
      <x:c r="D31" s="24" t="str">
        <x:v>save.missionProgress / trophies / statistics.totalScans / rang blooded</x:v>
      </x:c>
      <x:c r="E31" s="24" t="str">
        <x:v>Implémenté en V13 : étude à valider manuellement ; non offert automatiquement</x:v>
      </x:c>
      <x:c r="F31" s="24" t="str">
        <x:v>Archive d'affrontement et transmission du protocole</x:v>
      </x:c>
      <x:c r="G31" s="24" t="str">
        <x:v>Armurerie vaisseau / Guerre des clans (atelier Homeworld physique à produire)</x:v>
      </x:c>
      <x:c r="H31" s="24" t="str">
        <x:v>Aucun changement de dégâts ou crédits</x:v>
      </x:c>
      <x:c r="I31" s="22" t="str">
        <x:v>Testable par tests V134 ; parcours humain complet à valider</x:v>
      </x:c>
      <x:c r="J31" s="22" t="str">
        <x:v>https://www.20thcenturystudios.com/movies/predator-killer-of-killers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4" t="str">
        <x:v>Étude V134 : 1 réussite(s) fungal-hivemind, trophée blooded, 10 scans</x:v>
      </x:c>
      <x:c r="D32" s="24" t="str">
        <x:v>save.missionProgress / trophies / statistics.totalScans / rang blooded</x:v>
      </x:c>
      <x:c r="E32" s="24" t="str">
        <x:v>Implémenté en V13 : étude à valider manuellement ; non offert automatiquement</x:v>
      </x:c>
      <x:c r="F32" s="24" t="str">
        <x:v>Archive d'affrontement et transmission du protocole</x:v>
      </x:c>
      <x:c r="G32" s="24" t="str">
        <x:v>Armurerie vaisseau / Guerre des clans (atelier Homeworld physique à produire)</x:v>
      </x:c>
      <x:c r="H32" s="24" t="str">
        <x:v>Aucun changement de dégâts ou crédits</x:v>
      </x:c>
      <x:c r="I32" s="22" t="str">
        <x:v>Testable par tests V134 ; parcours humain complet à valider</x:v>
      </x:c>
      <x:c r="J32" s="22" t="str">
        <x:v>https://www.20thcenturystudios.com/movies/predator-killer-of-killers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4" t="str">
        <x:v>Étude V134 : 2 réussite(s) ruins-ancient-guardian, trophée flawless, 20 scans + rite</x:v>
      </x:c>
      <x:c r="D33" s="24" t="str">
        <x:v>save.missionProgress / trophies / statistics.totalScans / rang elder</x:v>
      </x:c>
      <x:c r="E33" s="24" t="str">
        <x:v>Implémenté en V13 : étude à valider manuellement ; non offert automatiquement</x:v>
      </x:c>
      <x:c r="F33" s="24" t="str">
        <x:v>Archive d'affrontement et transmission du protocole</x:v>
      </x:c>
      <x:c r="G33" s="24" t="str">
        <x:v>Armurerie vaisseau / Guerre des clans (atelier Homeworld physique à produire)</x:v>
      </x:c>
      <x:c r="H33" s="24" t="str">
        <x:v>Aucun changement de dégâts ou crédits</x:v>
      </x:c>
      <x:c r="I33" s="22" t="str">
        <x:v>Testable par tests V134 ; parcours humain complet à valider</x:v>
      </x:c>
      <x:c r="J33" s="22" t="str">
        <x:v>https://www.20thcenturystudios.com/movies/predator-killer-of-killers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4" t="str">
        <x:v>Étude V134 : 1 réussite(s) ruins-ancient-guardian, trophée elite, 15 scans + rite</x:v>
      </x:c>
      <x:c r="D34" s="24" t="str">
        <x:v>save.missionProgress / trophies / statistics.totalScans / rang elite</x:v>
      </x:c>
      <x:c r="E34" s="24" t="str">
        <x:v>Implémenté en V13 : étude à valider manuellement ; non offert automatiquement</x:v>
      </x:c>
      <x:c r="F34" s="24" t="str">
        <x:v>Archive d'affrontement et transmission du protocole</x:v>
      </x:c>
      <x:c r="G34" s="24" t="str">
        <x:v>Armurerie vaisseau / Guerre des clans (atelier Homeworld physique à produire)</x:v>
      </x:c>
      <x:c r="H34" s="24" t="str">
        <x:v>Aucun changement de dégâts ou crédits</x:v>
      </x:c>
      <x:c r="I34" s="22" t="str">
        <x:v>Testable par tests V134 ; parcours humain complet à valider</x:v>
      </x:c>
      <x:c r="J34" s="22" t="str">
        <x:v>https://www.20thcenturystudios.com/movies/predator-killer-of-killers</x:v>
      </x:c>
    </x:row>
    <x:row r="35" ht="31" customHeight="1">
      <x:c r="A35" s="22" t="str">
        <x:v>phg-hunter</x:v>
      </x:c>
      <x:c r="B35" s="22" t="str">
        <x:v>Hunter · PHG</x:v>
      </x:c>
      <x:c r="C35" s="24" t="str">
        <x:v>Rank &gt;= blooded</x:v>
      </x:c>
      <x:c r="D35" s="24" t="str">
        <x:v>save.profile.rankId (lecture seule)</x:v>
      </x:c>
      <x:c r="E35" s="24" t="str">
        <x:v>Garde de rang/initiale implémentée et contrôlée par tests ciblés</x:v>
      </x:c>
      <x:c r="F35" s="24" t="str">
        <x:v>Schéma de classe à acquérir auprès d'un spécialiste d'armement</x:v>
      </x:c>
      <x:c r="G35" s="24" t="str">
        <x:v>Armurerie de clan</x:v>
      </x:c>
      <x:c r="H35" s="24" t="str">
        <x:v>Aucun changement de dégâts ou crédits</x:v>
      </x:c>
      <x:c r="I35" s="22" t="str">
        <x:v>Code OK ; scénario complet d'atelier à vérifier</x:v>
      </x:c>
      <x:c r="J35" s="22" t="str">
        <x:v>https://predator.illfonic.com/</x:v>
      </x:c>
    </x:row>
    <x:row r="36" ht="31" customHeight="1">
      <x:c r="A36" s="22" t="str">
        <x:v>phg-scout</x:v>
      </x:c>
      <x:c r="B36" s="22" t="str">
        <x:v>Scout · PHG</x:v>
      </x:c>
      <x:c r="C36" s="24" t="str">
        <x:v>Étude V134 : 1 réussite(s) desert-sandmaw, trophée blooded, 10 scans</x:v>
      </x:c>
      <x:c r="D36" s="24" t="str">
        <x:v>save.missionProgress / trophies / statistics.totalScans / rang blooded</x:v>
      </x:c>
      <x:c r="E36" s="24" t="str">
        <x:v>Implémenté en V13 : étude à valider manuellement ; non offert automatiquement</x:v>
      </x:c>
      <x:c r="F36" s="24" t="str">
        <x:v>Schéma de classe à acquérir auprès d'un spécialiste d'armement</x:v>
      </x:c>
      <x:c r="G36" s="24" t="str">
        <x:v>Armurerie vaisseau / Guerre des clans (atelier Homeworld physique à produire)</x:v>
      </x:c>
      <x:c r="H36" s="24" t="str">
        <x:v>Aucun changement de dégâts ou crédits</x:v>
      </x:c>
      <x:c r="I36" s="22" t="str">
        <x:v>Testable par tests V134 ; parcours humain complet à valider</x:v>
      </x:c>
      <x:c r="J36" s="22" t="str">
        <x:v>https://predator.illfonic.com/</x:v>
      </x:c>
    </x:row>
    <x:row r="37" ht="31" customHeight="1">
      <x:c r="A37" s="22" t="str">
        <x:v>phg-berserker</x:v>
      </x:c>
      <x:c r="B37" s="22" t="str">
        <x:v>Berserker · PHG</x:v>
      </x:c>
      <x:c r="C37" s="24" t="str">
        <x:v>Étude V134 : 1 réussite(s) volcano-bad-blood, trophée elite, 15 scans + rite</x:v>
      </x:c>
      <x:c r="D37" s="24" t="str">
        <x:v>save.missionProgress / trophies / statistics.totalScans / rang elite</x:v>
      </x:c>
      <x:c r="E37" s="24" t="str">
        <x:v>Implémenté en V13 : étude à valider manuellement ; non offert automatiquement</x:v>
      </x:c>
      <x:c r="F37" s="24" t="str">
        <x:v>Schéma de classe à acquérir auprès d'un spécialiste d'armement</x:v>
      </x:c>
      <x:c r="G37" s="24" t="str">
        <x:v>Armurerie vaisseau / Guerre des clans (atelier Homeworld physique à produire)</x:v>
      </x:c>
      <x:c r="H37" s="24" t="str">
        <x:v>Aucun changement de dégâts ou crédits</x:v>
      </x:c>
      <x:c r="I37" s="22" t="str">
        <x:v>Testable par tests V134 ; parcours humain complet à valider</x:v>
      </x:c>
      <x:c r="J37" s="22" t="str">
        <x:v>https://predator.illfonic.com/</x:v>
      </x:c>
    </x:row>
    <x:row r="38" ht="31" customHeight="1">
      <x:c r="A38" s="22" t="str">
        <x:v>phg-alpha</x:v>
      </x:c>
      <x:c r="B38" s="22" t="str">
        <x:v>Alpha · PHG</x:v>
      </x:c>
      <x:c r="C38" s="24" t="str">
        <x:v>Étude V134 : 2 réussite(s) ocean-leviathan, trophée flawless, 20 scans + rite</x:v>
      </x:c>
      <x:c r="D38" s="24" t="str">
        <x:v>save.missionProgress / trophies / statistics.totalScans / rang elder</x:v>
      </x:c>
      <x:c r="E38" s="24" t="str">
        <x:v>Implémenté en V13 : étude à valider manuellement ; non offert automatiquement</x:v>
      </x:c>
      <x:c r="F38" s="24" t="str">
        <x:v>Schéma de classe à acquérir auprès d'un spécialiste d'armement</x:v>
      </x:c>
      <x:c r="G38" s="24" t="str">
        <x:v>Armurerie vaisseau / Guerre des clans (atelier Homeworld physique à produire)</x:v>
      </x:c>
      <x:c r="H38" s="24" t="str">
        <x:v>Aucun changement de dégâts ou crédits</x:v>
      </x:c>
      <x:c r="I38" s="22" t="str">
        <x:v>Testable par tests V134 ; parcours humain complet à valider</x:v>
      </x:c>
      <x:c r="J38" s="22" t="str">
        <x:v>https://predator.illfonic.com/</x:v>
      </x:c>
    </x:row>
    <x:row r="39" ht="31" customHeight="1">
      <x:c r="A39" s="22" t="str">
        <x:v>phg-samurai</x:v>
      </x:c>
      <x:c r="B39" s="22" t="str">
        <x:v>Samurai · PHG</x:v>
      </x:c>
      <x:c r="C39" s="24" t="str">
        <x:v>Étude V134 : 1 réussite(s) volcano-bad-blood, trophée blooded, 10 scans</x:v>
      </x:c>
      <x:c r="D39" s="24" t="str">
        <x:v>save.missionProgress / trophies / statistics.totalScans / rang blooded</x:v>
      </x:c>
      <x:c r="E39" s="24" t="str">
        <x:v>Implémenté en V13 : étude à valider manuellement ; non offert automatiquement</x:v>
      </x:c>
      <x:c r="F39" s="24" t="str">
        <x:v>Schéma de classe à acquérir auprès d'un spécialiste d'armement</x:v>
      </x:c>
      <x:c r="G39" s="24" t="str">
        <x:v>Armurerie vaisseau / Guerre des clans (atelier Homeworld physique à produire)</x:v>
      </x:c>
      <x:c r="H39" s="24" t="str">
        <x:v>Aucun changement de dégâts ou crédits</x:v>
      </x:c>
      <x:c r="I39" s="22" t="str">
        <x:v>Testable par tests V134 ; parcours humain complet à valider</x:v>
      </x:c>
      <x:c r="J39" s="22" t="str">
        <x:v>https://predator.illfonic.com/</x:v>
      </x:c>
    </x:row>
    <x:row r="40" ht="31" customHeight="1">
      <x:c r="A40" s="22" t="str">
        <x:v>phg-viking</x:v>
      </x:c>
      <x:c r="B40" s="22" t="str">
        <x:v>Viking · PHG</x:v>
      </x:c>
      <x:c r="C40" s="24" t="str">
        <x:v>Étude V134 : 2 réussite(s) jungle-vey, trophée flawless, 20 scans + rite</x:v>
      </x:c>
      <x:c r="D40" s="24" t="str">
        <x:v>save.missionProgress / trophies / statistics.totalScans / rang elder</x:v>
      </x:c>
      <x:c r="E40" s="24" t="str">
        <x:v>Implémenté en V13 : étude à valider manuellement ; non offert automatiquement</x:v>
      </x:c>
      <x:c r="F40" s="24" t="str">
        <x:v>Schéma de classe à acquérir auprès d'un spécialiste d'armement</x:v>
      </x:c>
      <x:c r="G40" s="24" t="str">
        <x:v>Armurerie vaisseau / Guerre des clans (atelier Homeworld physique à produire)</x:v>
      </x:c>
      <x:c r="H40" s="24" t="str">
        <x:v>Aucun changement de dégâts ou crédits</x:v>
      </x:c>
      <x:c r="I40" s="22" t="str">
        <x:v>Testable par tests V134 ; parcours humain complet à valider</x:v>
      </x:c>
      <x:c r="J40" s="22" t="str">
        <x:v>https://predator.illfonic.com/</x:v>
      </x:c>
    </x:row>
    <x:row r="41" ht="31" customHeight="1">
      <x:c r="A41" s="22" t="str">
        <x:v>phg-valkyrie</x:v>
      </x:c>
      <x:c r="B41" s="22" t="str">
        <x:v>Valkyrie · PHG</x:v>
      </x:c>
      <x:c r="C41" s="24" t="str">
        <x:v>Étude V134 : 1 réussite(s) desert-sandmaw, trophée worthy, 5 scans</x:v>
      </x:c>
      <x:c r="D41" s="24" t="str">
        <x:v>save.missionProgress / trophies / statistics.totalScans / rang blooded</x:v>
      </x:c>
      <x:c r="E41" s="24" t="str">
        <x:v>Implémenté en V13 : étude à valider manuellement ; non offert automatiquement</x:v>
      </x:c>
      <x:c r="F41" s="24" t="str">
        <x:v>Schéma de classe à acquérir auprès d'un spécialiste d'armement</x:v>
      </x:c>
      <x:c r="G41" s="24" t="str">
        <x:v>Armurerie vaisseau / Guerre des clans (atelier Homeworld physique à produire)</x:v>
      </x:c>
      <x:c r="H41" s="24" t="str">
        <x:v>Aucun changement de dégâts ou crédits</x:v>
      </x:c>
      <x:c r="I41" s="22" t="str">
        <x:v>Testable par tests V134 ; parcours humain complet à valider</x:v>
      </x:c>
      <x:c r="J41" s="22" t="str">
        <x:v>https://predator.illfonic.com/</x:v>
      </x:c>
    </x:row>
    <x:row r="42" ht="31" customHeight="1">
      <x:c r="A42" s="22" t="str">
        <x:v>phg-cleopatra</x:v>
      </x:c>
      <x:c r="B42" s="22" t="str">
        <x:v>Cleopatra · PHG</x:v>
      </x:c>
      <x:c r="C42" s="24" t="str">
        <x:v>Étude V134 : 1 réussite(s) ruins-ancient-guardian, trophée elite, 15 scans + rite</x:v>
      </x:c>
      <x:c r="D42" s="24" t="str">
        <x:v>save.missionProgress / trophies / statistics.totalScans / rang elite</x:v>
      </x:c>
      <x:c r="E42" s="24" t="str">
        <x:v>Implémenté en V13 : étude à valider manuellement ; non offert automatiquement</x:v>
      </x:c>
      <x:c r="F42" s="24" t="str">
        <x:v>Schéma de classe à acquérir auprès d'un spécialiste d'armement</x:v>
      </x:c>
      <x:c r="G42" s="24" t="str">
        <x:v>Armurerie vaisseau / Guerre des clans (atelier Homeworld physique à produire)</x:v>
      </x:c>
      <x:c r="H42" s="24" t="str">
        <x:v>Aucun changement de dégâts ou crédits</x:v>
      </x:c>
      <x:c r="I42" s="22" t="str">
        <x:v>Testable par tests V134 ; parcours humain complet à valider</x:v>
      </x:c>
      <x:c r="J42" s="22" t="str">
        <x:v>https://predator.illfonic.com/</x:v>
      </x:c>
    </x:row>
    <x:row r="43" ht="31" customHeight="1">
      <x:c r="A43" s="22" t="str">
        <x:v>phg-exiled</x:v>
      </x:c>
      <x:c r="B43" s="22" t="str">
        <x:v>Exiled · PHG</x:v>
      </x:c>
      <x:c r="C43" s="24" t="str">
        <x:v>Étude V134 : 1 réussite(s) jungle-vey, trophée worthy, 5 scans</x:v>
      </x:c>
      <x:c r="D43" s="24" t="str">
        <x:v>save.missionProgress / trophies / statistics.totalScans / rang blooded</x:v>
      </x:c>
      <x:c r="E43" s="24" t="str">
        <x:v>Implémenté en V13 : étude à valider manuellement ; non offert automatiquement</x:v>
      </x:c>
      <x:c r="F43" s="24" t="str">
        <x:v>Schéma de classe à acquérir auprès d'un spécialiste d'armement</x:v>
      </x:c>
      <x:c r="G43" s="24" t="str">
        <x:v>Armurerie vaisseau / Guerre des clans (atelier Homeworld physique à produire)</x:v>
      </x:c>
      <x:c r="H43" s="24" t="str">
        <x:v>Aucun changement de dégâts ou crédits</x:v>
      </x:c>
      <x:c r="I43" s="22" t="str">
        <x:v>Testable par tests V134 ; parcours humain complet à valider</x:v>
      </x:c>
      <x:c r="J43" s="22" t="str">
        <x:v>https://predator.illfonic.com/</x:v>
      </x:c>
    </x:row>
    <x:row r="44" ht="31" customHeight="1">
      <x:c r="A44" s="22" t="str">
        <x:v>phg-pirate</x:v>
      </x:c>
      <x:c r="B44" s="22" t="str">
        <x:v>Pirate · PHG</x:v>
      </x:c>
      <x:c r="C44" s="24" t="str">
        <x:v>Étude V134 : 1 réussite(s) swamp-hydra, trophée worthy, 5 scans</x:v>
      </x:c>
      <x:c r="D44" s="24" t="str">
        <x:v>save.missionProgress / trophies / statistics.totalScans / rang blooded</x:v>
      </x:c>
      <x:c r="E44" s="24" t="str">
        <x:v>Implémenté en V13 : étude à valider manuellement ; non offert automatiquement</x:v>
      </x:c>
      <x:c r="F44" s="24" t="str">
        <x:v>Schéma de classe à acquérir auprès d'un spécialiste d'armement</x:v>
      </x:c>
      <x:c r="G44" s="24" t="str">
        <x:v>Armurerie vaisseau / Guerre des clans (atelier Homeworld physique à produire)</x:v>
      </x:c>
      <x:c r="H44" s="24" t="str">
        <x:v>Aucun changement de dégâts ou crédits</x:v>
      </x:c>
      <x:c r="I44" s="22" t="str">
        <x:v>Testable par tests V134 ; parcours humain complet à valider</x:v>
      </x:c>
      <x:c r="J44" s="22" t="str">
        <x:v>https://predator.illfonic.com/</x:v>
      </x:c>
    </x:row>
    <x:row r="45" ht="31" customHeight="1">
      <x:c r="A45" s="22" t="str">
        <x:v>phg-bionic</x:v>
      </x:c>
      <x:c r="B45" s="22" t="str">
        <x:v>Bionic · PHG</x:v>
      </x:c>
      <x:c r="C45" s="24" t="str">
        <x:v>Étude V134 : 1 réussite(s) fungal-hivemind, trophée blooded, 10 scans</x:v>
      </x:c>
      <x:c r="D45" s="24" t="str">
        <x:v>save.missionProgress / trophies / statistics.totalScans / rang blooded</x:v>
      </x:c>
      <x:c r="E45" s="24" t="str">
        <x:v>Implémenté en V13 : étude à valider manuellement ; non offert automatiquement</x:v>
      </x:c>
      <x:c r="F45" s="24" t="str">
        <x:v>Schéma de classe rare, sans microtransaction dans notre jeu</x:v>
      </x:c>
      <x:c r="G45" s="24" t="str">
        <x:v>Armurerie vaisseau / Guerre des clans (atelier Homeworld physique à produire)</x:v>
      </x:c>
      <x:c r="H45" s="24" t="str">
        <x:v>Aucun changement de dégâts ou crédits</x:v>
      </x:c>
      <x:c r="I45" s="22" t="str">
        <x:v>Testable par tests V134 ; parcours humain complet à valider</x:v>
      </x:c>
      <x:c r="J45" s="22" t="str">
        <x:v>https://store.steampowered.com/app/1556200/Predator__Hunting_Grounds/</x:v>
      </x:c>
    </x:row>
    <x:row r="46" ht="31" customHeight="1">
      <x:c r="A46" s="22" t="str">
        <x:v>phg-emissary</x:v>
      </x:c>
      <x:c r="B46" s="22" t="str">
        <x:v>Emissary · PHG</x:v>
      </x:c>
      <x:c r="C46" s="24" t="str">
        <x:v>Étude V134 : 1 réussite(s) desert-sandmaw, trophée elite, 15 scans + rite</x:v>
      </x:c>
      <x:c r="D46" s="24" t="str">
        <x:v>save.missionProgress / trophies / statistics.totalScans / rang elite</x:v>
      </x:c>
      <x:c r="E46" s="24" t="str">
        <x:v>Implémenté en V13 : étude à valider manuellement ; non offert automatiquement</x:v>
      </x:c>
      <x:c r="F46" s="24" t="str">
        <x:v>Schéma de classe rare, sans microtransaction dans notre jeu</x:v>
      </x:c>
      <x:c r="G46" s="24" t="str">
        <x:v>Armurerie vaisseau / Guerre des clans (atelier Homeworld physique à produire)</x:v>
      </x:c>
      <x:c r="H46" s="24" t="str">
        <x:v>Aucun changement de dégâts ou crédits</x:v>
      </x:c>
      <x:c r="I46" s="22" t="str">
        <x:v>Testable par tests V134 ; parcours humain complet à valider</x:v>
      </x:c>
      <x:c r="J46" s="22" t="str">
        <x:v>https://store.steampowered.com/app/1556200/Predator__Hunting_Grounds/</x:v>
      </x:c>
    </x:row>
    <x:row r="47" ht="31" customHeight="1">
      <x:c r="A47" s="22" t="str">
        <x:v>phg-oni</x:v>
      </x:c>
      <x:c r="B47" s="22" t="str">
        <x:v>Oni · PHG</x:v>
      </x:c>
      <x:c r="C47" s="24" t="str">
        <x:v>Étude V134 : 2 réussite(s) swamp-hydra, trophée flawless, 20 scans + rite</x:v>
      </x:c>
      <x:c r="D47" s="24" t="str">
        <x:v>save.missionProgress / trophies / statistics.totalScans / rang elder</x:v>
      </x:c>
      <x:c r="E47" s="24" t="str">
        <x:v>Implémenté en V13 : étude à valider manuellement ; non offert automatiquement</x:v>
      </x:c>
      <x:c r="F47" s="24" t="str">
        <x:v>Schéma de classe rare, sans microtransaction dans notre jeu</x:v>
      </x:c>
      <x:c r="G47" s="24" t="str">
        <x:v>Armurerie vaisseau / Guerre des clans (atelier Homeworld physique à produire)</x:v>
      </x:c>
      <x:c r="H47" s="24" t="str">
        <x:v>Aucun changement de dégâts ou crédits</x:v>
      </x:c>
      <x:c r="I47" s="22" t="str">
        <x:v>Testable par tests V134 ; parcours humain complet à valider</x:v>
      </x:c>
      <x:c r="J47" s="22" t="str">
        <x:v>https://store.steampowered.com/app/1556200/Predator__Hunting_Grounds/</x:v>
      </x:c>
    </x:row>
    <x:row r="48" ht="31" customHeight="1">
      <x:c r="A48" s="22" t="str">
        <x:v>phg-witch</x:v>
      </x:c>
      <x:c r="B48" s="22" t="str">
        <x:v>Witch · PHG</x:v>
      </x:c>
      <x:c r="C48" s="24" t="str">
        <x:v>Étude V134 : 1 réussite(s) ice-cryostalker, trophée worthy, 5 scans</x:v>
      </x:c>
      <x:c r="D48" s="24" t="str">
        <x:v>save.missionProgress / trophies / statistics.totalScans / rang blooded</x:v>
      </x:c>
      <x:c r="E48" s="24" t="str">
        <x:v>Implémenté en V13 : étude à valider manuellement ; non offert automatiquement</x:v>
      </x:c>
      <x:c r="F48" s="24" t="str">
        <x:v>Schéma de classe rare, sans microtransaction dans notre jeu</x:v>
      </x:c>
      <x:c r="G48" s="24" t="str">
        <x:v>Armurerie vaisseau / Guerre des clans (atelier Homeworld physique à produire)</x:v>
      </x:c>
      <x:c r="H48" s="24" t="str">
        <x:v>Aucun changement de dégâts ou crédits</x:v>
      </x:c>
      <x:c r="I48" s="22" t="str">
        <x:v>Testable par tests V134 ; parcours humain complet à valider</x:v>
      </x:c>
      <x:c r="J48" s="22" t="str">
        <x:v>https://store.steampowered.com/app/1556200/Predator__Hunting_Grounds/</x:v>
      </x:c>
    </x:row>
    <x:row r="49" ht="31" customHeight="1">
      <x:c r="A49" s="22" t="str">
        <x:v>phg-father</x:v>
      </x:c>
      <x:c r="B49" s="22" t="str">
        <x:v>Father · PHG</x:v>
      </x:c>
      <x:c r="C49" s="24" t="str">
        <x:v>Étude V134 : 2 réussite(s) ice-cryostalker, trophée flawless, 20 scans + rite</x:v>
      </x:c>
      <x:c r="D49" s="24" t="str">
        <x:v>save.missionProgress / trophies / statistics.totalScans / rang elder</x:v>
      </x:c>
      <x:c r="E49" s="24" t="str">
        <x:v>Implémenté en V13 : étude à valider manuellement ; non offert automatiquement</x:v>
      </x:c>
      <x:c r="F49" s="24" t="str">
        <x:v>Schéma de classe rare, sans microtransaction dans notre jeu</x:v>
      </x:c>
      <x:c r="G49" s="24" t="str">
        <x:v>Armurerie vaisseau / Guerre des clans (atelier Homeworld physique à produire)</x:v>
      </x:c>
      <x:c r="H49" s="24" t="str">
        <x:v>Aucun changement de dégâts ou crédits</x:v>
      </x:c>
      <x:c r="I49" s="22" t="str">
        <x:v>Testable par tests V134 ; parcours humain complet à valider</x:v>
      </x:c>
      <x:c r="J49" s="22" t="str">
        <x:v>https://store.steampowered.com/app/1556200/Predator__Hunting_Grounds/</x:v>
      </x:c>
    </x:row>
    <x:row r="50" ht="31" customHeight="1">
      <x:c r="A50" s="22" t="str">
        <x:v>phg-jotun</x:v>
      </x:c>
      <x:c r="B50" s="22" t="str">
        <x:v>Jotun · PHG</x:v>
      </x:c>
      <x:c r="C50" s="24" t="str">
        <x:v>Étude V134 : 1 réussite(s) volcano-bad-blood, trophée blooded, 10 scans</x:v>
      </x:c>
      <x:c r="D50" s="24" t="str">
        <x:v>save.missionProgress / trophies / statistics.totalScans / rang blooded</x:v>
      </x:c>
      <x:c r="E50" s="24" t="str">
        <x:v>Implémenté en V13 : étude à valider manuellement ; non offert automatiquement</x:v>
      </x:c>
      <x:c r="F50" s="24" t="str">
        <x:v>Schéma de classe rare, sans microtransaction dans notre jeu</x:v>
      </x:c>
      <x:c r="G50" s="24" t="str">
        <x:v>Armurerie vaisseau / Guerre des clans (atelier Homeworld physique à produire)</x:v>
      </x:c>
      <x:c r="H50" s="24" t="str">
        <x:v>Aucun changement de dégâts ou crédits</x:v>
      </x:c>
      <x:c r="I50" s="22" t="str">
        <x:v>Testable par tests V134 ; parcours humain complet à valider</x:v>
      </x:c>
      <x:c r="J50" s="22" t="str">
        <x:v>https://store.steampowered.com/app/1556200/Predator__Hunting_Grounds/</x:v>
      </x:c>
    </x:row>
    <x:row r="51" ht="31" customHeight="1">
      <x:c r="A51" s="22" t="str">
        <x:v>phg-exalted</x:v>
      </x:c>
      <x:c r="B51" s="22" t="str">
        <x:v>Exalted · PHG</x:v>
      </x:c>
      <x:c r="C51" s="24" t="str">
        <x:v>Étude V134 : 1 réussite(s) swamp-hydra, trophée elite, 15 scans + rite</x:v>
      </x:c>
      <x:c r="D51" s="24" t="str">
        <x:v>save.missionProgress / trophies / statistics.totalScans / rang elite</x:v>
      </x:c>
      <x:c r="E51" s="24" t="str">
        <x:v>Implémenté en V13 : étude à valider manuellement ; non offert automatiquement</x:v>
      </x:c>
      <x:c r="F51" s="24" t="str">
        <x:v>Schéma de classe rare, sans microtransaction dans notre jeu</x:v>
      </x:c>
      <x:c r="G51" s="24" t="str">
        <x:v>Armurerie vaisseau / Guerre des clans (atelier Homeworld physique à produire)</x:v>
      </x:c>
      <x:c r="H51" s="24" t="str">
        <x:v>Aucun changement de dégâts ou crédits</x:v>
      </x:c>
      <x:c r="I51" s="22" t="str">
        <x:v>Testable par tests V134 ; parcours humain complet à valider</x:v>
      </x:c>
      <x:c r="J51" s="22" t="str">
        <x:v>https://store.steampowered.com/app/1556200/Predator__Hunting_Grounds/</x:v>
      </x:c>
    </x:row>
    <x:row r="52" ht="31" customHeight="1">
      <x:c r="A52" s="22" t="str">
        <x:v>phg-anubis</x:v>
      </x:c>
      <x:c r="B52" s="22" t="str">
        <x:v>Anubis · PHG</x:v>
      </x:c>
      <x:c r="C52" s="24" t="str">
        <x:v>Étude V134 : 1 réussite(s) swamp-hydra, trophée blooded, 10 scans</x:v>
      </x:c>
      <x:c r="D52" s="24" t="str">
        <x:v>save.missionProgress / trophies / statistics.totalScans / rang blooded</x:v>
      </x:c>
      <x:c r="E52" s="24" t="str">
        <x:v>Implémenté en V13 : étude à valider manuellement ; non offert automatiquement</x:v>
      </x:c>
      <x:c r="F52" s="24" t="str">
        <x:v>Schéma de classe rare, sans microtransaction dans notre jeu</x:v>
      </x:c>
      <x:c r="G52" s="24" t="str">
        <x:v>Armurerie vaisseau / Guerre des clans (atelier Homeworld physique à produire)</x:v>
      </x:c>
      <x:c r="H52" s="24" t="str">
        <x:v>Aucun changement de dégâts ou crédits</x:v>
      </x:c>
      <x:c r="I52" s="22" t="str">
        <x:v>Testable par tests V134 ; parcours humain complet à valider</x:v>
      </x:c>
      <x:c r="J52" s="22" t="str">
        <x:v>https://store.steampowered.com/app/1556200/Predator__Hunting_Grounds/</x:v>
      </x:c>
    </x:row>
    <x:row r="53" ht="31" customHeight="1">
      <x:c r="A53" s="22" t="str">
        <x:v>phg-gladiator</x:v>
      </x:c>
      <x:c r="B53" s="22" t="str">
        <x:v>Gladiator · PHG</x:v>
      </x:c>
      <x:c r="C53" s="24" t="str">
        <x:v>Étude V134 : 1 réussite(s) ruins-ancient-guardian, trophée elite, 15 scans + rite</x:v>
      </x:c>
      <x:c r="D53" s="24" t="str">
        <x:v>save.missionProgress / trophies / statistics.totalScans / rang elite</x:v>
      </x:c>
      <x:c r="E53" s="24" t="str">
        <x:v>Implémenté en V13 : étude à valider manuellement ; non offert automatiquement</x:v>
      </x:c>
      <x:c r="F53" s="24" t="str">
        <x:v>Schéma de classe rare, sans microtransaction dans notre jeu</x:v>
      </x:c>
      <x:c r="G53" s="24" t="str">
        <x:v>Armurerie vaisseau / Guerre des clans (atelier Homeworld physique à produire)</x:v>
      </x:c>
      <x:c r="H53" s="24" t="str">
        <x:v>Aucun changement de dégâts ou crédits</x:v>
      </x:c>
      <x:c r="I53" s="22" t="str">
        <x:v>Testable par tests V134 ; parcours humain complet à valider</x:v>
      </x:c>
      <x:c r="J53" s="22" t="str">
        <x:v>https://store.steampowered.com/app/1556200/Predator__Hunting_Grounds/</x:v>
      </x:c>
    </x:row>
    <x:row r="54" ht="31" customHeight="1">
      <x:c r="A54" s="22" t="str">
        <x:v>scarface</x:v>
      </x:c>
      <x:c r="B54" s="22" t="str">
        <x:v>Scarface · Concrete Jungle</x:v>
      </x:c>
      <x:c r="C54" s="24" t="str">
        <x:v>Étude V134 : 1 réussite(s) ruins-ancient-guardian, trophée blooded, 10 scans</x:v>
      </x:c>
      <x:c r="D54" s="24" t="str">
        <x:v>save.missionProgress / trophies / statistics.totalScans / rang blooded</x:v>
      </x:c>
      <x:c r="E54" s="24" t="str">
        <x:v>Implémenté en V13 : étude à valider manuellement ; non offert automatiquement</x:v>
      </x:c>
      <x:c r="F54" s="24" t="str">
        <x:v>Archive ou trophée documenté dans le codex</x:v>
      </x:c>
      <x:c r="G54" s="24" t="str">
        <x:v>Armurerie vaisseau / Guerre des clans (atelier Homeworld physique à produire)</x:v>
      </x:c>
      <x:c r="H54" s="24" t="str">
        <x:v>Aucun changement de dégâts ou crédits</x:v>
      </x:c>
      <x:c r="I54" s="22" t="str">
        <x:v>Testable par tests V134 ; parcours humain complet à valider</x:v>
      </x:c>
      <x:c r="J54" s="22" t="str">
        <x:v>https://www.avpgalaxy.net/merch/neca/predator/series/</x:v>
      </x:c>
    </x:row>
    <x:row r="55" ht="31" customHeight="1">
      <x:c r="A55" s="22" t="str">
        <x:v>stone-heart</x:v>
      </x:c>
      <x:c r="B55" s="22" t="str">
        <x:v>Stone Heart · Concrete Jungle</x:v>
      </x:c>
      <x:c r="C55" s="24" t="str">
        <x:v>Étude V134 : 2 réussite(s) desert-sandmaw, trophée flawless, 20 scans + rite</x:v>
      </x:c>
      <x:c r="D55" s="24" t="str">
        <x:v>save.missionProgress / trophies / statistics.totalScans / rang elder</x:v>
      </x:c>
      <x:c r="E55" s="24" t="str">
        <x:v>Implémenté en V13 : étude à valider manuellement ; non offert automatiquement</x:v>
      </x:c>
      <x:c r="F55" s="24" t="str">
        <x:v>Archive ou trophée documenté dans le codex</x:v>
      </x:c>
      <x:c r="G55" s="24" t="str">
        <x:v>Armurerie vaisseau / Guerre des clans (atelier Homeworld physique à produire)</x:v>
      </x:c>
      <x:c r="H55" s="24" t="str">
        <x:v>Aucun changement de dégâts ou crédits</x:v>
      </x:c>
      <x:c r="I55" s="22" t="str">
        <x:v>Testable par tests V134 ; parcours humain complet à valider</x:v>
      </x:c>
      <x:c r="J55" s="22" t="str">
        <x:v>https://www.avpgalaxy.net/merch/neca/predator/series/</x:v>
      </x:c>
    </x:row>
    <x:row r="56" ht="31" customHeight="1">
      <x:c r="A56" s="22" t="str">
        <x:v>ahab</x:v>
      </x:c>
      <x:c r="B56" s="22" t="str">
        <x:v>Ahab · comics / NECA</x:v>
      </x:c>
      <x:c r="C56" s="24" t="str">
        <x:v>Étude V134 : 2 réussite(s) swamp-hydra, trophée flawless, 20 scans + rite</x:v>
      </x:c>
      <x:c r="D56" s="24" t="str">
        <x:v>save.missionProgress / trophies / statistics.totalScans / rang elder</x:v>
      </x:c>
      <x:c r="E56" s="24" t="str">
        <x:v>Implémenté en V13 : étude à valider manuellement ; non offert automatiquement</x:v>
      </x:c>
      <x:c r="F56" s="24" t="str">
        <x:v>Archive ou trophée documenté dans le codex</x:v>
      </x:c>
      <x:c r="G56" s="24" t="str">
        <x:v>Armurerie vaisseau / Guerre des clans (atelier Homeworld physique à produire)</x:v>
      </x:c>
      <x:c r="H56" s="24" t="str">
        <x:v>Aucun changement de dégâts ou crédits</x:v>
      </x:c>
      <x:c r="I56" s="22" t="str">
        <x:v>Testable par tests V134 ; parcours humain complet à valider</x:v>
      </x:c>
      <x:c r="J56" s="22" t="str">
        <x:v>https://www.avpgalaxy.net/merch/neca/predator/series/</x:v>
      </x:c>
    </x:row>
    <x:row r="57" ht="31" customHeight="1">
      <x:c r="A57" s="22" t="str">
        <x:v>dark-2010</x:v>
      </x:c>
      <x:c r="B57" s="22" t="str">
        <x:v>Dark · Aliens vs Predator (2010)</x:v>
      </x:c>
      <x:c r="C57" s="24" t="str">
        <x:v>Étude V134 : 2 réussite(s) jungle-vey, trophée flawless, 20 scans + rite</x:v>
      </x:c>
      <x:c r="D57" s="24" t="str">
        <x:v>save.missionProgress / trophies / statistics.totalScans / rang elder</x:v>
      </x:c>
      <x:c r="E57" s="24" t="str">
        <x:v>Implémenté en V13 : étude à valider manuellement ; non offert automatiquement</x:v>
      </x:c>
      <x:c r="F57" s="24" t="str">
        <x:v>Archive ou trophée documenté dans le codex</x:v>
      </x:c>
      <x:c r="G57" s="24" t="str">
        <x:v>Armurerie vaisseau / Guerre des clans (atelier Homeworld physique à produire)</x:v>
      </x:c>
      <x:c r="H57" s="24" t="str">
        <x:v>Aucun changement de dégâts ou crédits</x:v>
      </x:c>
      <x:c r="I57" s="22" t="str">
        <x:v>Testable par tests V134 ; parcours humain complet à valider</x:v>
      </x:c>
      <x:c r="J57" s="22" t="str">
        <x:v>https://www.avpgalaxy.net/merch/neca/predator/series/</x:v>
      </x:c>
    </x:row>
    <x:row r="58" ht="31" customHeight="1">
      <x:c r="A58" s="22" t="str">
        <x:v>phg-captured</x:v>
      </x:c>
      <x:c r="B58" s="22" t="str">
        <x:v>Captured · PHG</x:v>
      </x:c>
      <x:c r="C58" s="24" t="str">
        <x:v>Étude V134 : 2 réussite(s) volcano-bad-blood, trophée flawless, 20 scans + rite</x:v>
      </x:c>
      <x:c r="D58" s="24" t="str">
        <x:v>save.missionProgress / trophies / statistics.totalScans / rang elder</x:v>
      </x:c>
      <x:c r="E58" s="24" t="str">
        <x:v>Implémenté en V13 : étude à valider manuellement ; non offert automatiquement</x:v>
      </x:c>
      <x:c r="F58" s="24" t="str">
        <x:v>Schéma de classe à acquérir auprès d'un spécialiste d'armement</x:v>
      </x:c>
      <x:c r="G58" s="24" t="str">
        <x:v>Armurerie vaisseau / Guerre des clans (atelier Homeworld physique à produire)</x:v>
      </x:c>
      <x:c r="H58" s="24" t="str">
        <x:v>Aucun changement de dégâts ou crédits</x:v>
      </x:c>
      <x:c r="I58" s="22" t="str">
        <x:v>Testable par tests V134 ; parcours humain complet à valider</x:v>
      </x:c>
      <x:c r="J58" s="22" t="str">
        <x:v>https://predator.illfonic.com/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ca333449289496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15" hidden="0" customWidth="1"/>
    <x:col min="7" max="7" width="32" hidden="0" customWidth="1"/>
    <x:col min="8" max="8" width="34" hidden="0" customWidth="1"/>
    <x:col min="9" max="9" width="40" hidden="0" customWidth="1"/>
    <x:col min="10" max="10" width="37" hidden="0" customWidth="1"/>
    <x:col min="11" max="11" width="44" hidden="0" customWidth="1"/>
    <x:col min="12" max="12" width="35" hidden="0" customWidth="1"/>
  </x:cols>
  <x:sheetData>
    <x:row r="1" ht="38" customHeight="1">
      <x:c r="A1" s="4" t="str">
        <x:v>CHARTE HOLOGRAPHIQUE · OPTION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Dix profils visuels ; un seul atlas et une seule simulation. Les sons sont des briefs, pas encore des fichiers audio en jeu.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Thème</x:v>
      </x:c>
      <x:c r="B4" s="17" t="str">
        <x:v>Modèles</x:v>
      </x:c>
      <x:c r="C4" s="17" t="str">
        <x:v>Accent</x:v>
      </x:c>
      <x:c r="D4" s="17" t="str">
        <x:v>Secondaire</x:v>
      </x:c>
      <x:c r="E4" s="17" t="str">
        <x:v>Glyphes</x:v>
      </x:c>
      <x:c r="F4" s="17" t="str">
        <x:v>Scan</x:v>
      </x:c>
      <x:c r="G4" s="17" t="str">
        <x:v>Ouverture</x:v>
      </x:c>
      <x:c r="H4" s="17" t="str">
        <x:v>Signature sonore</x:v>
      </x:c>
      <x:c r="I4" s="17" t="str">
        <x:v>Impact gameplay</x:v>
      </x:c>
      <x:c r="J4" s="17" t="str">
        <x:v>Cible audio</x:v>
      </x:c>
      <x:c r="K4" s="17" t="str">
        <x:v>Etat V132</x:v>
      </x:c>
      <x:c r="L4" s="17" t="str">
        <x:v>QA</x:v>
      </x:c>
    </x:row>
    <x:row r="5" ht="27" customHeight="1">
      <x:c r="A5" s="22" t="str">
        <x:v>classic</x:v>
      </x:c>
      <x:c r="B5" s="22" t="n">
        <x:v>4</x:v>
      </x:c>
      <x:c r="C5" s="22" t="str">
        <x:v>#71E4DC</x:v>
      </x:c>
      <x:c r="D5" s="22" t="str">
        <x:v>#B3FFF4</x:v>
      </x:c>
      <x:c r="E5" s="22" t="str">
        <x:v>#EC4050</x:v>
      </x:c>
      <x:c r="F5" s="22" t="str">
        <x:v>Pulse</x:v>
      </x:c>
      <x:c r="G5" s="22" t="str">
        <x:v>Capot et faisceau ascendant</x:v>
      </x:c>
      <x:c r="H5" s="22" t="str">
        <x:v>Impulsions graves en quatre temps</x:v>
      </x:c>
      <x:c r="I5" s="22" t="str">
        <x:v>États UX seulement · aucune statistique de combat</x:v>
      </x:c>
      <x:c r="J5" s="22" t="str">
        <x:v>À enregistrer au moteur audio de jeu</x:v>
      </x:c>
      <x:c r="K5" s="22" t="str">
        <x:v>CSS variables branchées / SFX à produire</x:v>
      </x:c>
      <x:c r="L5" s="22" t="str">
        <x:v>Contraste WCAG + reduced-motion</x:v>
      </x:c>
    </x:row>
    <x:row r="6" ht="27" customHeight="1">
      <x:c r="A6" s="22" t="str">
        <x:v>urban</x:v>
      </x:c>
      <x:c r="B6" s="22" t="n">
        <x:v>8</x:v>
      </x:c>
      <x:c r="C6" s="22" t="str">
        <x:v>#A2E0E8</x:v>
      </x:c>
      <x:c r="D6" s="22" t="str">
        <x:v>#F0B58B</x:v>
      </x:c>
      <x:c r="E6" s="22" t="str">
        <x:v>#E84E49</x:v>
      </x:c>
      <x:c r="F6" s="22" t="str">
        <x:v>Sweep</x:v>
      </x:c>
      <x:c r="G6" s="22" t="str">
        <x:v>Déploiement compact latéral</x:v>
      </x:c>
      <x:c r="H6" s="22" t="str">
        <x:v>Bips doubles rapides</x:v>
      </x:c>
      <x:c r="I6" s="22" t="str">
        <x:v>États UX seulement · aucune statistique de combat</x:v>
      </x:c>
      <x:c r="J6" s="22" t="str">
        <x:v>À enregistrer au moteur audio de jeu</x:v>
      </x:c>
      <x:c r="K6" s="22" t="str">
        <x:v>CSS variables branchées / SFX à produire</x:v>
      </x:c>
      <x:c r="L6" s="22" t="str">
        <x:v>Contraste WCAG + reduced-motion</x:v>
      </x:c>
    </x:row>
    <x:row r="7" ht="27" customHeight="1">
      <x:c r="A7" s="22" t="str">
        <x:v>elder</x:v>
      </x:c>
      <x:c r="B7" s="22" t="n">
        <x:v>10</x:v>
      </x:c>
      <x:c r="C7" s="22" t="str">
        <x:v>#E2C99C</x:v>
      </x:c>
      <x:c r="D7" s="22" t="str">
        <x:v>#FCF0BF</x:v>
      </x:c>
      <x:c r="E7" s="22" t="str">
        <x:v>#DF6455</x:v>
      </x:c>
      <x:c r="F7" s="22" t="str">
        <x:v>Lattice</x:v>
      </x:c>
      <x:c r="G7" s="22" t="str">
        <x:v>Panneaux cérémoniels</x:v>
      </x:c>
      <x:c r="H7" s="22" t="str">
        <x:v>Résonance basse, écho</x:v>
      </x:c>
      <x:c r="I7" s="22" t="str">
        <x:v>États UX seulement · aucune statistique de combat</x:v>
      </x:c>
      <x:c r="J7" s="22" t="str">
        <x:v>À enregistrer au moteur audio de jeu</x:v>
      </x:c>
      <x:c r="K7" s="22" t="str">
        <x:v>CSS variables branchées / SFX à produire</x:v>
      </x:c>
      <x:c r="L7" s="22" t="str">
        <x:v>Contraste WCAG + reduced-motion</x:v>
      </x:c>
    </x:row>
    <x:row r="8" ht="27" customHeight="1">
      <x:c r="A8" s="22" t="str">
        <x:v>bronze</x:v>
      </x:c>
      <x:c r="B8" s="22" t="n">
        <x:v>8</x:v>
      </x:c>
      <x:c r="C8" s="22" t="str">
        <x:v>#D7A778</x:v>
      </x:c>
      <x:c r="D8" s="22" t="str">
        <x:v>#F3D3A0</x:v>
      </x:c>
      <x:c r="E8" s="22" t="str">
        <x:v>#ED6453</x:v>
      </x:c>
      <x:c r="F8" s="22" t="str">
        <x:v>Pulse</x:v>
      </x:c>
      <x:c r="G8" s="22" t="str">
        <x:v>Segments métalliques</x:v>
      </x:c>
      <x:c r="H8" s="22" t="str">
        <x:v>Impact métallique bref</x:v>
      </x:c>
      <x:c r="I8" s="22" t="str">
        <x:v>États UX seulement · aucune statistique de combat</x:v>
      </x:c>
      <x:c r="J8" s="22" t="str">
        <x:v>À enregistrer au moteur audio de jeu</x:v>
      </x:c>
      <x:c r="K8" s="22" t="str">
        <x:v>CSS variables branchées / SFX à produire</x:v>
      </x:c>
      <x:c r="L8" s="22" t="str">
        <x:v>Contraste WCAG + reduced-motion</x:v>
      </x:c>
    </x:row>
    <x:row r="9" ht="27" customHeight="1">
      <x:c r="A9" s="22" t="str">
        <x:v>stealth</x:v>
      </x:c>
      <x:c r="B9" s="22" t="n">
        <x:v>9</x:v>
      </x:c>
      <x:c r="C9" s="22" t="str">
        <x:v>#7BB2B0</x:v>
      </x:c>
      <x:c r="D9" s="22" t="str">
        <x:v>#B9E2E1</x:v>
      </x:c>
      <x:c r="E9" s="22" t="str">
        <x:v>#D9595D</x:v>
      </x:c>
      <x:c r="F9" s="22" t="str">
        <x:v>Stagger</x:v>
      </x:c>
      <x:c r="G9" s="22" t="str">
        <x:v>Apparition différée</x:v>
      </x:c>
      <x:c r="H9" s="22" t="str">
        <x:v>Bip discret étouffé</x:v>
      </x:c>
      <x:c r="I9" s="22" t="str">
        <x:v>États UX seulement · aucune statistique de combat</x:v>
      </x:c>
      <x:c r="J9" s="22" t="str">
        <x:v>À enregistrer au moteur audio de jeu</x:v>
      </x:c>
      <x:c r="K9" s="22" t="str">
        <x:v>CSS variables branchées / SFX à produire</x:v>
      </x:c>
      <x:c r="L9" s="22" t="str">
        <x:v>Contraste WCAG + reduced-motion</x:v>
      </x:c>
    </x:row>
    <x:row r="10" ht="27" customHeight="1">
      <x:c r="A10" s="22" t="str">
        <x:v>scar</x:v>
      </x:c>
      <x:c r="B10" s="22" t="n">
        <x:v>3</x:v>
      </x:c>
      <x:c r="C10" s="22" t="str">
        <x:v>#AACFB9</x:v>
      </x:c>
      <x:c r="D10" s="22" t="str">
        <x:v>#F1E8B8</x:v>
      </x:c>
      <x:c r="E10" s="22" t="str">
        <x:v>#E35D50</x:v>
      </x:c>
      <x:c r="F10" s="22" t="str">
        <x:v>Sweep</x:v>
      </x:c>
      <x:c r="G10" s="22" t="str">
        <x:v>Ouverture robuste</x:v>
      </x:c>
      <x:c r="H10" s="22" t="str">
        <x:v>Impulsion Young Blood</x:v>
      </x:c>
      <x:c r="I10" s="22" t="str">
        <x:v>États UX seulement · aucune statistique de combat</x:v>
      </x:c>
      <x:c r="J10" s="22" t="str">
        <x:v>À enregistrer au moteur audio de jeu</x:v>
      </x:c>
      <x:c r="K10" s="22" t="str">
        <x:v>CSS variables branchées / SFX à produire</x:v>
      </x:c>
      <x:c r="L10" s="22" t="str">
        <x:v>Contraste WCAG + reduced-motion</x:v>
      </x:c>
    </x:row>
    <x:row r="11" ht="27" customHeight="1">
      <x:c r="A11" s="22" t="str">
        <x:v>wolf</x:v>
      </x:c>
      <x:c r="B11" s="22" t="n">
        <x:v>1</x:v>
      </x:c>
      <x:c r="C11" s="22" t="str">
        <x:v>#9CDBDE</x:v>
      </x:c>
      <x:c r="D11" s="22" t="str">
        <x:v>#F4E3A3</x:v>
      </x:c>
      <x:c r="E11" s="22" t="str">
        <x:v>#DF5050</x:v>
      </x:c>
      <x:c r="F11" s="22" t="str">
        <x:v>Lattice</x:v>
      </x:c>
      <x:c r="G11" s="22" t="str">
        <x:v>Multi-volets rapides</x:v>
      </x:c>
      <x:c r="H11" s="22" t="str">
        <x:v>Triplet diagnostique</x:v>
      </x:c>
      <x:c r="I11" s="22" t="str">
        <x:v>États UX seulement · aucune statistique de combat</x:v>
      </x:c>
      <x:c r="J11" s="22" t="str">
        <x:v>À enregistrer au moteur audio de jeu</x:v>
      </x:c>
      <x:c r="K11" s="22" t="str">
        <x:v>CSS variables branchées / SFX à produire</x:v>
      </x:c>
      <x:c r="L11" s="22" t="str">
        <x:v>Contraste WCAG + reduced-motion</x:v>
      </x:c>
    </x:row>
    <x:row r="12" ht="27" customHeight="1">
      <x:c r="A12" s="22" t="str">
        <x:v>brutal</x:v>
      </x:c>
      <x:c r="B12" s="22" t="n">
        <x:v>8</x:v>
      </x:c>
      <x:c r="C12" s="22" t="str">
        <x:v>#E08C65</x:v>
      </x:c>
      <x:c r="D12" s="22" t="str">
        <x:v>#FED4A0</x:v>
      </x:c>
      <x:c r="E12" s="22" t="str">
        <x:v>#EF524C</x:v>
      </x:c>
      <x:c r="F12" s="22" t="str">
        <x:v>Fracture</x:v>
      </x:c>
      <x:c r="G12" s="22" t="str">
        <x:v>Impulsion lourde</x:v>
      </x:c>
      <x:c r="H12" s="22" t="str">
        <x:v>Grave distordu</x:v>
      </x:c>
      <x:c r="I12" s="22" t="str">
        <x:v>États UX seulement · aucune statistique de combat</x:v>
      </x:c>
      <x:c r="J12" s="22" t="str">
        <x:v>À enregistrer au moteur audio de jeu</x:v>
      </x:c>
      <x:c r="K12" s="22" t="str">
        <x:v>CSS variables branchées / SFX à produire</x:v>
      </x:c>
      <x:c r="L12" s="22" t="str">
        <x:v>Contraste WCAG + reduced-motion</x:v>
      </x:c>
    </x:row>
    <x:row r="13" ht="27" customHeight="1">
      <x:c r="A13" s="22" t="str">
        <x:v>feral</x:v>
      </x:c>
      <x:c r="B13" s="22" t="n">
        <x:v>1</x:v>
      </x:c>
      <x:c r="C13" s="22" t="str">
        <x:v>#E1B77C</x:v>
      </x:c>
      <x:c r="D13" s="22" t="str">
        <x:v>#E9E5C5</x:v>
      </x:c>
      <x:c r="E13" s="22" t="str">
        <x:v>#A72E2E</x:v>
      </x:c>
      <x:c r="F13" s="22" t="str">
        <x:v>Stagger</x:v>
      </x:c>
      <x:c r="G13" s="22" t="str">
        <x:v>Écailles et lentille</x:v>
      </x:c>
      <x:c r="H13" s="22" t="str">
        <x:v>Claquement organique</x:v>
      </x:c>
      <x:c r="I13" s="22" t="str">
        <x:v>États UX seulement · aucune statistique de combat</x:v>
      </x:c>
      <x:c r="J13" s="22" t="str">
        <x:v>À enregistrer au moteur audio de jeu</x:v>
      </x:c>
      <x:c r="K13" s="22" t="str">
        <x:v>CSS variables branchées / SFX à produire</x:v>
      </x:c>
      <x:c r="L13" s="22" t="str">
        <x:v>Contraste WCAG + reduced-motion</x:v>
      </x:c>
    </x:row>
    <x:row r="14" ht="27" customHeight="1">
      <x:c r="A14" s="22" t="str">
        <x:v>badlands</x:v>
      </x:c>
      <x:c r="B14" s="22" t="n">
        <x:v>2</x:v>
      </x:c>
      <x:c r="C14" s="22" t="str">
        <x:v>#D8AD80</x:v>
      </x:c>
      <x:c r="D14" s="22" t="str">
        <x:v>#F2E0BA</x:v>
      </x:c>
      <x:c r="E14" s="22" t="str">
        <x:v>#C73F45</x:v>
      </x:c>
      <x:c r="F14" s="22" t="str">
        <x:v>Lattice</x:v>
      </x:c>
      <x:c r="G14" s="22" t="str">
        <x:v>Filigrane concentrique</x:v>
      </x:c>
      <x:c r="H14" s="22" t="str">
        <x:v>Balayage cristallin</x:v>
      </x:c>
      <x:c r="I14" s="22" t="str">
        <x:v>États UX seulement · aucune statistique de combat</x:v>
      </x:c>
      <x:c r="J14" s="22" t="str">
        <x:v>À enregistrer au moteur audio de jeu</x:v>
      </x:c>
      <x:c r="K14" s="22" t="str">
        <x:v>CSS variables branchées / SFX à produire</x:v>
      </x:c>
      <x:c r="L14" s="22" t="str">
        <x:v>Contraste WCAG + reduced-motion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a9116c43da348d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34" hidden="0" customWidth="1"/>
    <x:col min="4" max="4" width="53" hidden="0" customWidth="1"/>
    <x:col min="5" max="5" width="25" hidden="0" customWidth="1"/>
    <x:col min="6" max="6" width="31" hidden="0" customWidth="1"/>
    <x:col min="7" max="7" width="12" hidden="0" customWidth="1"/>
    <x:col min="8" max="8" width="18" hidden="0" customWidth="1"/>
    <x:col min="9" max="9" width="44" hidden="0" customWidth="1"/>
  </x:cols>
  <x:sheetData>
    <x:row r="1" ht="38" customHeight="1">
      <x:c r="A1" s="4" t="str">
        <x:v>JUNGLE HUNTER · PROTOCOLE 1:1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Les références confirment le dispositif mais pas encore chaque ratio de notre SVG. 'Validé 1:1' est une décision de revue artistique, jamais une simple assertion.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Domaine</x:v>
      </x:c>
      <x:c r="C4" s="17" t="str">
        <x:v>Objet à reproduire</x:v>
      </x:c>
      <x:c r="D4" s="17" t="str">
        <x:v>Critère observable</x:v>
      </x:c>
      <x:c r="E4" s="17" t="str">
        <x:v>Source prévue</x:v>
      </x:c>
      <x:c r="F4" s="17" t="str">
        <x:v>Mesure / capture</x:v>
      </x:c>
      <x:c r="G4" s="17" t="str">
        <x:v>Priorité</x:v>
      </x:c>
      <x:c r="H4" s="17" t="str">
        <x:v>Validation</x:v>
      </x:c>
      <x:c r="I4" s="17" t="str">
        <x:v>Action</x:v>
      </x:c>
    </x:row>
    <x:row r="5" ht="38" customHeight="1">
      <x:c r="A5" s="22" t="str">
        <x:v>JH-01</x:v>
      </x:c>
      <x:c r="B5" s="22" t="str">
        <x:v>Cadrage 1:1</x:v>
      </x:c>
      <x:c r="C5" s="24" t="str">
        <x:v>Vue à 3/4 du poignet gauche</x:v>
      </x:c>
      <x:c r="D5" s="24" t="str">
        <x:v>Capot visible, aucun artefact de rotation, ombres constantes</x:v>
      </x:c>
      <x:c r="E5" s="24" t="str">
        <x:v>1987 film + NECA</x:v>
      </x:c>
      <x:c r="F5" s="24" t="str">
        <x:v>À mesurer / à revoir</x:v>
      </x:c>
      <x:c r="G5" s="24" t="str">
        <x:v>P0</x:v>
      </x:c>
      <x:c r="H5" s="24" t="str">
        <x:v>Non validé</x:v>
      </x:c>
      <x:c r="I5" s="24" t="str">
        <x:v>À comparer avec au moins 2 captures indépendantes</x:v>
      </x:c>
    </x:row>
    <x:row r="6" ht="38" customHeight="1">
      <x:c r="A6" s="22" t="str">
        <x:v>JH-02</x:v>
      </x:c>
      <x:c r="B6" s="22" t="str">
        <x:v>Main et bras</x:v>
      </x:c>
      <x:c r="C6" s="24" t="str">
        <x:v>Ordinateur porté sur l’avant-bras gauche</x:v>
      </x:c>
      <x:c r="D6" s="24" t="str">
        <x:v>Ne pas confondre avec le brassard de lames de l'autre avant-bras</x:v>
      </x:c>
      <x:c r="E6" s="24" t="str">
        <x:v>Film 1987</x:v>
      </x:c>
      <x:c r="F6" s="24" t="str">
        <x:v>À mesurer / à revoir</x:v>
      </x:c>
      <x:c r="G6" s="24" t="str">
        <x:v>P0</x:v>
      </x:c>
      <x:c r="H6" s="24" t="str">
        <x:v>Non validé</x:v>
      </x:c>
      <x:c r="I6" s="24" t="str">
        <x:v>À comparer avec au moins 2 captures indépendantes</x:v>
      </x:c>
    </x:row>
    <x:row r="7" ht="38" customHeight="1">
      <x:c r="A7" s="22" t="str">
        <x:v>JH-03</x:v>
      </x:c>
      <x:c r="B7" s="22" t="str">
        <x:v>Géométrie</x:v>
      </x:c>
      <x:c r="C7" s="24" t="str">
        <x:v>Silhouette d'origine boîtier rectangulaire</x:v>
      </x:c>
      <x:c r="D7" s="24" t="str">
        <x:v>Ne pas convertir en disque générique ou bracelet magique</x:v>
      </x:c>
      <x:c r="E7" s="24" t="str">
        <x:v>Gros plans 1987</x:v>
      </x:c>
      <x:c r="F7" s="24" t="str">
        <x:v>À mesurer / à revoir</x:v>
      </x:c>
      <x:c r="G7" s="24" t="str">
        <x:v>P0</x:v>
      </x:c>
      <x:c r="H7" s="24" t="str">
        <x:v>Non validé</x:v>
      </x:c>
      <x:c r="I7" s="24" t="str">
        <x:v>À comparer avec au moins 2 captures indépendantes</x:v>
      </x:c>
    </x:row>
    <x:row r="8" ht="38" customHeight="1">
      <x:c r="A8" s="22" t="str">
        <x:v>JH-04</x:v>
      </x:c>
      <x:c r="B8" s="22" t="str">
        <x:v>Capot</x:v>
      </x:c>
      <x:c r="C8" s="24" t="str">
        <x:v>Charnières du couvercle</x:v>
      </x:c>
      <x:c r="D8" s="24" t="str">
        <x:v>Vérifier pivot, ouverture, axes et épaisseur du panneau</x:v>
      </x:c>
      <x:c r="E8" s="24" t="str">
        <x:v>NECA ouverture</x:v>
      </x:c>
      <x:c r="F8" s="24" t="str">
        <x:v>À mesurer / à revoir</x:v>
      </x:c>
      <x:c r="G8" s="24" t="str">
        <x:v>P0</x:v>
      </x:c>
      <x:c r="H8" s="24" t="str">
        <x:v>Non validé</x:v>
      </x:c>
      <x:c r="I8" s="24" t="str">
        <x:v>Capot ouvrant/refermable dans l'aperçu V133 ; cinématique exacte et charnières à comparer au film.</x:v>
      </x:c>
    </x:row>
    <x:row r="9" ht="38" customHeight="1">
      <x:c r="A9" s="22" t="str">
        <x:v>JH-05</x:v>
      </x:c>
      <x:c r="B9" s="22" t="str">
        <x:v>Écran</x:v>
      </x:c>
      <x:c r="C9" s="24" t="str">
        <x:v>Zone de glyphes rouges segmentés</x:v>
      </x:c>
      <x:c r="D9" s="24" t="str">
        <x:v>Cinq rangées horizontales de cellules rouges ; couvercle articulé latéral distinct ; formes des glyphes encore à comparer au film.</x:v>
      </x:c>
      <x:c r="E9" s="24" t="str">
        <x:v>Film 1987</x:v>
      </x:c>
      <x:c r="F9" s="24" t="str">
        <x:v>À mesurer / à revoir</x:v>
      </x:c>
      <x:c r="G9" s="24" t="str">
        <x:v>P0</x:v>
      </x:c>
      <x:c r="H9" s="24" t="str">
        <x:v>Non validé</x:v>
      </x:c>
      <x:c r="I9" s="24" t="str">
        <x:v>Blockout V133 corrigé (5 rangées) ; relever les glyphes canon et valider avec captures 1987 avant le statut 1:1.</x:v>
      </x:c>
    </x:row>
    <x:row r="10" ht="38" customHeight="1">
      <x:c r="A10" s="22" t="str">
        <x:v>JH-06</x:v>
      </x:c>
      <x:c r="B10" s="22" t="str">
        <x:v>Matériaux</x:v>
      </x:c>
      <x:c r="C10" s="24" t="str">
        <x:v>Métal noir/gris patiné</x:v>
      </x:c>
      <x:c r="D10" s="24" t="str">
        <x:v>Rugosité, arêtes dépolies, traces d'usure cohérentes</x:v>
      </x:c>
      <x:c r="E10" s="24" t="str">
        <x:v>Prop et film</x:v>
      </x:c>
      <x:c r="F10" s="24" t="str">
        <x:v>À mesurer / à revoir</x:v>
      </x:c>
      <x:c r="G10" s="24" t="str">
        <x:v>P0</x:v>
      </x:c>
      <x:c r="H10" s="24" t="str">
        <x:v>Non validé</x:v>
      </x:c>
      <x:c r="I10" s="24" t="str">
        <x:v>À comparer avec au moins 2 captures indépendantes</x:v>
      </x:c>
    </x:row>
    <x:row r="11" ht="38" customHeight="1">
      <x:c r="A11" s="22" t="str">
        <x:v>JH-07</x:v>
      </x:c>
      <x:c r="B11" s="22" t="str">
        <x:v>Flancs</x:v>
      </x:c>
      <x:c r="C11" s="24" t="str">
        <x:v>Nervures et tubes latéraux</x:v>
      </x:c>
      <x:c r="D11" s="24" t="str">
        <x:v>Pas de tuyau/structure volant, attaches intégrées</x:v>
      </x:c>
      <x:c r="E11" s="24" t="str">
        <x:v>Prop et film</x:v>
      </x:c>
      <x:c r="F11" s="24" t="str">
        <x:v>À mesurer / à revoir</x:v>
      </x:c>
      <x:c r="G11" s="24" t="str">
        <x:v>P0</x:v>
      </x:c>
      <x:c r="H11" s="24" t="str">
        <x:v>Non validé</x:v>
      </x:c>
      <x:c r="I11" s="24" t="str">
        <x:v>À comparer avec au moins 2 captures indépendantes</x:v>
      </x:c>
    </x:row>
    <x:row r="12" ht="38" customHeight="1">
      <x:c r="A12" s="22" t="str">
        <x:v>JH-08</x:v>
      </x:c>
      <x:c r="B12" s="22" t="str">
        <x:v>Fixation</x:v>
      </x:c>
      <x:c r="C12" s="24" t="str">
        <x:v>Brassard et boucles</x:v>
      </x:c>
      <x:c r="D12" s="24" t="str">
        <x:v>Fixation crédible au bras avec mesh et lanière</x:v>
      </x:c>
      <x:c r="E12" s="24" t="str">
        <x:v>Film et figurine</x:v>
      </x:c>
      <x:c r="F12" s="24" t="str">
        <x:v>À mesurer / à revoir</x:v>
      </x:c>
      <x:c r="G12" s="24" t="str">
        <x:v>P0</x:v>
      </x:c>
      <x:c r="H12" s="24" t="str">
        <x:v>Non validé</x:v>
      </x:c>
      <x:c r="I12" s="24" t="str">
        <x:v>À comparer avec au moins 2 captures indépendantes</x:v>
      </x:c>
    </x:row>
    <x:row r="13" ht="38" customHeight="1">
      <x:c r="A13" s="22" t="str">
        <x:v>JH-09</x:v>
      </x:c>
      <x:c r="B13" s="22" t="str">
        <x:v>Proportions</x:v>
      </x:c>
      <x:c r="C13" s="24" t="str">
        <x:v>Longueur vs avant-bras</x:v>
      </x:c>
      <x:c r="D13" s="24" t="str">
        <x:v>Mesurer ratios sur images de référence (pas valeurs inventées)</x:v>
      </x:c>
      <x:c r="E13" s="24" t="str">
        <x:v>3 captures</x:v>
      </x:c>
      <x:c r="F13" s="24" t="str">
        <x:v>À mesurer / à revoir</x:v>
      </x:c>
      <x:c r="G13" s="24" t="str">
        <x:v>P0</x:v>
      </x:c>
      <x:c r="H13" s="24" t="str">
        <x:v>Non validé</x:v>
      </x:c>
      <x:c r="I13" s="24" t="str">
        <x:v>À comparer avec au moins 2 captures indépendantes</x:v>
      </x:c>
    </x:row>
    <x:row r="14" ht="38" customHeight="1">
      <x:c r="A14" s="22" t="str">
        <x:v>JH-10</x:v>
      </x:c>
      <x:c r="B14" s="22" t="str">
        <x:v>Profil</x:v>
      </x:c>
      <x:c r="C14" s="24" t="str">
        <x:v>Vue de côté</x:v>
      </x:c>
      <x:c r="D14" s="24" t="str">
        <x:v>Aucune extrusion flottante ou épaisseur erronée</x:v>
      </x:c>
      <x:c r="E14" s="24" t="str">
        <x:v>Référence side shot</x:v>
      </x:c>
      <x:c r="F14" s="24" t="str">
        <x:v>À mesurer / à revoir</x:v>
      </x:c>
      <x:c r="G14" s="24" t="str">
        <x:v>P0</x:v>
      </x:c>
      <x:c r="H14" s="24" t="str">
        <x:v>Non validé</x:v>
      </x:c>
      <x:c r="I14" s="24" t="str">
        <x:v>À comparer avec au moins 2 captures indépendantes</x:v>
      </x:c>
    </x:row>
    <x:row r="15" ht="38" customHeight="1">
      <x:c r="A15" s="22" t="str">
        <x:v>JH-11</x:v>
      </x:c>
      <x:c r="B15" s="22" t="str">
        <x:v>Face</x:v>
      </x:c>
      <x:c r="C15" s="24" t="str">
        <x:v>Vue frontale</x:v>
      </x:c>
      <x:c r="D15" s="24" t="str">
        <x:v>Coïncidence entre gauche/droite du modèle</x:v>
      </x:c>
      <x:c r="E15" s="24" t="str">
        <x:v>Référence front</x:v>
      </x:c>
      <x:c r="F15" s="24" t="str">
        <x:v>À mesurer / à revoir</x:v>
      </x:c>
      <x:c r="G15" s="24" t="str">
        <x:v>P0</x:v>
      </x:c>
      <x:c r="H15" s="24" t="str">
        <x:v>Non validé</x:v>
      </x:c>
      <x:c r="I15" s="24" t="str">
        <x:v>À comparer avec au moins 2 captures indépendantes</x:v>
      </x:c>
    </x:row>
    <x:row r="16" ht="38" customHeight="1">
      <x:c r="A16" s="22" t="str">
        <x:v>JH-12</x:v>
      </x:c>
      <x:c r="B16" s="22" t="str">
        <x:v>Dessus</x:v>
      </x:c>
      <x:c r="C16" s="24" t="str">
        <x:v>Vue dorsale</x:v>
      </x:c>
      <x:c r="D16" s="24" t="str">
        <x:v>Correspondances écran / plis / plaques</x:v>
      </x:c>
      <x:c r="E16" s="24" t="str">
        <x:v>Référence dessus</x:v>
      </x:c>
      <x:c r="F16" s="24" t="str">
        <x:v>À mesurer / à revoir</x:v>
      </x:c>
      <x:c r="G16" s="24" t="str">
        <x:v>P0</x:v>
      </x:c>
      <x:c r="H16" s="24" t="str">
        <x:v>Non validé</x:v>
      </x:c>
      <x:c r="I16" s="24" t="str">
        <x:v>À comparer avec au moins 2 captures indépendantes</x:v>
      </x:c>
    </x:row>
    <x:row r="17" ht="38" customHeight="1">
      <x:c r="A17" s="22" t="str">
        <x:v>JH-13</x:v>
      </x:c>
      <x:c r="B17" s="22" t="str">
        <x:v>POV</x:v>
      </x:c>
      <x:c r="C17" s="24" t="str">
        <x:v>Pose de levée du gauntlet</x:v>
      </x:c>
      <x:c r="D17" s="24" t="str">
        <x:v>Bras aligné avec perspective caméra joueur</x:v>
      </x:c>
      <x:c r="E17" s="24" t="str">
        <x:v>Storyboard POv</x:v>
      </x:c>
      <x:c r="F17" s="24" t="str">
        <x:v>À mesurer / à revoir</x:v>
      </x:c>
      <x:c r="G17" s="24" t="str">
        <x:v>P0</x:v>
      </x:c>
      <x:c r="H17" s="24" t="str">
        <x:v>Non validé</x:v>
      </x:c>
      <x:c r="I17" s="24" t="str">
        <x:v>À comparer avec au moins 2 captures indépendantes</x:v>
      </x:c>
    </x:row>
    <x:row r="18" ht="38" customHeight="1">
      <x:c r="A18" s="22" t="str">
        <x:v>JH-14</x:v>
      </x:c>
      <x:c r="B18" s="22" t="str">
        <x:v>Faisceau</x:v>
      </x:c>
      <x:c r="C18" s="24" t="str">
        <x:v>Source du projecteur de guerre</x:v>
      </x:c>
      <x:c r="D18" s="24" t="str">
        <x:v>Ajout de gameplay original, ne pas attribuer au film de 1987</x:v>
      </x:c>
      <x:c r="E18" s="24" t="str">
        <x:v>Document de gameplay</x:v>
      </x:c>
      <x:c r="F18" s="24" t="str">
        <x:v>À mesurer / à revoir</x:v>
      </x:c>
      <x:c r="G18" s="24" t="str">
        <x:v>P0</x:v>
      </x:c>
      <x:c r="H18" s="24" t="str">
        <x:v>Non validé</x:v>
      </x:c>
      <x:c r="I18" s="24" t="str">
        <x:v>À comparer avec au moins 2 captures indépendantes</x:v>
      </x:c>
    </x:row>
    <x:row r="19" ht="38" customHeight="1">
      <x:c r="A19" s="22" t="str">
        <x:v>JH-15</x:v>
      </x:c>
      <x:c r="B19" s="22" t="str">
        <x:v>Animation</x:v>
      </x:c>
      <x:c r="C19" s="24" t="str">
        <x:v>Déployer / ouvrir / refermer</x:v>
      </x:c>
      <x:c r="D19" s="24" t="str">
        <x:v>Retours d'état strictement déterministes, aucune charnière incohérente</x:v>
      </x:c>
      <x:c r="E19" s="24" t="str">
        <x:v>Storyboard</x:v>
      </x:c>
      <x:c r="F19" s="24" t="str">
        <x:v>À mesurer / à revoir</x:v>
      </x:c>
      <x:c r="G19" s="24" t="str">
        <x:v>P0</x:v>
      </x:c>
      <x:c r="H19" s="24" t="str">
        <x:v>Non validé</x:v>
      </x:c>
      <x:c r="I19" s="24" t="str">
        <x:v>La commande de prévisualisation ouvre/ferme un capot SVG ; transformation technique, pas encore cinématique 1:1.</x:v>
      </x:c>
    </x:row>
    <x:row r="20" ht="38" customHeight="1">
      <x:c r="A20" s="22" t="str">
        <x:v>JH-16</x:v>
      </x:c>
      <x:c r="B20" s="22" t="str">
        <x:v>Glyphes</x:v>
      </x:c>
      <x:c r="C20" s="24" t="str">
        <x:v>Langue Yautja</x:v>
      </x:c>
      <x:c r="D20" s="24" t="str">
        <x:v>Source linguistique validée ou glyphes inventés affichés comme tels</x:v>
      </x:c>
      <x:c r="E20" s="24" t="str">
        <x:v>Yautja lore</x:v>
      </x:c>
      <x:c r="F20" s="24" t="str">
        <x:v>À mesurer / à revoir</x:v>
      </x:c>
      <x:c r="G20" s="24" t="str">
        <x:v>P1</x:v>
      </x:c>
      <x:c r="H20" s="24" t="str">
        <x:v>Non validé</x:v>
      </x:c>
      <x:c r="I20" s="24" t="str">
        <x:v>À comparer avec au moins 2 captures indépendantes</x:v>
      </x:c>
    </x:row>
    <x:row r="21" ht="38" customHeight="1">
      <x:c r="A21" s="22" t="str">
        <x:v>JH-17</x:v>
      </x:c>
      <x:c r="B21" s="22" t="str">
        <x:v>Éclairage</x:v>
      </x:c>
      <x:c r="C21" s="24" t="str">
        <x:v>Réaction de l'écran rouge sur la peau</x:v>
      </x:c>
      <x:c r="D21" s="24" t="str">
        <x:v>Réflexion mesurée, pas glow blanc arbitraire</x:v>
      </x:c>
      <x:c r="E21" s="24" t="str">
        <x:v>Plate screenshots</x:v>
      </x:c>
      <x:c r="F21" s="24" t="str">
        <x:v>À mesurer / à revoir</x:v>
      </x:c>
      <x:c r="G21" s="24" t="str">
        <x:v>P1</x:v>
      </x:c>
      <x:c r="H21" s="24" t="str">
        <x:v>Non validé</x:v>
      </x:c>
      <x:c r="I21" s="24" t="str">
        <x:v>À comparer avec au moins 2 captures indépendantes</x:v>
      </x:c>
    </x:row>
    <x:row r="22" ht="38" customHeight="1">
      <x:c r="A22" s="22" t="str">
        <x:v>JH-18</x:v>
      </x:c>
      <x:c r="B22" s="22" t="str">
        <x:v>Hologramme</x:v>
      </x:c>
      <x:c r="C22" s="24" t="str">
        <x:v>Couleur et profondeur</x:v>
      </x:c>
      <x:c r="D22" s="24" t="str">
        <x:v>Projection lisible, pas liée artificiellement à la géographie</x:v>
      </x:c>
      <x:c r="E22" s="24" t="str">
        <x:v>Gamme UI</x:v>
      </x:c>
      <x:c r="F22" s="24" t="str">
        <x:v>À mesurer / à revoir</x:v>
      </x:c>
      <x:c r="G22" s="24" t="str">
        <x:v>P1</x:v>
      </x:c>
      <x:c r="H22" s="24" t="str">
        <x:v>Non validé</x:v>
      </x:c>
      <x:c r="I22" s="24" t="str">
        <x:v>À comparer avec au moins 2 captures indépendantes</x:v>
      </x:c>
    </x:row>
    <x:row r="23" ht="38" customHeight="1">
      <x:c r="A23" s="22" t="str">
        <x:v>JH-19</x:v>
      </x:c>
      <x:c r="B23" s="22" t="str">
        <x:v>Performance</x:v>
      </x:c>
      <x:c r="C23" s="24" t="str">
        <x:v>Animation sur téléphone</x:v>
      </x:c>
      <x:c r="D23" s="24" t="str">
        <x:v>Fps à mesurer, effet réduit accessible</x:v>
      </x:c>
      <x:c r="E23" s="24" t="str">
        <x:v>QA mobile</x:v>
      </x:c>
      <x:c r="F23" s="24" t="str">
        <x:v>À mesurer / à revoir</x:v>
      </x:c>
      <x:c r="G23" s="24" t="str">
        <x:v>P1</x:v>
      </x:c>
      <x:c r="H23" s="24" t="str">
        <x:v>Non validé</x:v>
      </x:c>
      <x:c r="I23" s="24" t="str">
        <x:v>À comparer avec au moins 2 captures indépendantes</x:v>
      </x:c>
    </x:row>
    <x:row r="24" ht="38" customHeight="1">
      <x:c r="A24" s="22" t="str">
        <x:v>JH-20</x:v>
      </x:c>
      <x:c r="B24" s="22" t="str">
        <x:v>Sons</x:v>
      </x:c>
      <x:c r="C24" s="24" t="str">
        <x:v>Enregistrer bruitage original</x:v>
      </x:c>
      <x:c r="D24" s="24" t="str">
        <x:v>Aucune extraction non autorisée de film ; mix audio jeu</x:v>
      </x:c>
      <x:c r="E24" s="24" t="str">
        <x:v>Audio QA</x:v>
      </x:c>
      <x:c r="F24" s="24" t="str">
        <x:v>À mesurer / à revoir</x:v>
      </x:c>
      <x:c r="G24" s="24" t="str">
        <x:v>P1</x:v>
      </x:c>
      <x:c r="H24" s="24" t="str">
        <x:v>Non validé</x:v>
      </x:c>
      <x:c r="I24" s="24" t="str">
        <x:v>À comparer avec au moins 2 captures indépendantes</x:v>
      </x:c>
    </x:row>
    <x:row r="25" ht="38" customHeight="1">
      <x:c r="A25" s="22" t="str">
        <x:v>JH-21</x:v>
      </x:c>
      <x:c r="B25" s="22" t="str">
        <x:v>Taille sprites</x:v>
      </x:c>
      <x:c r="C25" s="24" t="str">
        <x:v>Sprite source séparé 2D / atlas</x:v>
      </x:c>
      <x:c r="D25" s="24" t="str">
        <x:v>Alpha net, corps/bras non tronqué, pivot propre</x:v>
      </x:c>
      <x:c r="E25" s="24" t="str">
        <x:v>Game design</x:v>
      </x:c>
      <x:c r="F25" s="24" t="str">
        <x:v>À mesurer / à revoir</x:v>
      </x:c>
      <x:c r="G25" s="24" t="str">
        <x:v>P1</x:v>
      </x:c>
      <x:c r="H25" s="24" t="str">
        <x:v>Non validé</x:v>
      </x:c>
      <x:c r="I25" s="24" t="str">
        <x:v>À comparer avec au moins 2 captures indépendantes</x:v>
      </x:c>
    </x:row>
    <x:row r="26" ht="38" customHeight="1">
      <x:c r="A26" s="22" t="str">
        <x:v>JH-22</x:v>
      </x:c>
      <x:c r="B26" s="22" t="str">
        <x:v>Variantes</x:v>
      </x:c>
      <x:c r="C26" s="24" t="str">
        <x:v>Sous-couleurs authentiques uniquement</x:v>
      </x:c>
      <x:c r="D26" s="24" t="str">
        <x:v>Ne pas déclarer une teinte arbitraire comme variante canon</x:v>
      </x:c>
      <x:c r="E26" s="24" t="str">
        <x:v>Atlas PHG</x:v>
      </x:c>
      <x:c r="F26" s="24" t="str">
        <x:v>À mesurer / à revoir</x:v>
      </x:c>
      <x:c r="G26" s="24" t="str">
        <x:v>P1</x:v>
      </x:c>
      <x:c r="H26" s="24" t="str">
        <x:v>Non validé</x:v>
      </x:c>
      <x:c r="I26" s="24" t="str">
        <x:v>À comparer avec au moins 2 captures indépendantes</x:v>
      </x:c>
    </x:row>
    <x:row r="27" ht="38" customHeight="1">
      <x:c r="A27" s="22" t="str">
        <x:v>JH-23</x:v>
      </x:c>
      <x:c r="B27" s="22" t="str">
        <x:v>Fidélité image</x:v>
      </x:c>
      <x:c r="C27" s="24" t="str">
        <x:v>Comparaison côte-à-côte</x:v>
      </x:c>
      <x:c r="D27" s="24" t="str">
        <x:v>Définir plan, angle, focale et validation artiste</x:v>
      </x:c>
      <x:c r="E27" s="24" t="str">
        <x:v>Comparaison art</x:v>
      </x:c>
      <x:c r="F27" s="24" t="str">
        <x:v>À mesurer / à revoir</x:v>
      </x:c>
      <x:c r="G27" s="24" t="str">
        <x:v>P0</x:v>
      </x:c>
      <x:c r="H27" s="24" t="str">
        <x:v>Non validé</x:v>
      </x:c>
      <x:c r="I27" s="24" t="str">
        <x:v>À comparer avec au moins 2 captures indépendantes</x:v>
      </x:c>
    </x:row>
    <x:row r="28" ht="38" customHeight="1">
      <x:c r="A28" s="22" t="str">
        <x:v>JH-24</x:v>
      </x:c>
      <x:c r="B28" s="22" t="str">
        <x:v>Validation canon</x:v>
      </x:c>
      <x:c r="C28" s="24" t="str">
        <x:v>Références suffisamment nombreuses</x:v>
      </x:c>
      <x:c r="D28" s="24" t="str">
        <x:v>Marquer '1:1 validé' seulement avec relecture humaine</x:v>
      </x:c>
      <x:c r="E28" s="24" t="str">
        <x:v>Art director</x:v>
      </x:c>
      <x:c r="F28" s="24" t="str">
        <x:v>À mesurer / à revoir</x:v>
      </x:c>
      <x:c r="G28" s="24" t="str">
        <x:v>P0</x:v>
      </x:c>
      <x:c r="H28" s="24" t="str">
        <x:v>Non validé</x:v>
      </x:c>
      <x:c r="I28" s="24" t="str">
        <x:v>À comparer avec au moins 2 captures indépendantes</x:v>
      </x:c>
    </x:row>
    <x:row r="29" ht="38" customHeight="1">
      <x:c r="A29" s="22" t="str">
        <x:v>JH-25</x:v>
      </x:c>
      <x:c r="B29" s="22" t="str">
        <x:v>Accessibilité</x:v>
      </x:c>
      <x:c r="C29" s="24" t="str">
        <x:v>Clavier / contraste / reduced motion</x:v>
      </x:c>
      <x:c r="D29" s="24" t="str">
        <x:v>Aucune entrée cachée par FX, focus lisible</x:v>
      </x:c>
      <x:c r="E29" s="24" t="str">
        <x:v>QA interaction</x:v>
      </x:c>
      <x:c r="F29" s="24" t="str">
        <x:v>À mesurer / à revoir</x:v>
      </x:c>
      <x:c r="G29" s="24" t="str">
        <x:v>P0</x:v>
      </x:c>
      <x:c r="H29" s="24" t="str">
        <x:v>Non validé</x:v>
      </x:c>
      <x:c r="I29" s="24" t="str">
        <x:v>À comparer avec au moins 2 captures indépendantes</x:v>
      </x:c>
    </x:row>
    <x:row r="30" ht="38" customHeight="1">
      <x:c r="A30" s="22" t="str">
        <x:v>JH-26</x:v>
      </x:c>
      <x:c r="B30" s="22" t="str">
        <x:v>Réversibilité</x:v>
      </x:c>
      <x:c r="C30" s="24" t="str">
        <x:v>Vue classique conservée</x:v>
      </x:c>
      <x:c r="D30" s="24" t="str">
        <x:v>Bascule sans rerender de l'atlas ni perte d'ordre</x:v>
      </x:c>
      <x:c r="E30" s="24" t="str">
        <x:v>Code V131</x:v>
      </x:c>
      <x:c r="F30" s="24" t="str">
        <x:v>À mesurer / à revoir</x:v>
      </x:c>
      <x:c r="G30" s="24" t="str">
        <x:v>P0</x:v>
      </x:c>
      <x:c r="H30" s="24" t="str">
        <x:v>Non validé</x:v>
      </x:c>
      <x:c r="I30" s="24" t="str">
        <x:v>À comparer avec au moins 2 captures indépendantes</x:v>
      </x:c>
    </x:row>
    <x:row r="31" ht="38" customHeight="1">
      <x:c r="A31" s="22" t="str">
        <x:v>JH-27</x:v>
      </x:c>
      <x:c r="B31" s="22" t="str">
        <x:v>Droits</x:v>
      </x:c>
      <x:c r="C31" s="24" t="str">
        <x:v>Commercialisation et usage des designs</x:v>
      </x:c>
      <x:c r="D31" s="24" t="str">
        <x:v>Revue des licences de franchise avant toute vente</x:v>
      </x:c>
      <x:c r="E31" s="24" t="str">
        <x:v>Legal checklist</x:v>
      </x:c>
      <x:c r="F31" s="24" t="str">
        <x:v>À mesurer / à revoir</x:v>
      </x:c>
      <x:c r="G31" s="24" t="str">
        <x:v>P0</x:v>
      </x:c>
      <x:c r="H31" s="24" t="str">
        <x:v>Non validé</x:v>
      </x:c>
      <x:c r="I31" s="24" t="str">
        <x:v>À comparer avec au moins 2 captures indépendantes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f4ca3ee9c0443e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31" hidden="0" customWidth="1"/>
    <x:col min="4" max="4" width="43" hidden="0" customWidth="1"/>
    <x:col min="5" max="5" width="13" hidden="0" customWidth="1"/>
    <x:col min="6" max="6" width="25" hidden="0" customWidth="1"/>
    <x:col min="7" max="7" width="17" hidden="0" customWidth="1"/>
    <x:col min="8" max="8" width="17" hidden="0" customWidth="1"/>
    <x:col min="9" max="9" width="54" hidden="0" customWidth="1"/>
    <x:col min="10" max="10" width="41" hidden="0" customWidth="1"/>
    <x:col min="11" max="11" width="46" hidden="0" customWidth="1"/>
  </x:cols>
  <x:sheetData>
    <x:row r="1" ht="38" customHeight="1">
      <x:c r="A1" s="4" t="str">
        <x:v>MATRICE DES ASSETS · 540 LIVRABLES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Un gauntlet = éléments de bras, coque, panneau, effets, animations, son, HUD et contrôle de fidélité. L'absence d'asset est explicitement visible.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9" customHeight="1">
      <x:c r="A4" s="17" t="str">
        <x:v>Modèle</x:v>
      </x:c>
      <x:c r="B4" s="17" t="str">
        <x:v>Asset ID</x:v>
      </x:c>
      <x:c r="C4" s="17" t="str">
        <x:v>Pièce indépendante</x:v>
      </x:c>
      <x:c r="D4" s="17" t="str">
        <x:v>But</x:v>
      </x:c>
      <x:c r="E4" s="17" t="str">
        <x:v>Priorité</x:v>
      </x:c>
      <x:c r="F4" s="17" t="str">
        <x:v>État</x:v>
      </x:c>
      <x:c r="G4" s="17" t="str">
        <x:v>Estimation h</x:v>
      </x:c>
      <x:c r="H4" s="17" t="str">
        <x:v>Heures faites</x:v>
      </x:c>
      <x:c r="I4" s="17" t="str">
        <x:v>Cible PNG/manifest</x:v>
      </x:c>
      <x:c r="J4" s="17" t="str">
        <x:v>Source</x:v>
      </x:c>
      <x:c r="K4" s="17" t="str">
        <x:v>Contrôle</x:v>
      </x:c>
    </x:row>
    <x:row r="5" ht="31" customHeight="1">
      <x:c r="A5" s="22" t="str">
        <x:v>jungle-hunter</x:v>
      </x:c>
      <x:c r="B5" s="22" t="str">
        <x:v>jungle-hunter-ARM-L</x:v>
      </x:c>
      <x:c r="C5" s="22" t="str">
        <x:v>Bras gauche / poignet</x:v>
      </x:c>
      <x:c r="D5" s="24" t="str">
        <x:v>Pivot &amp; peau / netting</x:v>
      </x:c>
      <x:c r="E5" s="22" t="str">
        <x:v>P0</x:v>
      </x:c>
      <x:c r="F5" s="22" t="str">
        <x:v>Prototype SVG individuel + alpha PNG</x:v>
      </x:c>
      <x:c r="G5" s="22" t="n">
        <x:v>3.5</x:v>
      </x:c>
      <x:c r="H5" s="22" t="n">
        <x:v>0</x:v>
      </x:c>
      <x:c r="I5" s="22" t="str">
        <x:v>public/gauntlets/v132/jungle-hunter/arm-l.png</x:v>
      </x:c>
      <x:c r="J5" s="22" t="str">
        <x:v>https://store.necaonline.com/products/predator-ultimate-jungle-hunter-7-scale-action-figure</x:v>
      </x:c>
      <x:c r="K5" s="24" t="str">
        <x:v>Preuve technique : public/game/assets/v134/gauntlets/jungle-hunter/01-arm.svg ; fichier distinct ne vaut pas texture ni proportions 1:1 ; heures non journalisées</x:v>
      </x:c>
    </x:row>
    <x:row r="6" ht="31" customHeight="1">
      <x:c r="A6" s="22" t="str">
        <x:v>jungle-hunter</x:v>
      </x:c>
      <x:c r="B6" s="22" t="str">
        <x:v>jungle-hunter-SHELL-C</x:v>
      </x:c>
      <x:c r="C6" s="22" t="str">
        <x:v>Coque fermée</x:v>
      </x:c>
      <x:c r="D6" s="24" t="str">
        <x:v>Profil latéral et attaches</x:v>
      </x:c>
      <x:c r="E6" s="22" t="str">
        <x:v>P0</x:v>
      </x:c>
      <x:c r="F6" s="22" t="str">
        <x:v>Coque individuelle SVG + PNG, non 1:1</x:v>
      </x:c>
      <x:c r="G6" s="22" t="n">
        <x:v>4.5</x:v>
      </x:c>
      <x:c r="H6" s="22" t="n">
        <x:v>0</x:v>
      </x:c>
      <x:c r="I6" s="22" t="str">
        <x:v>public/gauntlets/v132/jungle-hunter/shell-c.png</x:v>
      </x:c>
      <x:c r="J6" s="22" t="str">
        <x:v>https://store.necaonline.com/products/predator-ultimate-jungle-hunter-7-scale-action-figure</x:v>
      </x:c>
      <x:c r="K6" s="24" t="str">
        <x:v>Preuve technique : public/game/assets/v134/gauntlets/jungle-hunter/02-housing.svg ; fichier distinct ne vaut pas texture ni proportions 1:1 ; heures non journalisées</x:v>
      </x:c>
    </x:row>
    <x:row r="7" ht="31" customHeight="1">
      <x:c r="A7" s="22" t="str">
        <x:v>jungle-hunter</x:v>
      </x:c>
      <x:c r="B7" s="22" t="str">
        <x:v>jungle-hunter-SHELL-O</x:v>
      </x:c>
      <x:c r="C7" s="22" t="str">
        <x:v>Coque ouverte</x:v>
      </x:c>
      <x:c r="D7" s="24" t="str">
        <x:v>Charnières et trappe</x:v>
      </x:c>
      <x:c r="E7" s="22" t="str">
        <x:v>P0</x:v>
      </x:c>
      <x:c r="F7" s="22" t="str">
        <x:v>Capot ouvrable en React/CSS, animation partielle</x:v>
      </x:c>
      <x:c r="G7" s="22" t="n">
        <x:v>4.5</x:v>
      </x:c>
      <x:c r="H7" s="22" t="n">
        <x:v>0</x:v>
      </x:c>
      <x:c r="I7" s="22" t="str">
        <x:v>public/gauntlets/v132/jungle-hunter/shell-o.png</x:v>
      </x:c>
      <x:c r="J7" s="22" t="str">
        <x:v>https://store.necaonline.com/products/predator-ultimate-jungle-hunter-7-scale-action-figure</x:v>
      </x:c>
      <x:c r="K7" s="24" t="str">
        <x:v>Preuve technique : public/game/assets/v134/gauntlets/jungle-hunter/07-beam.svg ; fichier distinct ne vaut pas texture ni proportions 1:1 ; heures non journalisées</x:v>
      </x:c>
    </x:row>
    <x:row r="8" ht="31" customHeight="1">
      <x:c r="A8" s="22" t="str">
        <x:v>jungle-hunter</x:v>
      </x:c>
      <x:c r="B8" s="22" t="str">
        <x:v>jungle-hunter-UI-RED</x:v>
      </x:c>
      <x:c r="C8" s="22" t="str">
        <x:v>Contrôle / glyphes</x:v>
      </x:c>
      <x:c r="D8" s="24" t="str">
        <x:v>Texte + segments lumineux</x:v>
      </x:c>
      <x:c r="E8" s="22" t="str">
        <x:v>P0</x:v>
      </x:c>
      <x:c r="F8" s="22" t="str">
        <x:v>Interface distincte en SVG / couleurs non certifiées</x:v>
      </x:c>
      <x:c r="G8" s="22" t="n">
        <x:v>3</x:v>
      </x:c>
      <x:c r="H8" s="22" t="n">
        <x:v>0</x:v>
      </x:c>
      <x:c r="I8" s="22" t="str">
        <x:v>public/gauntlets/v132/jungle-hunter/ui-red.png</x:v>
      </x:c>
      <x:c r="J8" s="22" t="str">
        <x:v>https://store.necaonline.com/products/predator-ultimate-jungle-hunter-7-scale-action-figure</x:v>
      </x:c>
      <x:c r="K8" s="24" t="str">
        <x:v>Preuve technique : public/game/assets/v134/gauntlets/jungle-hunter/03-display-glyphs.svg ; fichier distinct ne vaut pas texture ni proportions 1:1 ; heures non journalisées</x:v>
      </x:c>
    </x:row>
    <x:row r="9" ht="31" customHeight="1">
      <x:c r="A9" s="22" t="str">
        <x:v>jungle-hunter</x:v>
      </x:c>
      <x:c r="B9" s="22" t="str">
        <x:v>jungle-hunter-RIBS</x:v>
      </x:c>
      <x:c r="C9" s="22" t="str">
        <x:v>Ribures et mécanique</x:v>
      </x:c>
      <x:c r="D9" s="24" t="str">
        <x:v>Plaques, vis, tuyaux</x:v>
      </x:c>
      <x:c r="E9" s="22" t="str">
        <x:v>P0</x:v>
      </x:c>
      <x:c r="F9" s="22" t="str">
        <x:v>Détails de coque présents, sous-pièces non séparées</x:v>
      </x:c>
      <x:c r="G9" s="22" t="n">
        <x:v>3.5</x:v>
      </x:c>
      <x:c r="H9" s="22" t="n">
        <x:v>0</x:v>
      </x:c>
      <x:c r="I9" s="22" t="str">
        <x:v>public/gauntlets/v132/jungle-hunter/ribs.png</x:v>
      </x:c>
      <x:c r="J9" s="22" t="str">
        <x:v>https://store.necaonline.com/products/predator-ultimate-jungle-hunter-7-scale-action-figure</x:v>
      </x:c>
      <x:c r="K9" s="24" t="str">
        <x:v>Preuve technique : public/game/assets/v134/gauntlets/jungle-hunter/02-housing.svg ; fichier distinct ne vaut pas texture ni proportions 1:1 ; heures non journalisées</x:v>
      </x:c>
    </x:row>
    <x:row r="10" ht="31" customHeight="1">
      <x:c r="A10" s="22" t="str">
        <x:v>jungle-hunter</x:v>
      </x:c>
      <x:c r="B10" s="22" t="str">
        <x:v>jungle-hunter-BEAM</x:v>
      </x:c>
      <x:c r="C10" s="22" t="str">
        <x:v>Émetteur holographique</x:v>
      </x:c>
      <x:c r="D10" s="24" t="str">
        <x:v>Projection originale de jeu</x:v>
      </x:c>
      <x:c r="E10" s="22" t="str">
        <x:v>P0</x:v>
      </x:c>
      <x:c r="F10" s="22" t="str">
        <x:v>Faisceau du projet (JH dédié, autres effet commun)</x:v>
      </x:c>
      <x:c r="G10" s="22" t="n">
        <x:v>2.5</x:v>
      </x:c>
      <x:c r="H10" s="22" t="n">
        <x:v>0</x:v>
      </x:c>
      <x:c r="I10" s="22" t="str">
        <x:v>public/gauntlets/v132/jungle-hunter/beam.png</x:v>
      </x:c>
      <x:c r="J10" s="22" t="str">
        <x:v>https://store.necaonline.com/products/predator-ultimate-jungle-hunter-7-scale-action-figure</x:v>
      </x:c>
      <x:c r="K10" s="24" t="str">
        <x:v>Preuve technique : public/game/assets/v134/gauntlets/jungle-hunter/07-beam.svg ; fichier distinct ne vaut pas texture ni proportions 1:1 ; heures non journalisées</x:v>
      </x:c>
    </x:row>
    <x:row r="11" ht="31" customHeight="1">
      <x:c r="A11" s="22" t="str">
        <x:v>jungle-hunter</x:v>
      </x:c>
      <x:c r="B11" s="22" t="str">
        <x:v>jungle-hunter-MOVE</x:v>
      </x:c>
      <x:c r="C11" s="22" t="str">
        <x:v>Animations 4 états</x:v>
      </x:c>
      <x:c r="D11" s="24" t="str">
        <x:v>lever, ouvrir, projeter, ranger</x:v>
      </x:c>
      <x:c r="E11" s="22" t="str">
        <x:v>P0</x:v>
      </x:c>
      <x:c r="F11" s="22" t="str">
        <x:v>Capot ouvert/fermé ; 3 gestes complets restent à faire</x:v>
      </x:c>
      <x:c r="G11" s="22" t="n">
        <x:v>5</x:v>
      </x:c>
      <x:c r="H11" s="22" t="n">
        <x:v>0</x:v>
      </x:c>
      <x:c r="I11" s="22" t="str">
        <x:v>public/gauntlets/v132/jungle-hunter/move.png</x:v>
      </x:c>
      <x:c r="J11" s="22" t="str">
        <x:v>https://store.necaonline.com/products/predator-ultimate-jungle-hunter-7-scale-action-figure</x:v>
      </x:c>
      <x:c r="K11" s="24" t="str">
        <x:v>Preuve technique : public/game/assets/v134/gauntlets/jungle-hunter/07-beam.svg ; fichier distinct ne vaut pas texture ni proportions 1:1 ; heures non journalisées</x:v>
      </x:c>
    </x:row>
    <x:row r="12" ht="31" customHeight="1">
      <x:c r="A12" s="22" t="str">
        <x:v>jungle-hunter</x:v>
      </x:c>
      <x:c r="B12" s="22" t="str">
        <x:v>jungle-hunter-SFX</x:v>
      </x:c>
      <x:c r="C12" s="22" t="str">
        <x:v>Identité sonore</x:v>
      </x:c>
      <x:c r="D12" s="24" t="str">
        <x:v>4 sources originales non soumises aux droits de film</x:v>
      </x:c>
      <x:c r="E12" s="22" t="str">
        <x:v>P0</x:v>
      </x:c>
      <x:c r="F12" s="22" t="str">
        <x:v>Signature sonore par thème (10 profils), source non cinéma</x:v>
      </x:c>
      <x:c r="G12" s="22" t="n">
        <x:v>2</x:v>
      </x:c>
      <x:c r="H12" s="22" t="n">
        <x:v>0</x:v>
      </x:c>
      <x:c r="I12" s="22" t="str">
        <x:v>public/gauntlets/v132/jungle-hunter/sfx.png</x:v>
      </x:c>
      <x:c r="J12" s="22" t="str">
        <x:v>https://store.necaonline.com/products/predator-ultimate-jungle-hunter-7-scale-action-figure</x:v>
      </x:c>
      <x:c r="K12" s="24" t="str">
        <x:v>Preuve technique : app/game/sound.ts ; fichier distinct ne vaut pas texture ni proportions 1:1 ; heures non journalisées</x:v>
      </x:c>
    </x:row>
    <x:row r="13" ht="31" customHeight="1">
      <x:c r="A13" s="22" t="str">
        <x:v>jungle-hunter</x:v>
      </x:c>
      <x:c r="B13" s="22" t="str">
        <x:v>jungle-hunter-HUD</x:v>
      </x:c>
      <x:c r="C13" s="22" t="str">
        <x:v>Palette / projection</x:v>
      </x:c>
      <x:c r="D13" s="24" t="str">
        <x:v>UI 2D/3D cohérente avec la carte</x:v>
      </x:c>
      <x:c r="E13" s="22" t="str">
        <x:v>P0</x:v>
      </x:c>
      <x:c r="F13" s="22" t="str">
        <x:v>HUD connecté / simulation intacte ; QA visuelle restante</x:v>
      </x:c>
      <x:c r="G13" s="22" t="n">
        <x:v>3.5</x:v>
      </x:c>
      <x:c r="H13" s="22" t="n">
        <x:v>0</x:v>
      </x:c>
      <x:c r="I13" s="22" t="str">
        <x:v>public/gauntlets/v132/jungle-hunter/hud.png</x:v>
      </x:c>
      <x:c r="J13" s="22" t="str">
        <x:v>https://store.necaonline.com/products/predator-ultimate-jungle-hunter-7-scale-action-figure</x:v>
      </x:c>
      <x:c r="K13" s="24" t="str">
        <x:v>Preuve technique : app/game/ClanWarGauntletV131.tsx ; fichier distinct ne vaut pas texture ni proportions 1:1 ; heures non journalisées</x:v>
      </x:c>
    </x:row>
    <x:row r="14" ht="31" customHeight="1">
      <x:c r="A14" s="22" t="str">
        <x:v>jungle-hunter</x:v>
      </x:c>
      <x:c r="B14" s="22" t="str">
        <x:v>jungle-hunter-QA</x:v>
      </x:c>
      <x:c r="C14" s="22" t="str">
        <x:v>Comparaisons + tests</x:v>
      </x:c>
      <x:c r="D14" s="24" t="str">
        <x:v>Pivots, alpha, mobile, focus, 3 vues</x:v>
      </x:c>
      <x:c r="E14" s="22" t="str">
        <x:v>P0</x:v>
      </x:c>
      <x:c r="F14" s="22" t="str">
        <x:v>Tests CI source / alpha / type / navigateur autonome ; 1:1 restant</x:v>
      </x:c>
      <x:c r="G14" s="22" t="n">
        <x:v>4</x:v>
      </x:c>
      <x:c r="H14" s="22" t="n">
        <x:v>0</x:v>
      </x:c>
      <x:c r="I14" s="22" t="str">
        <x:v>public/gauntlets/v132/jungle-hunter/qa.png</x:v>
      </x:c>
      <x:c r="J14" s="22" t="str">
        <x:v>https://store.necaonline.com/products/predator-ultimate-jungle-hunter-7-scale-action-figure</x:v>
      </x:c>
      <x:c r="K14" s="24" t="str">
        <x:v>Preuve technique : tests/gauntlet-archive-studies-v136.test.mjs ; fichier distinct ne vaut pas texture ni proportions 1:1 ; heures non journalisées</x:v>
      </x:c>
    </x:row>
    <x:row r="15" ht="31" customHeight="1">
      <x:c r="A15" s="22" t="str">
        <x:v>city-hunter</x:v>
      </x:c>
      <x:c r="B15" s="22" t="str">
        <x:v>city-hunter-ARM-L</x:v>
      </x:c>
      <x:c r="C15" s="22" t="str">
        <x:v>Bras gauche / poignet</x:v>
      </x:c>
      <x:c r="D15" s="24" t="str">
        <x:v>Pivot &amp; peau / netting</x:v>
      </x:c>
      <x:c r="E15" s="22" t="str">
        <x:v>P1</x:v>
      </x:c>
      <x:c r="F15" s="22" t="str">
        <x:v>Prototype SVG individuel + alpha PNG</x:v>
      </x:c>
      <x:c r="G15" s="22" t="n">
        <x:v>3.5</x:v>
      </x:c>
      <x:c r="H15" s="22" t="n">
        <x:v>0</x:v>
      </x:c>
      <x:c r="I15" s="22" t="str">
        <x:v>public/gauntlets/v132/city-hunter/arm-l.png</x:v>
      </x:c>
      <x:c r="J15" s="22" t="str">
        <x:v>https://www.20thcenturystudios.com/movies/predator-2</x:v>
      </x:c>
      <x:c r="K15" s="24" t="str">
        <x:v>Preuve technique : public/game/assets/v135/gauntlets/city-hunter/01-forearm.svg ; fichier distinct ne vaut pas texture ni proportions 1:1 ; heures non journalisées</x:v>
      </x:c>
    </x:row>
    <x:row r="16" ht="31" customHeight="1">
      <x:c r="A16" s="22" t="str">
        <x:v>city-hunter</x:v>
      </x:c>
      <x:c r="B16" s="22" t="str">
        <x:v>city-hunter-SHELL-C</x:v>
      </x:c>
      <x:c r="C16" s="22" t="str">
        <x:v>Coque fermée</x:v>
      </x:c>
      <x:c r="D16" s="24" t="str">
        <x:v>Profil latéral et attaches</x:v>
      </x:c>
      <x:c r="E16" s="22" t="str">
        <x:v>P1</x:v>
      </x:c>
      <x:c r="F16" s="22" t="str">
        <x:v>Coque individuelle SVG + PNG, non 1:1</x:v>
      </x:c>
      <x:c r="G16" s="22" t="n">
        <x:v>4.5</x:v>
      </x:c>
      <x:c r="H16" s="22" t="n">
        <x:v>0</x:v>
      </x:c>
      <x:c r="I16" s="22" t="str">
        <x:v>public/gauntlets/v132/city-hunter/shell-c.png</x:v>
      </x:c>
      <x:c r="J16" s="22" t="str">
        <x:v>https://www.20thcenturystudios.com/movies/predator-2</x:v>
      </x:c>
      <x:c r="K16" s="24" t="str">
        <x:v>Preuve technique : public/game/assets/v135/gauntlets/city-hunter/02-shell.svg ; fichier distinct ne vaut pas texture ni proportions 1:1 ; heures non journalisées</x:v>
      </x:c>
    </x:row>
    <x:row r="17" ht="31" customHeight="1">
      <x:c r="A17" s="22" t="str">
        <x:v>city-hunter</x:v>
      </x:c>
      <x:c r="B17" s="22" t="str">
        <x:v>city-hunter-SHELL-O</x:v>
      </x:c>
      <x:c r="C17" s="22" t="str">
        <x:v>Coque ouverte</x:v>
      </x:c>
      <x:c r="D17" s="24" t="str">
        <x:v>Charnières et trappe</x:v>
      </x:c>
      <x:c r="E17" s="22" t="str">
        <x:v>P1</x:v>
      </x:c>
      <x:c r="F17" s="22" t="str">
        <x:v>Capot ouvrable en React/CSS, animation partielle</x:v>
      </x:c>
      <x:c r="G17" s="22" t="n">
        <x:v>4.5</x:v>
      </x:c>
      <x:c r="H17" s="22" t="n">
        <x:v>0</x:v>
      </x:c>
      <x:c r="I17" s="22" t="str">
        <x:v>public/gauntlets/v132/city-hunter/shell-o.png</x:v>
      </x:c>
      <x:c r="J17" s="22" t="str">
        <x:v>https://www.20thcenturystudios.com/movies/predator-2</x:v>
      </x:c>
      <x:c r="K17" s="24" t="str">
        <x:v>Preuve technique : public/game/assets/v135/gauntlets/city-hunter/04-cover.svg ; fichier distinct ne vaut pas texture ni proportions 1:1 ; heures non journalisées</x:v>
      </x:c>
    </x:row>
    <x:row r="18" ht="31" customHeight="1">
      <x:c r="A18" s="22" t="str">
        <x:v>city-hunter</x:v>
      </x:c>
      <x:c r="B18" s="22" t="str">
        <x:v>city-hunter-UI-RED</x:v>
      </x:c>
      <x:c r="C18" s="22" t="str">
        <x:v>Contrôle / glyphes</x:v>
      </x:c>
      <x:c r="D18" s="24" t="str">
        <x:v>Texte + segments lumineux</x:v>
      </x:c>
      <x:c r="E18" s="22" t="str">
        <x:v>P1</x:v>
      </x:c>
      <x:c r="F18" s="22" t="str">
        <x:v>Interface distincte en SVG / couleurs non certifiées</x:v>
      </x:c>
      <x:c r="G18" s="22" t="n">
        <x:v>3</x:v>
      </x:c>
      <x:c r="H18" s="22" t="n">
        <x:v>0</x:v>
      </x:c>
      <x:c r="I18" s="22" t="str">
        <x:v>public/gauntlets/v132/city-hunter/ui-red.png</x:v>
      </x:c>
      <x:c r="J18" s="22" t="str">
        <x:v>https://www.20thcenturystudios.com/movies/predator-2</x:v>
      </x:c>
      <x:c r="K18" s="24" t="str">
        <x:v>Preuve technique : public/game/assets/v135/gauntlets/city-hunter/03-panel.svg ; fichier distinct ne vaut pas texture ni proportions 1:1 ; heures non journalisées</x:v>
      </x:c>
    </x:row>
    <x:row r="19" ht="31" customHeight="1">
      <x:c r="A19" s="22" t="str">
        <x:v>city-hunter</x:v>
      </x:c>
      <x:c r="B19" s="22" t="str">
        <x:v>city-hunter-RIBS</x:v>
      </x:c>
      <x:c r="C19" s="22" t="str">
        <x:v>Ribures et mécanique</x:v>
      </x:c>
      <x:c r="D19" s="24" t="str">
        <x:v>Plaques, vis, tuyaux</x:v>
      </x:c>
      <x:c r="E19" s="22" t="str">
        <x:v>P1</x:v>
      </x:c>
      <x:c r="F19" s="22" t="str">
        <x:v>Détails de coque présents, sous-pièces non séparées</x:v>
      </x:c>
      <x:c r="G19" s="22" t="n">
        <x:v>3.5</x:v>
      </x:c>
      <x:c r="H19" s="22" t="n">
        <x:v>0</x:v>
      </x:c>
      <x:c r="I19" s="22" t="str">
        <x:v>public/gauntlets/v132/city-hunter/ribs.png</x:v>
      </x:c>
      <x:c r="J19" s="22" t="str">
        <x:v>https://www.20thcenturystudios.com/movies/predator-2</x:v>
      </x:c>
      <x:c r="K19" s="24" t="str">
        <x:v>Preuve technique : public/game/assets/v135/gauntlets/city-hunter/02-shell.svg ; fichier distinct ne vaut pas texture ni proportions 1:1 ; heures non journalisées</x:v>
      </x:c>
    </x:row>
    <x:row r="20" ht="31" customHeight="1">
      <x:c r="A20" s="22" t="str">
        <x:v>city-hunter</x:v>
      </x:c>
      <x:c r="B20" s="22" t="str">
        <x:v>city-hunter-BEAM</x:v>
      </x:c>
      <x:c r="C20" s="22" t="str">
        <x:v>Émetteur holographique</x:v>
      </x:c>
      <x:c r="D20" s="24" t="str">
        <x:v>Projection originale de jeu</x:v>
      </x:c>
      <x:c r="E20" s="22" t="str">
        <x:v>P1</x:v>
      </x:c>
      <x:c r="F20" s="22" t="str">
        <x:v>Faisceau du projet (JH dédié, autres effet commun)</x:v>
      </x:c>
      <x:c r="G20" s="22" t="n">
        <x:v>2.5</x:v>
      </x:c>
      <x:c r="H20" s="22" t="n">
        <x:v>0</x:v>
      </x:c>
      <x:c r="I20" s="22" t="str">
        <x:v>public/gauntlets/v132/city-hunter/beam.png</x:v>
      </x:c>
      <x:c r="J20" s="22" t="str">
        <x:v>https://www.20thcenturystudios.com/movies/predator-2</x:v>
      </x:c>
      <x:c r="K20" s="24" t="str">
        <x:v>Preuve technique : app/game/ClanWarGauntletV131.tsx ; fichier distinct ne vaut pas texture ni proportions 1:1 ; heures non journalisées</x:v>
      </x:c>
    </x:row>
    <x:row r="21" ht="31" customHeight="1">
      <x:c r="A21" s="22" t="str">
        <x:v>city-hunter</x:v>
      </x:c>
      <x:c r="B21" s="22" t="str">
        <x:v>city-hunter-MOVE</x:v>
      </x:c>
      <x:c r="C21" s="22" t="str">
        <x:v>Animations 4 états</x:v>
      </x:c>
      <x:c r="D21" s="24" t="str">
        <x:v>lever, ouvrir, projeter, ranger</x:v>
      </x:c>
      <x:c r="E21" s="22" t="str">
        <x:v>P1</x:v>
      </x:c>
      <x:c r="F21" s="22" t="str">
        <x:v>Capot ouvert/fermé ; 3 gestes complets restent à faire</x:v>
      </x:c>
      <x:c r="G21" s="22" t="n">
        <x:v>5</x:v>
      </x:c>
      <x:c r="H21" s="22" t="n">
        <x:v>0</x:v>
      </x:c>
      <x:c r="I21" s="22" t="str">
        <x:v>public/gauntlets/v132/city-hunter/move.png</x:v>
      </x:c>
      <x:c r="J21" s="22" t="str">
        <x:v>https://www.20thcenturystudios.com/movies/predator-2</x:v>
      </x:c>
      <x:c r="K21" s="24" t="str">
        <x:v>Preuve technique : public/game/assets/v135/gauntlets/city-hunter/04-cover.svg ; fichier distinct ne vaut pas texture ni proportions 1:1 ; heures non journalisées</x:v>
      </x:c>
    </x:row>
    <x:row r="22" ht="31" customHeight="1">
      <x:c r="A22" s="22" t="str">
        <x:v>city-hunter</x:v>
      </x:c>
      <x:c r="B22" s="22" t="str">
        <x:v>city-hunter-SFX</x:v>
      </x:c>
      <x:c r="C22" s="22" t="str">
        <x:v>Identité sonore</x:v>
      </x:c>
      <x:c r="D22" s="24" t="str">
        <x:v>4 sources originales non soumises aux droits de film</x:v>
      </x:c>
      <x:c r="E22" s="22" t="str">
        <x:v>P1</x:v>
      </x:c>
      <x:c r="F22" s="22" t="str">
        <x:v>Signature sonore par thème (10 profils), source non cinéma</x:v>
      </x:c>
      <x:c r="G22" s="22" t="n">
        <x:v>2</x:v>
      </x:c>
      <x:c r="H22" s="22" t="n">
        <x:v>0</x:v>
      </x:c>
      <x:c r="I22" s="22" t="str">
        <x:v>public/gauntlets/v132/city-hunter/sfx.png</x:v>
      </x:c>
      <x:c r="J22" s="22" t="str">
        <x:v>https://www.20thcenturystudios.com/movies/predator-2</x:v>
      </x:c>
      <x:c r="K22" s="24" t="str">
        <x:v>Preuve technique : app/game/sound.ts ; fichier distinct ne vaut pas texture ni proportions 1:1 ; heures non journalisées</x:v>
      </x:c>
    </x:row>
    <x:row r="23" ht="31" customHeight="1">
      <x:c r="A23" s="22" t="str">
        <x:v>city-hunter</x:v>
      </x:c>
      <x:c r="B23" s="22" t="str">
        <x:v>city-hunter-HUD</x:v>
      </x:c>
      <x:c r="C23" s="22" t="str">
        <x:v>Palette / projection</x:v>
      </x:c>
      <x:c r="D23" s="24" t="str">
        <x:v>UI 2D/3D cohérente avec la carte</x:v>
      </x:c>
      <x:c r="E23" s="22" t="str">
        <x:v>P1</x:v>
      </x:c>
      <x:c r="F23" s="22" t="str">
        <x:v>HUD connecté / simulation intacte ; QA visuelle restante</x:v>
      </x:c>
      <x:c r="G23" s="22" t="n">
        <x:v>3.5</x:v>
      </x:c>
      <x:c r="H23" s="22" t="n">
        <x:v>0</x:v>
      </x:c>
      <x:c r="I23" s="22" t="str">
        <x:v>public/gauntlets/v132/city-hunter/hud.png</x:v>
      </x:c>
      <x:c r="J23" s="22" t="str">
        <x:v>https://www.20thcenturystudios.com/movies/predator-2</x:v>
      </x:c>
      <x:c r="K23" s="24" t="str">
        <x:v>Preuve technique : app/game/ClanWarGauntletV131.tsx ; fichier distinct ne vaut pas texture ni proportions 1:1 ; heures non journalisées</x:v>
      </x:c>
    </x:row>
    <x:row r="24" ht="31" customHeight="1">
      <x:c r="A24" s="22" t="str">
        <x:v>city-hunter</x:v>
      </x:c>
      <x:c r="B24" s="22" t="str">
        <x:v>city-hunter-QA</x:v>
      </x:c>
      <x:c r="C24" s="22" t="str">
        <x:v>Comparaisons + tests</x:v>
      </x:c>
      <x:c r="D24" s="24" t="str">
        <x:v>Pivots, alpha, mobile, focus, 3 vues</x:v>
      </x:c>
      <x:c r="E24" s="22" t="str">
        <x:v>P1</x:v>
      </x:c>
      <x:c r="F24" s="22" t="str">
        <x:v>Tests CI source / alpha / type / navigateur autonome ; 1:1 restant</x:v>
      </x:c>
      <x:c r="G24" s="22" t="n">
        <x:v>4</x:v>
      </x:c>
      <x:c r="H24" s="22" t="n">
        <x:v>0</x:v>
      </x:c>
      <x:c r="I24" s="22" t="str">
        <x:v>public/gauntlets/v132/city-hunter/qa.png</x:v>
      </x:c>
      <x:c r="J24" s="22" t="str">
        <x:v>https://www.20thcenturystudios.com/movies/predator-2</x:v>
      </x:c>
      <x:c r="K24" s="24" t="str">
        <x:v>Preuve technique : tests/gauntlet-archive-studies-v136.test.mjs ; fichier distinct ne vaut pas texture ni proportions 1:1 ; heures non journalisées</x:v>
      </x:c>
    </x:row>
    <x:row r="25" ht="31" customHeight="1">
      <x:c r="A25" s="22" t="str">
        <x:v>greyback</x:v>
      </x:c>
      <x:c r="B25" s="22" t="str">
        <x:v>greyback-ARM-L</x:v>
      </x:c>
      <x:c r="C25" s="22" t="str">
        <x:v>Bras gauche / poignet</x:v>
      </x:c>
      <x:c r="D25" s="24" t="str">
        <x:v>Pivot &amp; peau / netting</x:v>
      </x:c>
      <x:c r="E25" s="22" t="str">
        <x:v>P1</x:v>
      </x:c>
      <x:c r="F25" s="22" t="str">
        <x:v>Prototype SVG individuel + alpha PNG</x:v>
      </x:c>
      <x:c r="G25" s="22" t="n">
        <x:v>3.5</x:v>
      </x:c>
      <x:c r="H25" s="22" t="n">
        <x:v>0</x:v>
      </x:c>
      <x:c r="I25" s="22" t="str">
        <x:v>public/gauntlets/v132/greyback/arm-l.png</x:v>
      </x:c>
      <x:c r="J25" s="22" t="str">
        <x:v>https://www.20thcenturystudios.com/movies/predator-2</x:v>
      </x:c>
      <x:c r="K25" s="24" t="str">
        <x:v>Preuve technique : public/game/assets/v136/gauntlets/greyback/01-arm.svg ; fichier distinct ne vaut pas texture ni proportions 1:1 ; heures non journalisées</x:v>
      </x:c>
    </x:row>
    <x:row r="26" ht="31" customHeight="1">
      <x:c r="A26" s="22" t="str">
        <x:v>greyback</x:v>
      </x:c>
      <x:c r="B26" s="22" t="str">
        <x:v>greyback-SHELL-C</x:v>
      </x:c>
      <x:c r="C26" s="22" t="str">
        <x:v>Coque fermée</x:v>
      </x:c>
      <x:c r="D26" s="24" t="str">
        <x:v>Profil latéral et attaches</x:v>
      </x:c>
      <x:c r="E26" s="22" t="str">
        <x:v>P1</x:v>
      </x:c>
      <x:c r="F26" s="22" t="str">
        <x:v>Coque individuelle SVG + PNG, non 1:1</x:v>
      </x:c>
      <x:c r="G26" s="22" t="n">
        <x:v>4.5</x:v>
      </x:c>
      <x:c r="H26" s="22" t="n">
        <x:v>0</x:v>
      </x:c>
      <x:c r="I26" s="22" t="str">
        <x:v>public/gauntlets/v132/greyback/shell-c.png</x:v>
      </x:c>
      <x:c r="J26" s="22" t="str">
        <x:v>https://www.20thcenturystudios.com/movies/predator-2</x:v>
      </x:c>
      <x:c r="K26" s="24" t="str">
        <x:v>Preuve technique : public/game/assets/v136/gauntlets/greyback/02-shell.svg ; fichier distinct ne vaut pas texture ni proportions 1:1 ; heures non journalisées</x:v>
      </x:c>
    </x:row>
    <x:row r="27" ht="31" customHeight="1">
      <x:c r="A27" s="22" t="str">
        <x:v>greyback</x:v>
      </x:c>
      <x:c r="B27" s="22" t="str">
        <x:v>greyback-SHELL-O</x:v>
      </x:c>
      <x:c r="C27" s="22" t="str">
        <x:v>Coque ouverte</x:v>
      </x:c>
      <x:c r="D27" s="24" t="str">
        <x:v>Charnières et trappe</x:v>
      </x:c>
      <x:c r="E27" s="22" t="str">
        <x:v>P1</x:v>
      </x:c>
      <x:c r="F27" s="22" t="str">
        <x:v>Capot ouvrable en React/CSS, animation partielle</x:v>
      </x:c>
      <x:c r="G27" s="22" t="n">
        <x:v>4.5</x:v>
      </x:c>
      <x:c r="H27" s="22" t="n">
        <x:v>0</x:v>
      </x:c>
      <x:c r="I27" s="22" t="str">
        <x:v>public/gauntlets/v132/greyback/shell-o.png</x:v>
      </x:c>
      <x:c r="J27" s="22" t="str">
        <x:v>https://www.20thcenturystudios.com/movies/predator-2</x:v>
      </x:c>
      <x:c r="K27" s="24" t="str">
        <x:v>Preuve technique : public/game/assets/v136/gauntlets/greyback/04-lid.svg ; fichier distinct ne vaut pas texture ni proportions 1:1 ; heures non journalisées</x:v>
      </x:c>
    </x:row>
    <x:row r="28" ht="31" customHeight="1">
      <x:c r="A28" s="22" t="str">
        <x:v>greyback</x:v>
      </x:c>
      <x:c r="B28" s="22" t="str">
        <x:v>greyback-UI-RED</x:v>
      </x:c>
      <x:c r="C28" s="22" t="str">
        <x:v>Contrôle / glyphes</x:v>
      </x:c>
      <x:c r="D28" s="24" t="str">
        <x:v>Texte + segments lumineux</x:v>
      </x:c>
      <x:c r="E28" s="22" t="str">
        <x:v>P1</x:v>
      </x:c>
      <x:c r="F28" s="22" t="str">
        <x:v>Interface distincte en SVG / couleurs non certifiées</x:v>
      </x:c>
      <x:c r="G28" s="22" t="n">
        <x:v>3</x:v>
      </x:c>
      <x:c r="H28" s="22" t="n">
        <x:v>0</x:v>
      </x:c>
      <x:c r="I28" s="22" t="str">
        <x:v>public/gauntlets/v132/greyback/ui-red.png</x:v>
      </x:c>
      <x:c r="J28" s="22" t="str">
        <x:v>https://www.20thcenturystudios.com/movies/predator-2</x:v>
      </x:c>
      <x:c r="K28" s="24" t="str">
        <x:v>Preuve technique : public/game/assets/v136/gauntlets/greyback/03-interface.svg ; fichier distinct ne vaut pas texture ni proportions 1:1 ; heures non journalisées</x:v>
      </x:c>
    </x:row>
    <x:row r="29" ht="31" customHeight="1">
      <x:c r="A29" s="22" t="str">
        <x:v>greyback</x:v>
      </x:c>
      <x:c r="B29" s="22" t="str">
        <x:v>greyback-RIBS</x:v>
      </x:c>
      <x:c r="C29" s="22" t="str">
        <x:v>Ribures et mécanique</x:v>
      </x:c>
      <x:c r="D29" s="24" t="str">
        <x:v>Plaques, vis, tuyaux</x:v>
      </x:c>
      <x:c r="E29" s="22" t="str">
        <x:v>P1</x:v>
      </x:c>
      <x:c r="F29" s="22" t="str">
        <x:v>Détails de coque présents, sous-pièces non séparées</x:v>
      </x:c>
      <x:c r="G29" s="22" t="n">
        <x:v>3.5</x:v>
      </x:c>
      <x:c r="H29" s="22" t="n">
        <x:v>0</x:v>
      </x:c>
      <x:c r="I29" s="22" t="str">
        <x:v>public/gauntlets/v132/greyback/ribs.png</x:v>
      </x:c>
      <x:c r="J29" s="22" t="str">
        <x:v>https://www.20thcenturystudios.com/movies/predator-2</x:v>
      </x:c>
      <x:c r="K29" s="24" t="str">
        <x:v>Preuve technique : public/game/assets/v136/gauntlets/greyback/02-shell.svg ; fichier distinct ne vaut pas texture ni proportions 1:1 ; heures non journalisées</x:v>
      </x:c>
    </x:row>
    <x:row r="30" ht="31" customHeight="1">
      <x:c r="A30" s="22" t="str">
        <x:v>greyback</x:v>
      </x:c>
      <x:c r="B30" s="22" t="str">
        <x:v>greyback-BEAM</x:v>
      </x:c>
      <x:c r="C30" s="22" t="str">
        <x:v>Émetteur holographique</x:v>
      </x:c>
      <x:c r="D30" s="24" t="str">
        <x:v>Projection originale de jeu</x:v>
      </x:c>
      <x:c r="E30" s="22" t="str">
        <x:v>P1</x:v>
      </x:c>
      <x:c r="F30" s="22" t="str">
        <x:v>Faisceau du projet (JH dédié, autres effet commun)</x:v>
      </x:c>
      <x:c r="G30" s="22" t="n">
        <x:v>2.5</x:v>
      </x:c>
      <x:c r="H30" s="22" t="n">
        <x:v>0</x:v>
      </x:c>
      <x:c r="I30" s="22" t="str">
        <x:v>public/gauntlets/v132/greyback/beam.png</x:v>
      </x:c>
      <x:c r="J30" s="22" t="str">
        <x:v>https://www.20thcenturystudios.com/movies/predator-2</x:v>
      </x:c>
      <x:c r="K30" s="24" t="str">
        <x:v>Preuve technique : app/game/ClanWarGauntletV131.tsx ; fichier distinct ne vaut pas texture ni proportions 1:1 ; heures non journalisées</x:v>
      </x:c>
    </x:row>
    <x:row r="31" ht="31" customHeight="1">
      <x:c r="A31" s="22" t="str">
        <x:v>greyback</x:v>
      </x:c>
      <x:c r="B31" s="22" t="str">
        <x:v>greyback-MOVE</x:v>
      </x:c>
      <x:c r="C31" s="22" t="str">
        <x:v>Animations 4 états</x:v>
      </x:c>
      <x:c r="D31" s="24" t="str">
        <x:v>lever, ouvrir, projeter, ranger</x:v>
      </x:c>
      <x:c r="E31" s="22" t="str">
        <x:v>P1</x:v>
      </x:c>
      <x:c r="F31" s="22" t="str">
        <x:v>Capot ouvert/fermé ; 3 gestes complets restent à faire</x:v>
      </x:c>
      <x:c r="G31" s="22" t="n">
        <x:v>5</x:v>
      </x:c>
      <x:c r="H31" s="22" t="n">
        <x:v>0</x:v>
      </x:c>
      <x:c r="I31" s="22" t="str">
        <x:v>public/gauntlets/v132/greyback/move.png</x:v>
      </x:c>
      <x:c r="J31" s="22" t="str">
        <x:v>https://www.20thcenturystudios.com/movies/predator-2</x:v>
      </x:c>
      <x:c r="K31" s="24" t="str">
        <x:v>Preuve technique : public/game/assets/v136/gauntlets/greyback/04-lid.svg ; fichier distinct ne vaut pas texture ni proportions 1:1 ; heures non journalisées</x:v>
      </x:c>
    </x:row>
    <x:row r="32" ht="31" customHeight="1">
      <x:c r="A32" s="22" t="str">
        <x:v>greyback</x:v>
      </x:c>
      <x:c r="B32" s="22" t="str">
        <x:v>greyback-SFX</x:v>
      </x:c>
      <x:c r="C32" s="22" t="str">
        <x:v>Identité sonore</x:v>
      </x:c>
      <x:c r="D32" s="24" t="str">
        <x:v>4 sources originales non soumises aux droits de film</x:v>
      </x:c>
      <x:c r="E32" s="22" t="str">
        <x:v>P1</x:v>
      </x:c>
      <x:c r="F32" s="22" t="str">
        <x:v>Signature sonore par thème (10 profils), source non cinéma</x:v>
      </x:c>
      <x:c r="G32" s="22" t="n">
        <x:v>2</x:v>
      </x:c>
      <x:c r="H32" s="22" t="n">
        <x:v>0</x:v>
      </x:c>
      <x:c r="I32" s="22" t="str">
        <x:v>public/gauntlets/v132/greyback/sfx.png</x:v>
      </x:c>
      <x:c r="J32" s="22" t="str">
        <x:v>https://www.20thcenturystudios.com/movies/predator-2</x:v>
      </x:c>
      <x:c r="K32" s="24" t="str">
        <x:v>Preuve technique : app/game/sound.ts ; fichier distinct ne vaut pas texture ni proportions 1:1 ; heures non journalisées</x:v>
      </x:c>
    </x:row>
    <x:row r="33" ht="31" customHeight="1">
      <x:c r="A33" s="22" t="str">
        <x:v>greyback</x:v>
      </x:c>
      <x:c r="B33" s="22" t="str">
        <x:v>greyback-HUD</x:v>
      </x:c>
      <x:c r="C33" s="22" t="str">
        <x:v>Palette / projection</x:v>
      </x:c>
      <x:c r="D33" s="24" t="str">
        <x:v>UI 2D/3D cohérente avec la carte</x:v>
      </x:c>
      <x:c r="E33" s="22" t="str">
        <x:v>P1</x:v>
      </x:c>
      <x:c r="F33" s="22" t="str">
        <x:v>HUD connecté / simulation intacte ; QA visuelle restante</x:v>
      </x:c>
      <x:c r="G33" s="22" t="n">
        <x:v>3.5</x:v>
      </x:c>
      <x:c r="H33" s="22" t="n">
        <x:v>0</x:v>
      </x:c>
      <x:c r="I33" s="22" t="str">
        <x:v>public/gauntlets/v132/greyback/hud.png</x:v>
      </x:c>
      <x:c r="J33" s="22" t="str">
        <x:v>https://www.20thcenturystudios.com/movies/predator-2</x:v>
      </x:c>
      <x:c r="K33" s="24" t="str">
        <x:v>Preuve technique : app/game/ClanWarGauntletV131.tsx ; fichier distinct ne vaut pas texture ni proportions 1:1 ; heures non journalisées</x:v>
      </x:c>
    </x:row>
    <x:row r="34" ht="31" customHeight="1">
      <x:c r="A34" s="22" t="str">
        <x:v>greyback</x:v>
      </x:c>
      <x:c r="B34" s="22" t="str">
        <x:v>greyback-QA</x:v>
      </x:c>
      <x:c r="C34" s="22" t="str">
        <x:v>Comparaisons + tests</x:v>
      </x:c>
      <x:c r="D34" s="24" t="str">
        <x:v>Pivots, alpha, mobile, focus, 3 vues</x:v>
      </x:c>
      <x:c r="E34" s="22" t="str">
        <x:v>P1</x:v>
      </x:c>
      <x:c r="F34" s="22" t="str">
        <x:v>Tests CI source / alpha / type / navigateur autonome ; 1:1 restant</x:v>
      </x:c>
      <x:c r="G34" s="22" t="n">
        <x:v>4</x:v>
      </x:c>
      <x:c r="H34" s="22" t="n">
        <x:v>0</x:v>
      </x:c>
      <x:c r="I34" s="22" t="str">
        <x:v>public/gauntlets/v132/greyback/qa.png</x:v>
      </x:c>
      <x:c r="J34" s="22" t="str">
        <x:v>https://www.20thcenturystudios.com/movies/predator-2</x:v>
      </x:c>
      <x:c r="K34" s="24" t="str">
        <x:v>Preuve technique : tests/gauntlet-archive-studies-v136.test.mjs ; fichier distinct ne vaut pas texture ni proportions 1:1 ; heures non journalisées</x:v>
      </x:c>
    </x:row>
    <x:row r="35" ht="31" customHeight="1">
      <x:c r="A35" s="22" t="str">
        <x:v>lost-boar</x:v>
      </x:c>
      <x:c r="B35" s="22" t="str">
        <x:v>lost-boar-ARM-L</x:v>
      </x:c>
      <x:c r="C35" s="22" t="str">
        <x:v>Bras gauche / poignet</x:v>
      </x:c>
      <x:c r="D35" s="24" t="str">
        <x:v>Pivot &amp; peau / netting</x:v>
      </x:c>
      <x:c r="E35" s="22" t="str">
        <x:v>P2</x:v>
      </x:c>
      <x:c r="F35" s="22" t="str">
        <x:v>Prototype SVG individuel + alpha PNG</x:v>
      </x:c>
      <x:c r="G35" s="22" t="n">
        <x:v>3.5</x:v>
      </x:c>
      <x:c r="H35" s="22" t="n">
        <x:v>0</x:v>
      </x:c>
      <x:c r="I35" s="22" t="str">
        <x:v>public/gauntlets/v132/lost-boar/arm-l.png</x:v>
      </x:c>
      <x:c r="J35" s="22" t="str">
        <x:v>https://store.necaonline.com/blogs/news/predators-introducing-the-lost-tribe-from-our-series-6-action-figures</x:v>
      </x:c>
      <x:c r="K35" s="24" t="str">
        <x:v>Preuve technique : public/game/assets/v136/gauntlets/lost-boar/01-arm.svg ; fichier distinct ne vaut pas texture ni proportions 1:1 ; heures non journalisées</x:v>
      </x:c>
    </x:row>
    <x:row r="36" ht="31" customHeight="1">
      <x:c r="A36" s="22" t="str">
        <x:v>lost-boar</x:v>
      </x:c>
      <x:c r="B36" s="22" t="str">
        <x:v>lost-boar-SHELL-C</x:v>
      </x:c>
      <x:c r="C36" s="22" t="str">
        <x:v>Coque fermée</x:v>
      </x:c>
      <x:c r="D36" s="24" t="str">
        <x:v>Profil latéral et attaches</x:v>
      </x:c>
      <x:c r="E36" s="22" t="str">
        <x:v>P2</x:v>
      </x:c>
      <x:c r="F36" s="22" t="str">
        <x:v>Coque individuelle SVG + PNG, non 1:1</x:v>
      </x:c>
      <x:c r="G36" s="22" t="n">
        <x:v>4.5</x:v>
      </x:c>
      <x:c r="H36" s="22" t="n">
        <x:v>0</x:v>
      </x:c>
      <x:c r="I36" s="22" t="str">
        <x:v>public/gauntlets/v132/lost-boar/shell-c.png</x:v>
      </x:c>
      <x:c r="J36" s="22" t="str">
        <x:v>https://store.necaonline.com/blogs/news/predators-introducing-the-lost-tribe-from-our-series-6-action-figures</x:v>
      </x:c>
      <x:c r="K36" s="24" t="str">
        <x:v>Preuve technique : public/game/assets/v136/gauntlets/lost-boar/02-shell.svg ; fichier distinct ne vaut pas texture ni proportions 1:1 ; heures non journalisées</x:v>
      </x:c>
    </x:row>
    <x:row r="37" ht="31" customHeight="1">
      <x:c r="A37" s="22" t="str">
        <x:v>lost-boar</x:v>
      </x:c>
      <x:c r="B37" s="22" t="str">
        <x:v>lost-boar-SHELL-O</x:v>
      </x:c>
      <x:c r="C37" s="22" t="str">
        <x:v>Coque ouverte</x:v>
      </x:c>
      <x:c r="D37" s="24" t="str">
        <x:v>Charnières et trappe</x:v>
      </x:c>
      <x:c r="E37" s="22" t="str">
        <x:v>P2</x:v>
      </x:c>
      <x:c r="F37" s="22" t="str">
        <x:v>Capot ouvrable en React/CSS, animation partielle</x:v>
      </x:c>
      <x:c r="G37" s="22" t="n">
        <x:v>4.5</x:v>
      </x:c>
      <x:c r="H37" s="22" t="n">
        <x:v>0</x:v>
      </x:c>
      <x:c r="I37" s="22" t="str">
        <x:v>public/gauntlets/v132/lost-boar/shell-o.png</x:v>
      </x:c>
      <x:c r="J37" s="22" t="str">
        <x:v>https://store.necaonline.com/blogs/news/predators-introducing-the-lost-tribe-from-our-series-6-action-figures</x:v>
      </x:c>
      <x:c r="K37" s="24" t="str">
        <x:v>Preuve technique : public/game/assets/v136/gauntlets/lost-boar/04-lid.svg ; fichier distinct ne vaut pas texture ni proportions 1:1 ; heures non journalisées</x:v>
      </x:c>
    </x:row>
    <x:row r="38" ht="31" customHeight="1">
      <x:c r="A38" s="22" t="str">
        <x:v>lost-boar</x:v>
      </x:c>
      <x:c r="B38" s="22" t="str">
        <x:v>lost-boar-UI-RED</x:v>
      </x:c>
      <x:c r="C38" s="22" t="str">
        <x:v>Contrôle / glyphes</x:v>
      </x:c>
      <x:c r="D38" s="24" t="str">
        <x:v>Texte + segments lumineux</x:v>
      </x:c>
      <x:c r="E38" s="22" t="str">
        <x:v>P2</x:v>
      </x:c>
      <x:c r="F38" s="22" t="str">
        <x:v>Interface distincte en SVG / couleurs non certifiées</x:v>
      </x:c>
      <x:c r="G38" s="22" t="n">
        <x:v>3</x:v>
      </x:c>
      <x:c r="H38" s="22" t="n">
        <x:v>0</x:v>
      </x:c>
      <x:c r="I38" s="22" t="str">
        <x:v>public/gauntlets/v132/lost-boar/ui-red.png</x:v>
      </x:c>
      <x:c r="J38" s="22" t="str">
        <x:v>https://store.necaonline.com/blogs/news/predators-introducing-the-lost-tribe-from-our-series-6-action-figures</x:v>
      </x:c>
      <x:c r="K38" s="24" t="str">
        <x:v>Preuve technique : public/game/assets/v136/gauntlets/lost-boar/03-interface.svg ; fichier distinct ne vaut pas texture ni proportions 1:1 ; heures non journalisées</x:v>
      </x:c>
    </x:row>
    <x:row r="39" ht="31" customHeight="1">
      <x:c r="A39" s="22" t="str">
        <x:v>lost-boar</x:v>
      </x:c>
      <x:c r="B39" s="22" t="str">
        <x:v>lost-boar-RIBS</x:v>
      </x:c>
      <x:c r="C39" s="22" t="str">
        <x:v>Ribures et mécanique</x:v>
      </x:c>
      <x:c r="D39" s="24" t="str">
        <x:v>Plaques, vis, tuyaux</x:v>
      </x:c>
      <x:c r="E39" s="22" t="str">
        <x:v>P2</x:v>
      </x:c>
      <x:c r="F39" s="22" t="str">
        <x:v>Détails de coque présents, sous-pièces non séparées</x:v>
      </x:c>
      <x:c r="G39" s="22" t="n">
        <x:v>3.5</x:v>
      </x:c>
      <x:c r="H39" s="22" t="n">
        <x:v>0</x:v>
      </x:c>
      <x:c r="I39" s="22" t="str">
        <x:v>public/gauntlets/v132/lost-boar/ribs.png</x:v>
      </x:c>
      <x:c r="J39" s="22" t="str">
        <x:v>https://store.necaonline.com/blogs/news/predators-introducing-the-lost-tribe-from-our-series-6-action-figures</x:v>
      </x:c>
      <x:c r="K39" s="24" t="str">
        <x:v>Preuve technique : public/game/assets/v136/gauntlets/lost-boar/02-shell.svg ; fichier distinct ne vaut pas texture ni proportions 1:1 ; heures non journalisées</x:v>
      </x:c>
    </x:row>
    <x:row r="40" ht="31" customHeight="1">
      <x:c r="A40" s="22" t="str">
        <x:v>lost-boar</x:v>
      </x:c>
      <x:c r="B40" s="22" t="str">
        <x:v>lost-boar-BEAM</x:v>
      </x:c>
      <x:c r="C40" s="22" t="str">
        <x:v>Émetteur holographique</x:v>
      </x:c>
      <x:c r="D40" s="24" t="str">
        <x:v>Projection originale de jeu</x:v>
      </x:c>
      <x:c r="E40" s="22" t="str">
        <x:v>P2</x:v>
      </x:c>
      <x:c r="F40" s="22" t="str">
        <x:v>Faisceau du projet (JH dédié, autres effet commun)</x:v>
      </x:c>
      <x:c r="G40" s="22" t="n">
        <x:v>2.5</x:v>
      </x:c>
      <x:c r="H40" s="22" t="n">
        <x:v>0</x:v>
      </x:c>
      <x:c r="I40" s="22" t="str">
        <x:v>public/gauntlets/v132/lost-boar/beam.png</x:v>
      </x:c>
      <x:c r="J40" s="22" t="str">
        <x:v>https://store.necaonline.com/blogs/news/predators-introducing-the-lost-tribe-from-our-series-6-action-figures</x:v>
      </x:c>
      <x:c r="K40" s="24" t="str">
        <x:v>Preuve technique : app/game/ClanWarGauntletV131.tsx ; fichier distinct ne vaut pas texture ni proportions 1:1 ; heures non journalisées</x:v>
      </x:c>
    </x:row>
    <x:row r="41" ht="31" customHeight="1">
      <x:c r="A41" s="22" t="str">
        <x:v>lost-boar</x:v>
      </x:c>
      <x:c r="B41" s="22" t="str">
        <x:v>lost-boar-MOVE</x:v>
      </x:c>
      <x:c r="C41" s="22" t="str">
        <x:v>Animations 4 états</x:v>
      </x:c>
      <x:c r="D41" s="24" t="str">
        <x:v>lever, ouvrir, projeter, ranger</x:v>
      </x:c>
      <x:c r="E41" s="22" t="str">
        <x:v>P2</x:v>
      </x:c>
      <x:c r="F41" s="22" t="str">
        <x:v>Capot ouvert/fermé ; 3 gestes complets restent à faire</x:v>
      </x:c>
      <x:c r="G41" s="22" t="n">
        <x:v>5</x:v>
      </x:c>
      <x:c r="H41" s="22" t="n">
        <x:v>0</x:v>
      </x:c>
      <x:c r="I41" s="22" t="str">
        <x:v>public/gauntlets/v132/lost-boar/move.png</x:v>
      </x:c>
      <x:c r="J41" s="22" t="str">
        <x:v>https://store.necaonline.com/blogs/news/predators-introducing-the-lost-tribe-from-our-series-6-action-figures</x:v>
      </x:c>
      <x:c r="K41" s="24" t="str">
        <x:v>Preuve technique : public/game/assets/v136/gauntlets/lost-boar/04-lid.svg ; fichier distinct ne vaut pas texture ni proportions 1:1 ; heures non journalisées</x:v>
      </x:c>
    </x:row>
    <x:row r="42" ht="31" customHeight="1">
      <x:c r="A42" s="22" t="str">
        <x:v>lost-boar</x:v>
      </x:c>
      <x:c r="B42" s="22" t="str">
        <x:v>lost-boar-SFX</x:v>
      </x:c>
      <x:c r="C42" s="22" t="str">
        <x:v>Identité sonore</x:v>
      </x:c>
      <x:c r="D42" s="24" t="str">
        <x:v>4 sources originales non soumises aux droits de film</x:v>
      </x:c>
      <x:c r="E42" s="22" t="str">
        <x:v>P2</x:v>
      </x:c>
      <x:c r="F42" s="22" t="str">
        <x:v>Signature sonore par thème (10 profils), source non cinéma</x:v>
      </x:c>
      <x:c r="G42" s="22" t="n">
        <x:v>2</x:v>
      </x:c>
      <x:c r="H42" s="22" t="n">
        <x:v>0</x:v>
      </x:c>
      <x:c r="I42" s="22" t="str">
        <x:v>public/gauntlets/v132/lost-boar/sfx.png</x:v>
      </x:c>
      <x:c r="J42" s="22" t="str">
        <x:v>https://store.necaonline.com/blogs/news/predators-introducing-the-lost-tribe-from-our-series-6-action-figures</x:v>
      </x:c>
      <x:c r="K42" s="24" t="str">
        <x:v>Preuve technique : app/game/sound.ts ; fichier distinct ne vaut pas texture ni proportions 1:1 ; heures non journalisées</x:v>
      </x:c>
    </x:row>
    <x:row r="43" ht="31" customHeight="1">
      <x:c r="A43" s="22" t="str">
        <x:v>lost-boar</x:v>
      </x:c>
      <x:c r="B43" s="22" t="str">
        <x:v>lost-boar-HUD</x:v>
      </x:c>
      <x:c r="C43" s="22" t="str">
        <x:v>Palette / projection</x:v>
      </x:c>
      <x:c r="D43" s="24" t="str">
        <x:v>UI 2D/3D cohérente avec la carte</x:v>
      </x:c>
      <x:c r="E43" s="22" t="str">
        <x:v>P2</x:v>
      </x:c>
      <x:c r="F43" s="22" t="str">
        <x:v>HUD connecté / simulation intacte ; QA visuelle restante</x:v>
      </x:c>
      <x:c r="G43" s="22" t="n">
        <x:v>3.5</x:v>
      </x:c>
      <x:c r="H43" s="22" t="n">
        <x:v>0</x:v>
      </x:c>
      <x:c r="I43" s="22" t="str">
        <x:v>public/gauntlets/v132/lost-boar/hud.png</x:v>
      </x:c>
      <x:c r="J43" s="22" t="str">
        <x:v>https://store.necaonline.com/blogs/news/predators-introducing-the-lost-tribe-from-our-series-6-action-figures</x:v>
      </x:c>
      <x:c r="K43" s="24" t="str">
        <x:v>Preuve technique : app/game/ClanWarGauntletV131.tsx ; fichier distinct ne vaut pas texture ni proportions 1:1 ; heures non journalisées</x:v>
      </x:c>
    </x:row>
    <x:row r="44" ht="31" customHeight="1">
      <x:c r="A44" s="22" t="str">
        <x:v>lost-boar</x:v>
      </x:c>
      <x:c r="B44" s="22" t="str">
        <x:v>lost-boar-QA</x:v>
      </x:c>
      <x:c r="C44" s="22" t="str">
        <x:v>Comparaisons + tests</x:v>
      </x:c>
      <x:c r="D44" s="24" t="str">
        <x:v>Pivots, alpha, mobile, focus, 3 vues</x:v>
      </x:c>
      <x:c r="E44" s="22" t="str">
        <x:v>P2</x:v>
      </x:c>
      <x:c r="F44" s="22" t="str">
        <x:v>Tests CI source / alpha / type / navigateur autonome ; 1:1 restant</x:v>
      </x:c>
      <x:c r="G44" s="22" t="n">
        <x:v>4</x:v>
      </x:c>
      <x:c r="H44" s="22" t="n">
        <x:v>0</x:v>
      </x:c>
      <x:c r="I44" s="22" t="str">
        <x:v>public/gauntlets/v132/lost-boar/qa.png</x:v>
      </x:c>
      <x:c r="J44" s="22" t="str">
        <x:v>https://store.necaonline.com/blogs/news/predators-introducing-the-lost-tribe-from-our-series-6-action-figures</x:v>
      </x:c>
      <x:c r="K44" s="24" t="str">
        <x:v>Preuve technique : tests/gauntlet-archive-studies-v136.test.mjs ; fichier distinct ne vaut pas texture ni proportions 1:1 ; heures non journalisées</x:v>
      </x:c>
    </x:row>
    <x:row r="45" ht="31" customHeight="1">
      <x:c r="A45" s="22" t="str">
        <x:v>lost-shaman</x:v>
      </x:c>
      <x:c r="B45" s="22" t="str">
        <x:v>lost-shaman-ARM-L</x:v>
      </x:c>
      <x:c r="C45" s="22" t="str">
        <x:v>Bras gauche / poignet</x:v>
      </x:c>
      <x:c r="D45" s="24" t="str">
        <x:v>Pivot &amp; peau / netting</x:v>
      </x:c>
      <x:c r="E45" s="22" t="str">
        <x:v>P2</x:v>
      </x:c>
      <x:c r="F45" s="22" t="str">
        <x:v>Prototype SVG individuel + alpha PNG</x:v>
      </x:c>
      <x:c r="G45" s="22" t="n">
        <x:v>3.5</x:v>
      </x:c>
      <x:c r="H45" s="22" t="n">
        <x:v>0</x:v>
      </x:c>
      <x:c r="I45" s="22" t="str">
        <x:v>public/gauntlets/v132/lost-shaman/arm-l.png</x:v>
      </x:c>
      <x:c r="J45" s="22" t="str">
        <x:v>https://store.necaonline.com/blogs/news/predators-introducing-the-lost-tribe-from-our-series-6-action-figures</x:v>
      </x:c>
      <x:c r="K45" s="24" t="str">
        <x:v>Preuve technique : public/game/assets/v136/gauntlets/lost-shaman/01-arm.svg ; fichier distinct ne vaut pas texture ni proportions 1:1 ; heures non journalisées</x:v>
      </x:c>
    </x:row>
    <x:row r="46" ht="31" customHeight="1">
      <x:c r="A46" s="22" t="str">
        <x:v>lost-shaman</x:v>
      </x:c>
      <x:c r="B46" s="22" t="str">
        <x:v>lost-shaman-SHELL-C</x:v>
      </x:c>
      <x:c r="C46" s="22" t="str">
        <x:v>Coque fermée</x:v>
      </x:c>
      <x:c r="D46" s="24" t="str">
        <x:v>Profil latéral et attaches</x:v>
      </x:c>
      <x:c r="E46" s="22" t="str">
        <x:v>P2</x:v>
      </x:c>
      <x:c r="F46" s="22" t="str">
        <x:v>Coque individuelle SVG + PNG, non 1:1</x:v>
      </x:c>
      <x:c r="G46" s="22" t="n">
        <x:v>4.5</x:v>
      </x:c>
      <x:c r="H46" s="22" t="n">
        <x:v>0</x:v>
      </x:c>
      <x:c r="I46" s="22" t="str">
        <x:v>public/gauntlets/v132/lost-shaman/shell-c.png</x:v>
      </x:c>
      <x:c r="J46" s="22" t="str">
        <x:v>https://store.necaonline.com/blogs/news/predators-introducing-the-lost-tribe-from-our-series-6-action-figures</x:v>
      </x:c>
      <x:c r="K46" s="24" t="str">
        <x:v>Preuve technique : public/game/assets/v136/gauntlets/lost-shaman/02-shell.svg ; fichier distinct ne vaut pas texture ni proportions 1:1 ; heures non journalisées</x:v>
      </x:c>
    </x:row>
    <x:row r="47" ht="31" customHeight="1">
      <x:c r="A47" s="22" t="str">
        <x:v>lost-shaman</x:v>
      </x:c>
      <x:c r="B47" s="22" t="str">
        <x:v>lost-shaman-SHELL-O</x:v>
      </x:c>
      <x:c r="C47" s="22" t="str">
        <x:v>Coque ouverte</x:v>
      </x:c>
      <x:c r="D47" s="24" t="str">
        <x:v>Charnières et trappe</x:v>
      </x:c>
      <x:c r="E47" s="22" t="str">
        <x:v>P2</x:v>
      </x:c>
      <x:c r="F47" s="22" t="str">
        <x:v>Capot ouvrable en React/CSS, animation partielle</x:v>
      </x:c>
      <x:c r="G47" s="22" t="n">
        <x:v>4.5</x:v>
      </x:c>
      <x:c r="H47" s="22" t="n">
        <x:v>0</x:v>
      </x:c>
      <x:c r="I47" s="22" t="str">
        <x:v>public/gauntlets/v132/lost-shaman/shell-o.png</x:v>
      </x:c>
      <x:c r="J47" s="22" t="str">
        <x:v>https://store.necaonline.com/blogs/news/predators-introducing-the-lost-tribe-from-our-series-6-action-figures</x:v>
      </x:c>
      <x:c r="K47" s="24" t="str">
        <x:v>Preuve technique : public/game/assets/v136/gauntlets/lost-shaman/04-lid.svg ; fichier distinct ne vaut pas texture ni proportions 1:1 ; heures non journalisées</x:v>
      </x:c>
    </x:row>
    <x:row r="48" ht="31" customHeight="1">
      <x:c r="A48" s="22" t="str">
        <x:v>lost-shaman</x:v>
      </x:c>
      <x:c r="B48" s="22" t="str">
        <x:v>lost-shaman-UI-RED</x:v>
      </x:c>
      <x:c r="C48" s="22" t="str">
        <x:v>Contrôle / glyphes</x:v>
      </x:c>
      <x:c r="D48" s="24" t="str">
        <x:v>Texte + segments lumineux</x:v>
      </x:c>
      <x:c r="E48" s="22" t="str">
        <x:v>P2</x:v>
      </x:c>
      <x:c r="F48" s="22" t="str">
        <x:v>Interface distincte en SVG / couleurs non certifiées</x:v>
      </x:c>
      <x:c r="G48" s="22" t="n">
        <x:v>3</x:v>
      </x:c>
      <x:c r="H48" s="22" t="n">
        <x:v>0</x:v>
      </x:c>
      <x:c r="I48" s="22" t="str">
        <x:v>public/gauntlets/v132/lost-shaman/ui-red.png</x:v>
      </x:c>
      <x:c r="J48" s="22" t="str">
        <x:v>https://store.necaonline.com/blogs/news/predators-introducing-the-lost-tribe-from-our-series-6-action-figures</x:v>
      </x:c>
      <x:c r="K48" s="24" t="str">
        <x:v>Preuve technique : public/game/assets/v136/gauntlets/lost-shaman/03-interface.svg ; fichier distinct ne vaut pas texture ni proportions 1:1 ; heures non journalisées</x:v>
      </x:c>
    </x:row>
    <x:row r="49" ht="31" customHeight="1">
      <x:c r="A49" s="22" t="str">
        <x:v>lost-shaman</x:v>
      </x:c>
      <x:c r="B49" s="22" t="str">
        <x:v>lost-shaman-RIBS</x:v>
      </x:c>
      <x:c r="C49" s="22" t="str">
        <x:v>Ribures et mécanique</x:v>
      </x:c>
      <x:c r="D49" s="24" t="str">
        <x:v>Plaques, vis, tuyaux</x:v>
      </x:c>
      <x:c r="E49" s="22" t="str">
        <x:v>P2</x:v>
      </x:c>
      <x:c r="F49" s="22" t="str">
        <x:v>Détails de coque présents, sous-pièces non séparées</x:v>
      </x:c>
      <x:c r="G49" s="22" t="n">
        <x:v>3.5</x:v>
      </x:c>
      <x:c r="H49" s="22" t="n">
        <x:v>0</x:v>
      </x:c>
      <x:c r="I49" s="22" t="str">
        <x:v>public/gauntlets/v132/lost-shaman/ribs.png</x:v>
      </x:c>
      <x:c r="J49" s="22" t="str">
        <x:v>https://store.necaonline.com/blogs/news/predators-introducing-the-lost-tribe-from-our-series-6-action-figures</x:v>
      </x:c>
      <x:c r="K49" s="24" t="str">
        <x:v>Preuve technique : public/game/assets/v136/gauntlets/lost-shaman/02-shell.svg ; fichier distinct ne vaut pas texture ni proportions 1:1 ; heures non journalisées</x:v>
      </x:c>
    </x:row>
    <x:row r="50" ht="31" customHeight="1">
      <x:c r="A50" s="22" t="str">
        <x:v>lost-shaman</x:v>
      </x:c>
      <x:c r="B50" s="22" t="str">
        <x:v>lost-shaman-BEAM</x:v>
      </x:c>
      <x:c r="C50" s="22" t="str">
        <x:v>Émetteur holographique</x:v>
      </x:c>
      <x:c r="D50" s="24" t="str">
        <x:v>Projection originale de jeu</x:v>
      </x:c>
      <x:c r="E50" s="22" t="str">
        <x:v>P2</x:v>
      </x:c>
      <x:c r="F50" s="22" t="str">
        <x:v>Faisceau du projet (JH dédié, autres effet commun)</x:v>
      </x:c>
      <x:c r="G50" s="22" t="n">
        <x:v>2.5</x:v>
      </x:c>
      <x:c r="H50" s="22" t="n">
        <x:v>0</x:v>
      </x:c>
      <x:c r="I50" s="22" t="str">
        <x:v>public/gauntlets/v132/lost-shaman/beam.png</x:v>
      </x:c>
      <x:c r="J50" s="22" t="str">
        <x:v>https://store.necaonline.com/blogs/news/predators-introducing-the-lost-tribe-from-our-series-6-action-figures</x:v>
      </x:c>
      <x:c r="K50" s="24" t="str">
        <x:v>Preuve technique : app/game/ClanWarGauntletV131.tsx ; fichier distinct ne vaut pas texture ni proportions 1:1 ; heures non journalisées</x:v>
      </x:c>
    </x:row>
    <x:row r="51" ht="31" customHeight="1">
      <x:c r="A51" s="22" t="str">
        <x:v>lost-shaman</x:v>
      </x:c>
      <x:c r="B51" s="22" t="str">
        <x:v>lost-shaman-MOVE</x:v>
      </x:c>
      <x:c r="C51" s="22" t="str">
        <x:v>Animations 4 états</x:v>
      </x:c>
      <x:c r="D51" s="24" t="str">
        <x:v>lever, ouvrir, projeter, ranger</x:v>
      </x:c>
      <x:c r="E51" s="22" t="str">
        <x:v>P2</x:v>
      </x:c>
      <x:c r="F51" s="22" t="str">
        <x:v>Capot ouvert/fermé ; 3 gestes complets restent à faire</x:v>
      </x:c>
      <x:c r="G51" s="22" t="n">
        <x:v>5</x:v>
      </x:c>
      <x:c r="H51" s="22" t="n">
        <x:v>0</x:v>
      </x:c>
      <x:c r="I51" s="22" t="str">
        <x:v>public/gauntlets/v132/lost-shaman/move.png</x:v>
      </x:c>
      <x:c r="J51" s="22" t="str">
        <x:v>https://store.necaonline.com/blogs/news/predators-introducing-the-lost-tribe-from-our-series-6-action-figures</x:v>
      </x:c>
      <x:c r="K51" s="24" t="str">
        <x:v>Preuve technique : public/game/assets/v136/gauntlets/lost-shaman/04-lid.svg ; fichier distinct ne vaut pas texture ni proportions 1:1 ; heures non journalisées</x:v>
      </x:c>
    </x:row>
    <x:row r="52" ht="31" customHeight="1">
      <x:c r="A52" s="22" t="str">
        <x:v>lost-shaman</x:v>
      </x:c>
      <x:c r="B52" s="22" t="str">
        <x:v>lost-shaman-SFX</x:v>
      </x:c>
      <x:c r="C52" s="22" t="str">
        <x:v>Identité sonore</x:v>
      </x:c>
      <x:c r="D52" s="24" t="str">
        <x:v>4 sources originales non soumises aux droits de film</x:v>
      </x:c>
      <x:c r="E52" s="22" t="str">
        <x:v>P2</x:v>
      </x:c>
      <x:c r="F52" s="22" t="str">
        <x:v>Signature sonore par thème (10 profils), source non cinéma</x:v>
      </x:c>
      <x:c r="G52" s="22" t="n">
        <x:v>2</x:v>
      </x:c>
      <x:c r="H52" s="22" t="n">
        <x:v>0</x:v>
      </x:c>
      <x:c r="I52" s="22" t="str">
        <x:v>public/gauntlets/v132/lost-shaman/sfx.png</x:v>
      </x:c>
      <x:c r="J52" s="22" t="str">
        <x:v>https://store.necaonline.com/blogs/news/predators-introducing-the-lost-tribe-from-our-series-6-action-figures</x:v>
      </x:c>
      <x:c r="K52" s="24" t="str">
        <x:v>Preuve technique : app/game/sound.ts ; fichier distinct ne vaut pas texture ni proportions 1:1 ; heures non journalisées</x:v>
      </x:c>
    </x:row>
    <x:row r="53" ht="31" customHeight="1">
      <x:c r="A53" s="22" t="str">
        <x:v>lost-shaman</x:v>
      </x:c>
      <x:c r="B53" s="22" t="str">
        <x:v>lost-shaman-HUD</x:v>
      </x:c>
      <x:c r="C53" s="22" t="str">
        <x:v>Palette / projection</x:v>
      </x:c>
      <x:c r="D53" s="24" t="str">
        <x:v>UI 2D/3D cohérente avec la carte</x:v>
      </x:c>
      <x:c r="E53" s="22" t="str">
        <x:v>P2</x:v>
      </x:c>
      <x:c r="F53" s="22" t="str">
        <x:v>HUD connecté / simulation intacte ; QA visuelle restante</x:v>
      </x:c>
      <x:c r="G53" s="22" t="n">
        <x:v>3.5</x:v>
      </x:c>
      <x:c r="H53" s="22" t="n">
        <x:v>0</x:v>
      </x:c>
      <x:c r="I53" s="22" t="str">
        <x:v>public/gauntlets/v132/lost-shaman/hud.png</x:v>
      </x:c>
      <x:c r="J53" s="22" t="str">
        <x:v>https://store.necaonline.com/blogs/news/predators-introducing-the-lost-tribe-from-our-series-6-action-figures</x:v>
      </x:c>
      <x:c r="K53" s="24" t="str">
        <x:v>Preuve technique : app/game/ClanWarGauntletV131.tsx ; fichier distinct ne vaut pas texture ni proportions 1:1 ; heures non journalisées</x:v>
      </x:c>
    </x:row>
    <x:row r="54" ht="31" customHeight="1">
      <x:c r="A54" s="22" t="str">
        <x:v>lost-shaman</x:v>
      </x:c>
      <x:c r="B54" s="22" t="str">
        <x:v>lost-shaman-QA</x:v>
      </x:c>
      <x:c r="C54" s="22" t="str">
        <x:v>Comparaisons + tests</x:v>
      </x:c>
      <x:c r="D54" s="24" t="str">
        <x:v>Pivots, alpha, mobile, focus, 3 vues</x:v>
      </x:c>
      <x:c r="E54" s="22" t="str">
        <x:v>P2</x:v>
      </x:c>
      <x:c r="F54" s="22" t="str">
        <x:v>Tests CI source / alpha / type / navigateur autonome ; 1:1 restant</x:v>
      </x:c>
      <x:c r="G54" s="22" t="n">
        <x:v>4</x:v>
      </x:c>
      <x:c r="H54" s="22" t="n">
        <x:v>0</x:v>
      </x:c>
      <x:c r="I54" s="22" t="str">
        <x:v>public/gauntlets/v132/lost-shaman/qa.png</x:v>
      </x:c>
      <x:c r="J54" s="22" t="str">
        <x:v>https://store.necaonline.com/blogs/news/predators-introducing-the-lost-tribe-from-our-series-6-action-figures</x:v>
      </x:c>
      <x:c r="K54" s="24" t="str">
        <x:v>Preuve technique : tests/gauntlet-archive-studies-v136.test.mjs ; fichier distinct ne vaut pas texture ni proportions 1:1 ; heures non journalisées</x:v>
      </x:c>
    </x:row>
    <x:row r="55" ht="31" customHeight="1">
      <x:c r="A55" s="22" t="str">
        <x:v>lost-guardian</x:v>
      </x:c>
      <x:c r="B55" s="22" t="str">
        <x:v>lost-guardian-ARM-L</x:v>
      </x:c>
      <x:c r="C55" s="22" t="str">
        <x:v>Bras gauche / poignet</x:v>
      </x:c>
      <x:c r="D55" s="24" t="str">
        <x:v>Pivot &amp; peau / netting</x:v>
      </x:c>
      <x:c r="E55" s="22" t="str">
        <x:v>P2</x:v>
      </x:c>
      <x:c r="F55" s="22" t="str">
        <x:v>Prototype SVG individuel + alpha PNG</x:v>
      </x:c>
      <x:c r="G55" s="22" t="n">
        <x:v>3.5</x:v>
      </x:c>
      <x:c r="H55" s="22" t="n">
        <x:v>0</x:v>
      </x:c>
      <x:c r="I55" s="22" t="str">
        <x:v>public/gauntlets/v132/lost-guardian/arm-l.png</x:v>
      </x:c>
      <x:c r="J55" s="22" t="str">
        <x:v>https://store.necaonline.com/blogs/news/predators-introducing-the-lost-tribe-from-our-series-6-action-figures</x:v>
      </x:c>
      <x:c r="K55" s="24" t="str">
        <x:v>Preuve technique : public/game/assets/v136/gauntlets/lost-guardian/01-arm.svg ; fichier distinct ne vaut pas texture ni proportions 1:1 ; heures non journalisées</x:v>
      </x:c>
    </x:row>
    <x:row r="56" ht="31" customHeight="1">
      <x:c r="A56" s="22" t="str">
        <x:v>lost-guardian</x:v>
      </x:c>
      <x:c r="B56" s="22" t="str">
        <x:v>lost-guardian-SHELL-C</x:v>
      </x:c>
      <x:c r="C56" s="22" t="str">
        <x:v>Coque fermée</x:v>
      </x:c>
      <x:c r="D56" s="24" t="str">
        <x:v>Profil latéral et attaches</x:v>
      </x:c>
      <x:c r="E56" s="22" t="str">
        <x:v>P2</x:v>
      </x:c>
      <x:c r="F56" s="22" t="str">
        <x:v>Coque individuelle SVG + PNG, non 1:1</x:v>
      </x:c>
      <x:c r="G56" s="22" t="n">
        <x:v>4.5</x:v>
      </x:c>
      <x:c r="H56" s="22" t="n">
        <x:v>0</x:v>
      </x:c>
      <x:c r="I56" s="22" t="str">
        <x:v>public/gauntlets/v132/lost-guardian/shell-c.png</x:v>
      </x:c>
      <x:c r="J56" s="22" t="str">
        <x:v>https://store.necaonline.com/blogs/news/predators-introducing-the-lost-tribe-from-our-series-6-action-figures</x:v>
      </x:c>
      <x:c r="K56" s="24" t="str">
        <x:v>Preuve technique : public/game/assets/v136/gauntlets/lost-guardian/02-shell.svg ; fichier distinct ne vaut pas texture ni proportions 1:1 ; heures non journalisées</x:v>
      </x:c>
    </x:row>
    <x:row r="57" ht="31" customHeight="1">
      <x:c r="A57" s="22" t="str">
        <x:v>lost-guardian</x:v>
      </x:c>
      <x:c r="B57" s="22" t="str">
        <x:v>lost-guardian-SHELL-O</x:v>
      </x:c>
      <x:c r="C57" s="22" t="str">
        <x:v>Coque ouverte</x:v>
      </x:c>
      <x:c r="D57" s="24" t="str">
        <x:v>Charnières et trappe</x:v>
      </x:c>
      <x:c r="E57" s="22" t="str">
        <x:v>P2</x:v>
      </x:c>
      <x:c r="F57" s="22" t="str">
        <x:v>Capot ouvrable en React/CSS, animation partielle</x:v>
      </x:c>
      <x:c r="G57" s="22" t="n">
        <x:v>4.5</x:v>
      </x:c>
      <x:c r="H57" s="22" t="n">
        <x:v>0</x:v>
      </x:c>
      <x:c r="I57" s="22" t="str">
        <x:v>public/gauntlets/v132/lost-guardian/shell-o.png</x:v>
      </x:c>
      <x:c r="J57" s="22" t="str">
        <x:v>https://store.necaonline.com/blogs/news/predators-introducing-the-lost-tribe-from-our-series-6-action-figures</x:v>
      </x:c>
      <x:c r="K57" s="24" t="str">
        <x:v>Preuve technique : public/game/assets/v136/gauntlets/lost-guardian/04-lid.svg ; fichier distinct ne vaut pas texture ni proportions 1:1 ; heures non journalisées</x:v>
      </x:c>
    </x:row>
    <x:row r="58" ht="31" customHeight="1">
      <x:c r="A58" s="22" t="str">
        <x:v>lost-guardian</x:v>
      </x:c>
      <x:c r="B58" s="22" t="str">
        <x:v>lost-guardian-UI-RED</x:v>
      </x:c>
      <x:c r="C58" s="22" t="str">
        <x:v>Contrôle / glyphes</x:v>
      </x:c>
      <x:c r="D58" s="24" t="str">
        <x:v>Texte + segments lumineux</x:v>
      </x:c>
      <x:c r="E58" s="22" t="str">
        <x:v>P2</x:v>
      </x:c>
      <x:c r="F58" s="22" t="str">
        <x:v>Interface distincte en SVG / couleurs non certifiées</x:v>
      </x:c>
      <x:c r="G58" s="22" t="n">
        <x:v>3</x:v>
      </x:c>
      <x:c r="H58" s="22" t="n">
        <x:v>0</x:v>
      </x:c>
      <x:c r="I58" s="22" t="str">
        <x:v>public/gauntlets/v132/lost-guardian/ui-red.png</x:v>
      </x:c>
      <x:c r="J58" s="22" t="str">
        <x:v>https://store.necaonline.com/blogs/news/predators-introducing-the-lost-tribe-from-our-series-6-action-figures</x:v>
      </x:c>
      <x:c r="K58" s="24" t="str">
        <x:v>Preuve technique : public/game/assets/v136/gauntlets/lost-guardian/03-interface.svg ; fichier distinct ne vaut pas texture ni proportions 1:1 ; heures non journalisées</x:v>
      </x:c>
    </x:row>
    <x:row r="59" ht="31" customHeight="1">
      <x:c r="A59" s="22" t="str">
        <x:v>lost-guardian</x:v>
      </x:c>
      <x:c r="B59" s="22" t="str">
        <x:v>lost-guardian-RIBS</x:v>
      </x:c>
      <x:c r="C59" s="22" t="str">
        <x:v>Ribures et mécanique</x:v>
      </x:c>
      <x:c r="D59" s="24" t="str">
        <x:v>Plaques, vis, tuyaux</x:v>
      </x:c>
      <x:c r="E59" s="22" t="str">
        <x:v>P2</x:v>
      </x:c>
      <x:c r="F59" s="22" t="str">
        <x:v>Détails de coque présents, sous-pièces non séparées</x:v>
      </x:c>
      <x:c r="G59" s="22" t="n">
        <x:v>3.5</x:v>
      </x:c>
      <x:c r="H59" s="22" t="n">
        <x:v>0</x:v>
      </x:c>
      <x:c r="I59" s="22" t="str">
        <x:v>public/gauntlets/v132/lost-guardian/ribs.png</x:v>
      </x:c>
      <x:c r="J59" s="22" t="str">
        <x:v>https://store.necaonline.com/blogs/news/predators-introducing-the-lost-tribe-from-our-series-6-action-figures</x:v>
      </x:c>
      <x:c r="K59" s="24" t="str">
        <x:v>Preuve technique : public/game/assets/v136/gauntlets/lost-guardian/02-shell.svg ; fichier distinct ne vaut pas texture ni proportions 1:1 ; heures non journalisées</x:v>
      </x:c>
    </x:row>
    <x:row r="60" ht="31" customHeight="1">
      <x:c r="A60" s="22" t="str">
        <x:v>lost-guardian</x:v>
      </x:c>
      <x:c r="B60" s="22" t="str">
        <x:v>lost-guardian-BEAM</x:v>
      </x:c>
      <x:c r="C60" s="22" t="str">
        <x:v>Émetteur holographique</x:v>
      </x:c>
      <x:c r="D60" s="24" t="str">
        <x:v>Projection originale de jeu</x:v>
      </x:c>
      <x:c r="E60" s="22" t="str">
        <x:v>P2</x:v>
      </x:c>
      <x:c r="F60" s="22" t="str">
        <x:v>Faisceau du projet (JH dédié, autres effet commun)</x:v>
      </x:c>
      <x:c r="G60" s="22" t="n">
        <x:v>2.5</x:v>
      </x:c>
      <x:c r="H60" s="22" t="n">
        <x:v>0</x:v>
      </x:c>
      <x:c r="I60" s="22" t="str">
        <x:v>public/gauntlets/v132/lost-guardian/beam.png</x:v>
      </x:c>
      <x:c r="J60" s="22" t="str">
        <x:v>https://store.necaonline.com/blogs/news/predators-introducing-the-lost-tribe-from-our-series-6-action-figures</x:v>
      </x:c>
      <x:c r="K60" s="24" t="str">
        <x:v>Preuve technique : app/game/ClanWarGauntletV131.tsx ; fichier distinct ne vaut pas texture ni proportions 1:1 ; heures non journalisées</x:v>
      </x:c>
    </x:row>
    <x:row r="61" ht="31" customHeight="1">
      <x:c r="A61" s="22" t="str">
        <x:v>lost-guardian</x:v>
      </x:c>
      <x:c r="B61" s="22" t="str">
        <x:v>lost-guardian-MOVE</x:v>
      </x:c>
      <x:c r="C61" s="22" t="str">
        <x:v>Animations 4 états</x:v>
      </x:c>
      <x:c r="D61" s="24" t="str">
        <x:v>lever, ouvrir, projeter, ranger</x:v>
      </x:c>
      <x:c r="E61" s="22" t="str">
        <x:v>P2</x:v>
      </x:c>
      <x:c r="F61" s="22" t="str">
        <x:v>Capot ouvert/fermé ; 3 gestes complets restent à faire</x:v>
      </x:c>
      <x:c r="G61" s="22" t="n">
        <x:v>5</x:v>
      </x:c>
      <x:c r="H61" s="22" t="n">
        <x:v>0</x:v>
      </x:c>
      <x:c r="I61" s="22" t="str">
        <x:v>public/gauntlets/v132/lost-guardian/move.png</x:v>
      </x:c>
      <x:c r="J61" s="22" t="str">
        <x:v>https://store.necaonline.com/blogs/news/predators-introducing-the-lost-tribe-from-our-series-6-action-figures</x:v>
      </x:c>
      <x:c r="K61" s="24" t="str">
        <x:v>Preuve technique : public/game/assets/v136/gauntlets/lost-guardian/04-lid.svg ; fichier distinct ne vaut pas texture ni proportions 1:1 ; heures non journalisées</x:v>
      </x:c>
    </x:row>
    <x:row r="62" ht="31" customHeight="1">
      <x:c r="A62" s="22" t="str">
        <x:v>lost-guardian</x:v>
      </x:c>
      <x:c r="B62" s="22" t="str">
        <x:v>lost-guardian-SFX</x:v>
      </x:c>
      <x:c r="C62" s="22" t="str">
        <x:v>Identité sonore</x:v>
      </x:c>
      <x:c r="D62" s="24" t="str">
        <x:v>4 sources originales non soumises aux droits de film</x:v>
      </x:c>
      <x:c r="E62" s="22" t="str">
        <x:v>P2</x:v>
      </x:c>
      <x:c r="F62" s="22" t="str">
        <x:v>Signature sonore par thème (10 profils), source non cinéma</x:v>
      </x:c>
      <x:c r="G62" s="22" t="n">
        <x:v>2</x:v>
      </x:c>
      <x:c r="H62" s="22" t="n">
        <x:v>0</x:v>
      </x:c>
      <x:c r="I62" s="22" t="str">
        <x:v>public/gauntlets/v132/lost-guardian/sfx.png</x:v>
      </x:c>
      <x:c r="J62" s="22" t="str">
        <x:v>https://store.necaonline.com/blogs/news/predators-introducing-the-lost-tribe-from-our-series-6-action-figures</x:v>
      </x:c>
      <x:c r="K62" s="24" t="str">
        <x:v>Preuve technique : app/game/sound.ts ; fichier distinct ne vaut pas texture ni proportions 1:1 ; heures non journalisées</x:v>
      </x:c>
    </x:row>
    <x:row r="63" ht="31" customHeight="1">
      <x:c r="A63" s="22" t="str">
        <x:v>lost-guardian</x:v>
      </x:c>
      <x:c r="B63" s="22" t="str">
        <x:v>lost-guardian-HUD</x:v>
      </x:c>
      <x:c r="C63" s="22" t="str">
        <x:v>Palette / projection</x:v>
      </x:c>
      <x:c r="D63" s="24" t="str">
        <x:v>UI 2D/3D cohérente avec la carte</x:v>
      </x:c>
      <x:c r="E63" s="22" t="str">
        <x:v>P2</x:v>
      </x:c>
      <x:c r="F63" s="22" t="str">
        <x:v>HUD connecté / simulation intacte ; QA visuelle restante</x:v>
      </x:c>
      <x:c r="G63" s="22" t="n">
        <x:v>3.5</x:v>
      </x:c>
      <x:c r="H63" s="22" t="n">
        <x:v>0</x:v>
      </x:c>
      <x:c r="I63" s="22" t="str">
        <x:v>public/gauntlets/v132/lost-guardian/hud.png</x:v>
      </x:c>
      <x:c r="J63" s="22" t="str">
        <x:v>https://store.necaonline.com/blogs/news/predators-introducing-the-lost-tribe-from-our-series-6-action-figures</x:v>
      </x:c>
      <x:c r="K63" s="24" t="str">
        <x:v>Preuve technique : app/game/ClanWarGauntletV131.tsx ; fichier distinct ne vaut pas texture ni proportions 1:1 ; heures non journalisées</x:v>
      </x:c>
    </x:row>
    <x:row r="64" ht="31" customHeight="1">
      <x:c r="A64" s="22" t="str">
        <x:v>lost-guardian</x:v>
      </x:c>
      <x:c r="B64" s="22" t="str">
        <x:v>lost-guardian-QA</x:v>
      </x:c>
      <x:c r="C64" s="22" t="str">
        <x:v>Comparaisons + tests</x:v>
      </x:c>
      <x:c r="D64" s="24" t="str">
        <x:v>Pivots, alpha, mobile, focus, 3 vues</x:v>
      </x:c>
      <x:c r="E64" s="22" t="str">
        <x:v>P2</x:v>
      </x:c>
      <x:c r="F64" s="22" t="str">
        <x:v>Tests CI source / alpha / type / navigateur autonome ; 1:1 restant</x:v>
      </x:c>
      <x:c r="G64" s="22" t="n">
        <x:v>4</x:v>
      </x:c>
      <x:c r="H64" s="22" t="n">
        <x:v>0</x:v>
      </x:c>
      <x:c r="I64" s="22" t="str">
        <x:v>public/gauntlets/v132/lost-guardian/qa.png</x:v>
      </x:c>
      <x:c r="J64" s="22" t="str">
        <x:v>https://store.necaonline.com/blogs/news/predators-introducing-the-lost-tribe-from-our-series-6-action-figures</x:v>
      </x:c>
      <x:c r="K64" s="24" t="str">
        <x:v>Preuve technique : tests/gauntlet-archive-studies-v136.test.mjs ; fichier distinct ne vaut pas texture ni proportions 1:1 ; heures non journalisées</x:v>
      </x:c>
    </x:row>
    <x:row r="65" ht="31" customHeight="1">
      <x:c r="A65" s="22" t="str">
        <x:v>lost-stalker</x:v>
      </x:c>
      <x:c r="B65" s="22" t="str">
        <x:v>lost-stalker-ARM-L</x:v>
      </x:c>
      <x:c r="C65" s="22" t="str">
        <x:v>Bras gauche / poignet</x:v>
      </x:c>
      <x:c r="D65" s="24" t="str">
        <x:v>Pivot &amp; peau / netting</x:v>
      </x:c>
      <x:c r="E65" s="22" t="str">
        <x:v>P2</x:v>
      </x:c>
      <x:c r="F65" s="22" t="str">
        <x:v>Prototype SVG individuel + alpha PNG</x:v>
      </x:c>
      <x:c r="G65" s="22" t="n">
        <x:v>3.5</x:v>
      </x:c>
      <x:c r="H65" s="22" t="n">
        <x:v>0</x:v>
      </x:c>
      <x:c r="I65" s="22" t="str">
        <x:v>public/gauntlets/v132/lost-stalker/arm-l.png</x:v>
      </x:c>
      <x:c r="J65" s="22" t="str">
        <x:v>https://store.necaonline.com/blogs/news/predators-introducing-the-lost-tribe-from-our-series-6-action-figures</x:v>
      </x:c>
      <x:c r="K65" s="24" t="str">
        <x:v>Preuve technique : public/game/assets/v136/gauntlets/lost-stalker/01-arm.svg ; fichier distinct ne vaut pas texture ni proportions 1:1 ; heures non journalisées</x:v>
      </x:c>
    </x:row>
    <x:row r="66" ht="31" customHeight="1">
      <x:c r="A66" s="22" t="str">
        <x:v>lost-stalker</x:v>
      </x:c>
      <x:c r="B66" s="22" t="str">
        <x:v>lost-stalker-SHELL-C</x:v>
      </x:c>
      <x:c r="C66" s="22" t="str">
        <x:v>Coque fermée</x:v>
      </x:c>
      <x:c r="D66" s="24" t="str">
        <x:v>Profil latéral et attaches</x:v>
      </x:c>
      <x:c r="E66" s="22" t="str">
        <x:v>P2</x:v>
      </x:c>
      <x:c r="F66" s="22" t="str">
        <x:v>Coque individuelle SVG + PNG, non 1:1</x:v>
      </x:c>
      <x:c r="G66" s="22" t="n">
        <x:v>4.5</x:v>
      </x:c>
      <x:c r="H66" s="22" t="n">
        <x:v>0</x:v>
      </x:c>
      <x:c r="I66" s="22" t="str">
        <x:v>public/gauntlets/v132/lost-stalker/shell-c.png</x:v>
      </x:c>
      <x:c r="J66" s="22" t="str">
        <x:v>https://store.necaonline.com/blogs/news/predators-introducing-the-lost-tribe-from-our-series-6-action-figures</x:v>
      </x:c>
      <x:c r="K66" s="24" t="str">
        <x:v>Preuve technique : public/game/assets/v136/gauntlets/lost-stalker/02-shell.svg ; fichier distinct ne vaut pas texture ni proportions 1:1 ; heures non journalisées</x:v>
      </x:c>
    </x:row>
    <x:row r="67" ht="31" customHeight="1">
      <x:c r="A67" s="22" t="str">
        <x:v>lost-stalker</x:v>
      </x:c>
      <x:c r="B67" s="22" t="str">
        <x:v>lost-stalker-SHELL-O</x:v>
      </x:c>
      <x:c r="C67" s="22" t="str">
        <x:v>Coque ouverte</x:v>
      </x:c>
      <x:c r="D67" s="24" t="str">
        <x:v>Charnières et trappe</x:v>
      </x:c>
      <x:c r="E67" s="22" t="str">
        <x:v>P2</x:v>
      </x:c>
      <x:c r="F67" s="22" t="str">
        <x:v>Capot ouvrable en React/CSS, animation partielle</x:v>
      </x:c>
      <x:c r="G67" s="22" t="n">
        <x:v>4.5</x:v>
      </x:c>
      <x:c r="H67" s="22" t="n">
        <x:v>0</x:v>
      </x:c>
      <x:c r="I67" s="22" t="str">
        <x:v>public/gauntlets/v132/lost-stalker/shell-o.png</x:v>
      </x:c>
      <x:c r="J67" s="22" t="str">
        <x:v>https://store.necaonline.com/blogs/news/predators-introducing-the-lost-tribe-from-our-series-6-action-figures</x:v>
      </x:c>
      <x:c r="K67" s="24" t="str">
        <x:v>Preuve technique : public/game/assets/v136/gauntlets/lost-stalker/04-lid.svg ; fichier distinct ne vaut pas texture ni proportions 1:1 ; heures non journalisées</x:v>
      </x:c>
    </x:row>
    <x:row r="68" ht="31" customHeight="1">
      <x:c r="A68" s="22" t="str">
        <x:v>lost-stalker</x:v>
      </x:c>
      <x:c r="B68" s="22" t="str">
        <x:v>lost-stalker-UI-RED</x:v>
      </x:c>
      <x:c r="C68" s="22" t="str">
        <x:v>Contrôle / glyphes</x:v>
      </x:c>
      <x:c r="D68" s="24" t="str">
        <x:v>Texte + segments lumineux</x:v>
      </x:c>
      <x:c r="E68" s="22" t="str">
        <x:v>P2</x:v>
      </x:c>
      <x:c r="F68" s="22" t="str">
        <x:v>Interface distincte en SVG / couleurs non certifiées</x:v>
      </x:c>
      <x:c r="G68" s="22" t="n">
        <x:v>3</x:v>
      </x:c>
      <x:c r="H68" s="22" t="n">
        <x:v>0</x:v>
      </x:c>
      <x:c r="I68" s="22" t="str">
        <x:v>public/gauntlets/v132/lost-stalker/ui-red.png</x:v>
      </x:c>
      <x:c r="J68" s="22" t="str">
        <x:v>https://store.necaonline.com/blogs/news/predators-introducing-the-lost-tribe-from-our-series-6-action-figures</x:v>
      </x:c>
      <x:c r="K68" s="24" t="str">
        <x:v>Preuve technique : public/game/assets/v136/gauntlets/lost-stalker/03-interface.svg ; fichier distinct ne vaut pas texture ni proportions 1:1 ; heures non journalisées</x:v>
      </x:c>
    </x:row>
    <x:row r="69" ht="31" customHeight="1">
      <x:c r="A69" s="22" t="str">
        <x:v>lost-stalker</x:v>
      </x:c>
      <x:c r="B69" s="22" t="str">
        <x:v>lost-stalker-RIBS</x:v>
      </x:c>
      <x:c r="C69" s="22" t="str">
        <x:v>Ribures et mécanique</x:v>
      </x:c>
      <x:c r="D69" s="24" t="str">
        <x:v>Plaques, vis, tuyaux</x:v>
      </x:c>
      <x:c r="E69" s="22" t="str">
        <x:v>P2</x:v>
      </x:c>
      <x:c r="F69" s="22" t="str">
        <x:v>Détails de coque présents, sous-pièces non séparées</x:v>
      </x:c>
      <x:c r="G69" s="22" t="n">
        <x:v>3.5</x:v>
      </x:c>
      <x:c r="H69" s="22" t="n">
        <x:v>0</x:v>
      </x:c>
      <x:c r="I69" s="22" t="str">
        <x:v>public/gauntlets/v132/lost-stalker/ribs.png</x:v>
      </x:c>
      <x:c r="J69" s="22" t="str">
        <x:v>https://store.necaonline.com/blogs/news/predators-introducing-the-lost-tribe-from-our-series-6-action-figures</x:v>
      </x:c>
      <x:c r="K69" s="24" t="str">
        <x:v>Preuve technique : public/game/assets/v136/gauntlets/lost-stalker/02-shell.svg ; fichier distinct ne vaut pas texture ni proportions 1:1 ; heures non journalisées</x:v>
      </x:c>
    </x:row>
    <x:row r="70" ht="31" customHeight="1">
      <x:c r="A70" s="22" t="str">
        <x:v>lost-stalker</x:v>
      </x:c>
      <x:c r="B70" s="22" t="str">
        <x:v>lost-stalker-BEAM</x:v>
      </x:c>
      <x:c r="C70" s="22" t="str">
        <x:v>Émetteur holographique</x:v>
      </x:c>
      <x:c r="D70" s="24" t="str">
        <x:v>Projection originale de jeu</x:v>
      </x:c>
      <x:c r="E70" s="22" t="str">
        <x:v>P2</x:v>
      </x:c>
      <x:c r="F70" s="22" t="str">
        <x:v>Faisceau du projet (JH dédié, autres effet commun)</x:v>
      </x:c>
      <x:c r="G70" s="22" t="n">
        <x:v>2.5</x:v>
      </x:c>
      <x:c r="H70" s="22" t="n">
        <x:v>0</x:v>
      </x:c>
      <x:c r="I70" s="22" t="str">
        <x:v>public/gauntlets/v132/lost-stalker/beam.png</x:v>
      </x:c>
      <x:c r="J70" s="22" t="str">
        <x:v>https://store.necaonline.com/blogs/news/predators-introducing-the-lost-tribe-from-our-series-6-action-figures</x:v>
      </x:c>
      <x:c r="K70" s="24" t="str">
        <x:v>Preuve technique : app/game/ClanWarGauntletV131.tsx ; fichier distinct ne vaut pas texture ni proportions 1:1 ; heures non journalisées</x:v>
      </x:c>
    </x:row>
    <x:row r="71" ht="31" customHeight="1">
      <x:c r="A71" s="22" t="str">
        <x:v>lost-stalker</x:v>
      </x:c>
      <x:c r="B71" s="22" t="str">
        <x:v>lost-stalker-MOVE</x:v>
      </x:c>
      <x:c r="C71" s="22" t="str">
        <x:v>Animations 4 états</x:v>
      </x:c>
      <x:c r="D71" s="24" t="str">
        <x:v>lever, ouvrir, projeter, ranger</x:v>
      </x:c>
      <x:c r="E71" s="22" t="str">
        <x:v>P2</x:v>
      </x:c>
      <x:c r="F71" s="22" t="str">
        <x:v>Capot ouvert/fermé ; 3 gestes complets restent à faire</x:v>
      </x:c>
      <x:c r="G71" s="22" t="n">
        <x:v>5</x:v>
      </x:c>
      <x:c r="H71" s="22" t="n">
        <x:v>0</x:v>
      </x:c>
      <x:c r="I71" s="22" t="str">
        <x:v>public/gauntlets/v132/lost-stalker/move.png</x:v>
      </x:c>
      <x:c r="J71" s="22" t="str">
        <x:v>https://store.necaonline.com/blogs/news/predators-introducing-the-lost-tribe-from-our-series-6-action-figures</x:v>
      </x:c>
      <x:c r="K71" s="24" t="str">
        <x:v>Preuve technique : public/game/assets/v136/gauntlets/lost-stalker/04-lid.svg ; fichier distinct ne vaut pas texture ni proportions 1:1 ; heures non journalisées</x:v>
      </x:c>
    </x:row>
    <x:row r="72" ht="31" customHeight="1">
      <x:c r="A72" s="22" t="str">
        <x:v>lost-stalker</x:v>
      </x:c>
      <x:c r="B72" s="22" t="str">
        <x:v>lost-stalker-SFX</x:v>
      </x:c>
      <x:c r="C72" s="22" t="str">
        <x:v>Identité sonore</x:v>
      </x:c>
      <x:c r="D72" s="24" t="str">
        <x:v>4 sources originales non soumises aux droits de film</x:v>
      </x:c>
      <x:c r="E72" s="22" t="str">
        <x:v>P2</x:v>
      </x:c>
      <x:c r="F72" s="22" t="str">
        <x:v>Signature sonore par thème (10 profils), source non cinéma</x:v>
      </x:c>
      <x:c r="G72" s="22" t="n">
        <x:v>2</x:v>
      </x:c>
      <x:c r="H72" s="22" t="n">
        <x:v>0</x:v>
      </x:c>
      <x:c r="I72" s="22" t="str">
        <x:v>public/gauntlets/v132/lost-stalker/sfx.png</x:v>
      </x:c>
      <x:c r="J72" s="22" t="str">
        <x:v>https://store.necaonline.com/blogs/news/predators-introducing-the-lost-tribe-from-our-series-6-action-figures</x:v>
      </x:c>
      <x:c r="K72" s="24" t="str">
        <x:v>Preuve technique : app/game/sound.ts ; fichier distinct ne vaut pas texture ni proportions 1:1 ; heures non journalisées</x:v>
      </x:c>
    </x:row>
    <x:row r="73" ht="31" customHeight="1">
      <x:c r="A73" s="22" t="str">
        <x:v>lost-stalker</x:v>
      </x:c>
      <x:c r="B73" s="22" t="str">
        <x:v>lost-stalker-HUD</x:v>
      </x:c>
      <x:c r="C73" s="22" t="str">
        <x:v>Palette / projection</x:v>
      </x:c>
      <x:c r="D73" s="24" t="str">
        <x:v>UI 2D/3D cohérente avec la carte</x:v>
      </x:c>
      <x:c r="E73" s="22" t="str">
        <x:v>P2</x:v>
      </x:c>
      <x:c r="F73" s="22" t="str">
        <x:v>HUD connecté / simulation intacte ; QA visuelle restante</x:v>
      </x:c>
      <x:c r="G73" s="22" t="n">
        <x:v>3.5</x:v>
      </x:c>
      <x:c r="H73" s="22" t="n">
        <x:v>0</x:v>
      </x:c>
      <x:c r="I73" s="22" t="str">
        <x:v>public/gauntlets/v132/lost-stalker/hud.png</x:v>
      </x:c>
      <x:c r="J73" s="22" t="str">
        <x:v>https://store.necaonline.com/blogs/news/predators-introducing-the-lost-tribe-from-our-series-6-action-figures</x:v>
      </x:c>
      <x:c r="K73" s="24" t="str">
        <x:v>Preuve technique : app/game/ClanWarGauntletV131.tsx ; fichier distinct ne vaut pas texture ni proportions 1:1 ; heures non journalisées</x:v>
      </x:c>
    </x:row>
    <x:row r="74" ht="31" customHeight="1">
      <x:c r="A74" s="22" t="str">
        <x:v>lost-stalker</x:v>
      </x:c>
      <x:c r="B74" s="22" t="str">
        <x:v>lost-stalker-QA</x:v>
      </x:c>
      <x:c r="C74" s="22" t="str">
        <x:v>Comparaisons + tests</x:v>
      </x:c>
      <x:c r="D74" s="24" t="str">
        <x:v>Pivots, alpha, mobile, focus, 3 vues</x:v>
      </x:c>
      <x:c r="E74" s="22" t="str">
        <x:v>P2</x:v>
      </x:c>
      <x:c r="F74" s="22" t="str">
        <x:v>Tests CI source / alpha / type / navigateur autonome ; 1:1 restant</x:v>
      </x:c>
      <x:c r="G74" s="22" t="n">
        <x:v>4</x:v>
      </x:c>
      <x:c r="H74" s="22" t="n">
        <x:v>0</x:v>
      </x:c>
      <x:c r="I74" s="22" t="str">
        <x:v>public/gauntlets/v132/lost-stalker/qa.png</x:v>
      </x:c>
      <x:c r="J74" s="22" t="str">
        <x:v>https://store.necaonline.com/blogs/news/predators-introducing-the-lost-tribe-from-our-series-6-action-figures</x:v>
      </x:c>
      <x:c r="K74" s="24" t="str">
        <x:v>Preuve technique : tests/gauntlet-archive-studies-v136.test.mjs ; fichier distinct ne vaut pas texture ni proportions 1:1 ; heures non journalisées</x:v>
      </x:c>
    </x:row>
    <x:row r="75" ht="31" customHeight="1">
      <x:c r="A75" s="22" t="str">
        <x:v>lost-snake</x:v>
      </x:c>
      <x:c r="B75" s="22" t="str">
        <x:v>lost-snake-ARM-L</x:v>
      </x:c>
      <x:c r="C75" s="22" t="str">
        <x:v>Bras gauche / poignet</x:v>
      </x:c>
      <x:c r="D75" s="24" t="str">
        <x:v>Pivot &amp; peau / netting</x:v>
      </x:c>
      <x:c r="E75" s="22" t="str">
        <x:v>P2</x:v>
      </x:c>
      <x:c r="F75" s="22" t="str">
        <x:v>Prototype SVG individuel + alpha PNG</x:v>
      </x:c>
      <x:c r="G75" s="22" t="n">
        <x:v>3.5</x:v>
      </x:c>
      <x:c r="H75" s="22" t="n">
        <x:v>0</x:v>
      </x:c>
      <x:c r="I75" s="22" t="str">
        <x:v>public/gauntlets/v132/lost-snake/arm-l.png</x:v>
      </x:c>
      <x:c r="J75" s="22" t="str">
        <x:v>https://store.necaonline.com/blogs/news/predators-introducing-the-lost-tribe-from-our-series-6-action-figures</x:v>
      </x:c>
      <x:c r="K75" s="24" t="str">
        <x:v>Preuve technique : public/game/assets/v136/gauntlets/lost-snake/01-arm.svg ; fichier distinct ne vaut pas texture ni proportions 1:1 ; heures non journalisées</x:v>
      </x:c>
    </x:row>
    <x:row r="76" ht="31" customHeight="1">
      <x:c r="A76" s="22" t="str">
        <x:v>lost-snake</x:v>
      </x:c>
      <x:c r="B76" s="22" t="str">
        <x:v>lost-snake-SHELL-C</x:v>
      </x:c>
      <x:c r="C76" s="22" t="str">
        <x:v>Coque fermée</x:v>
      </x:c>
      <x:c r="D76" s="24" t="str">
        <x:v>Profil latéral et attaches</x:v>
      </x:c>
      <x:c r="E76" s="22" t="str">
        <x:v>P2</x:v>
      </x:c>
      <x:c r="F76" s="22" t="str">
        <x:v>Coque individuelle SVG + PNG, non 1:1</x:v>
      </x:c>
      <x:c r="G76" s="22" t="n">
        <x:v>4.5</x:v>
      </x:c>
      <x:c r="H76" s="22" t="n">
        <x:v>0</x:v>
      </x:c>
      <x:c r="I76" s="22" t="str">
        <x:v>public/gauntlets/v132/lost-snake/shell-c.png</x:v>
      </x:c>
      <x:c r="J76" s="22" t="str">
        <x:v>https://store.necaonline.com/blogs/news/predators-introducing-the-lost-tribe-from-our-series-6-action-figures</x:v>
      </x:c>
      <x:c r="K76" s="24" t="str">
        <x:v>Preuve technique : public/game/assets/v136/gauntlets/lost-snake/02-shell.svg ; fichier distinct ne vaut pas texture ni proportions 1:1 ; heures non journalisées</x:v>
      </x:c>
    </x:row>
    <x:row r="77" ht="31" customHeight="1">
      <x:c r="A77" s="22" t="str">
        <x:v>lost-snake</x:v>
      </x:c>
      <x:c r="B77" s="22" t="str">
        <x:v>lost-snake-SHELL-O</x:v>
      </x:c>
      <x:c r="C77" s="22" t="str">
        <x:v>Coque ouverte</x:v>
      </x:c>
      <x:c r="D77" s="24" t="str">
        <x:v>Charnières et trappe</x:v>
      </x:c>
      <x:c r="E77" s="22" t="str">
        <x:v>P2</x:v>
      </x:c>
      <x:c r="F77" s="22" t="str">
        <x:v>Capot ouvrable en React/CSS, animation partielle</x:v>
      </x:c>
      <x:c r="G77" s="22" t="n">
        <x:v>4.5</x:v>
      </x:c>
      <x:c r="H77" s="22" t="n">
        <x:v>0</x:v>
      </x:c>
      <x:c r="I77" s="22" t="str">
        <x:v>public/gauntlets/v132/lost-snake/shell-o.png</x:v>
      </x:c>
      <x:c r="J77" s="22" t="str">
        <x:v>https://store.necaonline.com/blogs/news/predators-introducing-the-lost-tribe-from-our-series-6-action-figures</x:v>
      </x:c>
      <x:c r="K77" s="24" t="str">
        <x:v>Preuve technique : public/game/assets/v136/gauntlets/lost-snake/04-lid.svg ; fichier distinct ne vaut pas texture ni proportions 1:1 ; heures non journalisées</x:v>
      </x:c>
    </x:row>
    <x:row r="78" ht="31" customHeight="1">
      <x:c r="A78" s="22" t="str">
        <x:v>lost-snake</x:v>
      </x:c>
      <x:c r="B78" s="22" t="str">
        <x:v>lost-snake-UI-RED</x:v>
      </x:c>
      <x:c r="C78" s="22" t="str">
        <x:v>Contrôle / glyphes</x:v>
      </x:c>
      <x:c r="D78" s="24" t="str">
        <x:v>Texte + segments lumineux</x:v>
      </x:c>
      <x:c r="E78" s="22" t="str">
        <x:v>P2</x:v>
      </x:c>
      <x:c r="F78" s="22" t="str">
        <x:v>Interface distincte en SVG / couleurs non certifiées</x:v>
      </x:c>
      <x:c r="G78" s="22" t="n">
        <x:v>3</x:v>
      </x:c>
      <x:c r="H78" s="22" t="n">
        <x:v>0</x:v>
      </x:c>
      <x:c r="I78" s="22" t="str">
        <x:v>public/gauntlets/v132/lost-snake/ui-red.png</x:v>
      </x:c>
      <x:c r="J78" s="22" t="str">
        <x:v>https://store.necaonline.com/blogs/news/predators-introducing-the-lost-tribe-from-our-series-6-action-figures</x:v>
      </x:c>
      <x:c r="K78" s="24" t="str">
        <x:v>Preuve technique : public/game/assets/v136/gauntlets/lost-snake/03-interface.svg ; fichier distinct ne vaut pas texture ni proportions 1:1 ; heures non journalisées</x:v>
      </x:c>
    </x:row>
    <x:row r="79" ht="31" customHeight="1">
      <x:c r="A79" s="22" t="str">
        <x:v>lost-snake</x:v>
      </x:c>
      <x:c r="B79" s="22" t="str">
        <x:v>lost-snake-RIBS</x:v>
      </x:c>
      <x:c r="C79" s="22" t="str">
        <x:v>Ribures et mécanique</x:v>
      </x:c>
      <x:c r="D79" s="24" t="str">
        <x:v>Plaques, vis, tuyaux</x:v>
      </x:c>
      <x:c r="E79" s="22" t="str">
        <x:v>P2</x:v>
      </x:c>
      <x:c r="F79" s="22" t="str">
        <x:v>Détails de coque présents, sous-pièces non séparées</x:v>
      </x:c>
      <x:c r="G79" s="22" t="n">
        <x:v>3.5</x:v>
      </x:c>
      <x:c r="H79" s="22" t="n">
        <x:v>0</x:v>
      </x:c>
      <x:c r="I79" s="22" t="str">
        <x:v>public/gauntlets/v132/lost-snake/ribs.png</x:v>
      </x:c>
      <x:c r="J79" s="22" t="str">
        <x:v>https://store.necaonline.com/blogs/news/predators-introducing-the-lost-tribe-from-our-series-6-action-figures</x:v>
      </x:c>
      <x:c r="K79" s="24" t="str">
        <x:v>Preuve technique : public/game/assets/v136/gauntlets/lost-snake/02-shell.svg ; fichier distinct ne vaut pas texture ni proportions 1:1 ; heures non journalisées</x:v>
      </x:c>
    </x:row>
    <x:row r="80" ht="31" customHeight="1">
      <x:c r="A80" s="22" t="str">
        <x:v>lost-snake</x:v>
      </x:c>
      <x:c r="B80" s="22" t="str">
        <x:v>lost-snake-BEAM</x:v>
      </x:c>
      <x:c r="C80" s="22" t="str">
        <x:v>Émetteur holographique</x:v>
      </x:c>
      <x:c r="D80" s="24" t="str">
        <x:v>Projection originale de jeu</x:v>
      </x:c>
      <x:c r="E80" s="22" t="str">
        <x:v>P2</x:v>
      </x:c>
      <x:c r="F80" s="22" t="str">
        <x:v>Faisceau du projet (JH dédié, autres effet commun)</x:v>
      </x:c>
      <x:c r="G80" s="22" t="n">
        <x:v>2.5</x:v>
      </x:c>
      <x:c r="H80" s="22" t="n">
        <x:v>0</x:v>
      </x:c>
      <x:c r="I80" s="22" t="str">
        <x:v>public/gauntlets/v132/lost-snake/beam.png</x:v>
      </x:c>
      <x:c r="J80" s="22" t="str">
        <x:v>https://store.necaonline.com/blogs/news/predators-introducing-the-lost-tribe-from-our-series-6-action-figures</x:v>
      </x:c>
      <x:c r="K80" s="24" t="str">
        <x:v>Preuve technique : app/game/ClanWarGauntletV131.tsx ; fichier distinct ne vaut pas texture ni proportions 1:1 ; heures non journalisées</x:v>
      </x:c>
    </x:row>
    <x:row r="81" ht="31" customHeight="1">
      <x:c r="A81" s="22" t="str">
        <x:v>lost-snake</x:v>
      </x:c>
      <x:c r="B81" s="22" t="str">
        <x:v>lost-snake-MOVE</x:v>
      </x:c>
      <x:c r="C81" s="22" t="str">
        <x:v>Animations 4 états</x:v>
      </x:c>
      <x:c r="D81" s="24" t="str">
        <x:v>lever, ouvrir, projeter, ranger</x:v>
      </x:c>
      <x:c r="E81" s="22" t="str">
        <x:v>P2</x:v>
      </x:c>
      <x:c r="F81" s="22" t="str">
        <x:v>Capot ouvert/fermé ; 3 gestes complets restent à faire</x:v>
      </x:c>
      <x:c r="G81" s="22" t="n">
        <x:v>5</x:v>
      </x:c>
      <x:c r="H81" s="22" t="n">
        <x:v>0</x:v>
      </x:c>
      <x:c r="I81" s="22" t="str">
        <x:v>public/gauntlets/v132/lost-snake/move.png</x:v>
      </x:c>
      <x:c r="J81" s="22" t="str">
        <x:v>https://store.necaonline.com/blogs/news/predators-introducing-the-lost-tribe-from-our-series-6-action-figures</x:v>
      </x:c>
      <x:c r="K81" s="24" t="str">
        <x:v>Preuve technique : public/game/assets/v136/gauntlets/lost-snake/04-lid.svg ; fichier distinct ne vaut pas texture ni proportions 1:1 ; heures non journalisées</x:v>
      </x:c>
    </x:row>
    <x:row r="82" ht="31" customHeight="1">
      <x:c r="A82" s="22" t="str">
        <x:v>lost-snake</x:v>
      </x:c>
      <x:c r="B82" s="22" t="str">
        <x:v>lost-snake-SFX</x:v>
      </x:c>
      <x:c r="C82" s="22" t="str">
        <x:v>Identité sonore</x:v>
      </x:c>
      <x:c r="D82" s="24" t="str">
        <x:v>4 sources originales non soumises aux droits de film</x:v>
      </x:c>
      <x:c r="E82" s="22" t="str">
        <x:v>P2</x:v>
      </x:c>
      <x:c r="F82" s="22" t="str">
        <x:v>Signature sonore par thème (10 profils), source non cinéma</x:v>
      </x:c>
      <x:c r="G82" s="22" t="n">
        <x:v>2</x:v>
      </x:c>
      <x:c r="H82" s="22" t="n">
        <x:v>0</x:v>
      </x:c>
      <x:c r="I82" s="22" t="str">
        <x:v>public/gauntlets/v132/lost-snake/sfx.png</x:v>
      </x:c>
      <x:c r="J82" s="22" t="str">
        <x:v>https://store.necaonline.com/blogs/news/predators-introducing-the-lost-tribe-from-our-series-6-action-figures</x:v>
      </x:c>
      <x:c r="K82" s="24" t="str">
        <x:v>Preuve technique : app/game/sound.ts ; fichier distinct ne vaut pas texture ni proportions 1:1 ; heures non journalisées</x:v>
      </x:c>
    </x:row>
    <x:row r="83" ht="31" customHeight="1">
      <x:c r="A83" s="22" t="str">
        <x:v>lost-snake</x:v>
      </x:c>
      <x:c r="B83" s="22" t="str">
        <x:v>lost-snake-HUD</x:v>
      </x:c>
      <x:c r="C83" s="22" t="str">
        <x:v>Palette / projection</x:v>
      </x:c>
      <x:c r="D83" s="24" t="str">
        <x:v>UI 2D/3D cohérente avec la carte</x:v>
      </x:c>
      <x:c r="E83" s="22" t="str">
        <x:v>P2</x:v>
      </x:c>
      <x:c r="F83" s="22" t="str">
        <x:v>HUD connecté / simulation intacte ; QA visuelle restante</x:v>
      </x:c>
      <x:c r="G83" s="22" t="n">
        <x:v>3.5</x:v>
      </x:c>
      <x:c r="H83" s="22" t="n">
        <x:v>0</x:v>
      </x:c>
      <x:c r="I83" s="22" t="str">
        <x:v>public/gauntlets/v132/lost-snake/hud.png</x:v>
      </x:c>
      <x:c r="J83" s="22" t="str">
        <x:v>https://store.necaonline.com/blogs/news/predators-introducing-the-lost-tribe-from-our-series-6-action-figures</x:v>
      </x:c>
      <x:c r="K83" s="24" t="str">
        <x:v>Preuve technique : app/game/ClanWarGauntletV131.tsx ; fichier distinct ne vaut pas texture ni proportions 1:1 ; heures non journalisées</x:v>
      </x:c>
    </x:row>
    <x:row r="84" ht="31" customHeight="1">
      <x:c r="A84" s="22" t="str">
        <x:v>lost-snake</x:v>
      </x:c>
      <x:c r="B84" s="22" t="str">
        <x:v>lost-snake-QA</x:v>
      </x:c>
      <x:c r="C84" s="22" t="str">
        <x:v>Comparaisons + tests</x:v>
      </x:c>
      <x:c r="D84" s="24" t="str">
        <x:v>Pivots, alpha, mobile, focus, 3 vues</x:v>
      </x:c>
      <x:c r="E84" s="22" t="str">
        <x:v>P2</x:v>
      </x:c>
      <x:c r="F84" s="22" t="str">
        <x:v>Tests CI source / alpha / type / navigateur autonome ; 1:1 restant</x:v>
      </x:c>
      <x:c r="G84" s="22" t="n">
        <x:v>4</x:v>
      </x:c>
      <x:c r="H84" s="22" t="n">
        <x:v>0</x:v>
      </x:c>
      <x:c r="I84" s="22" t="str">
        <x:v>public/gauntlets/v132/lost-snake/qa.png</x:v>
      </x:c>
      <x:c r="J84" s="22" t="str">
        <x:v>https://store.necaonline.com/blogs/news/predators-introducing-the-lost-tribe-from-our-series-6-action-figures</x:v>
      </x:c>
      <x:c r="K84" s="24" t="str">
        <x:v>Preuve technique : tests/gauntlet-archive-studies-v136.test.mjs ; fichier distinct ne vaut pas texture ni proportions 1:1 ; heures non journalisées</x:v>
      </x:c>
    </x:row>
    <x:row r="85" ht="31" customHeight="1">
      <x:c r="A85" s="22" t="str">
        <x:v>lost-warrior</x:v>
      </x:c>
      <x:c r="B85" s="22" t="str">
        <x:v>lost-warrior-ARM-L</x:v>
      </x:c>
      <x:c r="C85" s="22" t="str">
        <x:v>Bras gauche / poignet</x:v>
      </x:c>
      <x:c r="D85" s="24" t="str">
        <x:v>Pivot &amp; peau / netting</x:v>
      </x:c>
      <x:c r="E85" s="22" t="str">
        <x:v>P2</x:v>
      </x:c>
      <x:c r="F85" s="22" t="str">
        <x:v>Prototype SVG individuel + alpha PNG</x:v>
      </x:c>
      <x:c r="G85" s="22" t="n">
        <x:v>3.5</x:v>
      </x:c>
      <x:c r="H85" s="22" t="n">
        <x:v>0</x:v>
      </x:c>
      <x:c r="I85" s="22" t="str">
        <x:v>public/gauntlets/v132/lost-warrior/arm-l.png</x:v>
      </x:c>
      <x:c r="J85" s="22" t="str">
        <x:v>https://store.necaonline.com/blogs/news/predators-introducing-the-lost-tribe-from-our-series-6-action-figures</x:v>
      </x:c>
      <x:c r="K85" s="24" t="str">
        <x:v>Preuve technique : public/game/assets/v136/gauntlets/lost-warrior/01-arm.svg ; fichier distinct ne vaut pas texture ni proportions 1:1 ; heures non journalisées</x:v>
      </x:c>
    </x:row>
    <x:row r="86" ht="31" customHeight="1">
      <x:c r="A86" s="22" t="str">
        <x:v>lost-warrior</x:v>
      </x:c>
      <x:c r="B86" s="22" t="str">
        <x:v>lost-warrior-SHELL-C</x:v>
      </x:c>
      <x:c r="C86" s="22" t="str">
        <x:v>Coque fermée</x:v>
      </x:c>
      <x:c r="D86" s="24" t="str">
        <x:v>Profil latéral et attaches</x:v>
      </x:c>
      <x:c r="E86" s="22" t="str">
        <x:v>P2</x:v>
      </x:c>
      <x:c r="F86" s="22" t="str">
        <x:v>Coque individuelle SVG + PNG, non 1:1</x:v>
      </x:c>
      <x:c r="G86" s="22" t="n">
        <x:v>4.5</x:v>
      </x:c>
      <x:c r="H86" s="22" t="n">
        <x:v>0</x:v>
      </x:c>
      <x:c r="I86" s="22" t="str">
        <x:v>public/gauntlets/v132/lost-warrior/shell-c.png</x:v>
      </x:c>
      <x:c r="J86" s="22" t="str">
        <x:v>https://store.necaonline.com/blogs/news/predators-introducing-the-lost-tribe-from-our-series-6-action-figures</x:v>
      </x:c>
      <x:c r="K86" s="24" t="str">
        <x:v>Preuve technique : public/game/assets/v136/gauntlets/lost-warrior/02-shell.svg ; fichier distinct ne vaut pas texture ni proportions 1:1 ; heures non journalisées</x:v>
      </x:c>
    </x:row>
    <x:row r="87" ht="31" customHeight="1">
      <x:c r="A87" s="22" t="str">
        <x:v>lost-warrior</x:v>
      </x:c>
      <x:c r="B87" s="22" t="str">
        <x:v>lost-warrior-SHELL-O</x:v>
      </x:c>
      <x:c r="C87" s="22" t="str">
        <x:v>Coque ouverte</x:v>
      </x:c>
      <x:c r="D87" s="24" t="str">
        <x:v>Charnières et trappe</x:v>
      </x:c>
      <x:c r="E87" s="22" t="str">
        <x:v>P2</x:v>
      </x:c>
      <x:c r="F87" s="22" t="str">
        <x:v>Capot ouvrable en React/CSS, animation partielle</x:v>
      </x:c>
      <x:c r="G87" s="22" t="n">
        <x:v>4.5</x:v>
      </x:c>
      <x:c r="H87" s="22" t="n">
        <x:v>0</x:v>
      </x:c>
      <x:c r="I87" s="22" t="str">
        <x:v>public/gauntlets/v132/lost-warrior/shell-o.png</x:v>
      </x:c>
      <x:c r="J87" s="22" t="str">
        <x:v>https://store.necaonline.com/blogs/news/predators-introducing-the-lost-tribe-from-our-series-6-action-figures</x:v>
      </x:c>
      <x:c r="K87" s="24" t="str">
        <x:v>Preuve technique : public/game/assets/v136/gauntlets/lost-warrior/04-lid.svg ; fichier distinct ne vaut pas texture ni proportions 1:1 ; heures non journalisées</x:v>
      </x:c>
    </x:row>
    <x:row r="88" ht="31" customHeight="1">
      <x:c r="A88" s="22" t="str">
        <x:v>lost-warrior</x:v>
      </x:c>
      <x:c r="B88" s="22" t="str">
        <x:v>lost-warrior-UI-RED</x:v>
      </x:c>
      <x:c r="C88" s="22" t="str">
        <x:v>Contrôle / glyphes</x:v>
      </x:c>
      <x:c r="D88" s="24" t="str">
        <x:v>Texte + segments lumineux</x:v>
      </x:c>
      <x:c r="E88" s="22" t="str">
        <x:v>P2</x:v>
      </x:c>
      <x:c r="F88" s="22" t="str">
        <x:v>Interface distincte en SVG / couleurs non certifiées</x:v>
      </x:c>
      <x:c r="G88" s="22" t="n">
        <x:v>3</x:v>
      </x:c>
      <x:c r="H88" s="22" t="n">
        <x:v>0</x:v>
      </x:c>
      <x:c r="I88" s="22" t="str">
        <x:v>public/gauntlets/v132/lost-warrior/ui-red.png</x:v>
      </x:c>
      <x:c r="J88" s="22" t="str">
        <x:v>https://store.necaonline.com/blogs/news/predators-introducing-the-lost-tribe-from-our-series-6-action-figures</x:v>
      </x:c>
      <x:c r="K88" s="24" t="str">
        <x:v>Preuve technique : public/game/assets/v136/gauntlets/lost-warrior/03-interface.svg ; fichier distinct ne vaut pas texture ni proportions 1:1 ; heures non journalisées</x:v>
      </x:c>
    </x:row>
    <x:row r="89" ht="31" customHeight="1">
      <x:c r="A89" s="22" t="str">
        <x:v>lost-warrior</x:v>
      </x:c>
      <x:c r="B89" s="22" t="str">
        <x:v>lost-warrior-RIBS</x:v>
      </x:c>
      <x:c r="C89" s="22" t="str">
        <x:v>Ribures et mécanique</x:v>
      </x:c>
      <x:c r="D89" s="24" t="str">
        <x:v>Plaques, vis, tuyaux</x:v>
      </x:c>
      <x:c r="E89" s="22" t="str">
        <x:v>P2</x:v>
      </x:c>
      <x:c r="F89" s="22" t="str">
        <x:v>Détails de coque présents, sous-pièces non séparées</x:v>
      </x:c>
      <x:c r="G89" s="22" t="n">
        <x:v>3.5</x:v>
      </x:c>
      <x:c r="H89" s="22" t="n">
        <x:v>0</x:v>
      </x:c>
      <x:c r="I89" s="22" t="str">
        <x:v>public/gauntlets/v132/lost-warrior/ribs.png</x:v>
      </x:c>
      <x:c r="J89" s="22" t="str">
        <x:v>https://store.necaonline.com/blogs/news/predators-introducing-the-lost-tribe-from-our-series-6-action-figures</x:v>
      </x:c>
      <x:c r="K89" s="24" t="str">
        <x:v>Preuve technique : public/game/assets/v136/gauntlets/lost-warrior/02-shell.svg ; fichier distinct ne vaut pas texture ni proportions 1:1 ; heures non journalisées</x:v>
      </x:c>
    </x:row>
    <x:row r="90" ht="31" customHeight="1">
      <x:c r="A90" s="22" t="str">
        <x:v>lost-warrior</x:v>
      </x:c>
      <x:c r="B90" s="22" t="str">
        <x:v>lost-warrior-BEAM</x:v>
      </x:c>
      <x:c r="C90" s="22" t="str">
        <x:v>Émetteur holographique</x:v>
      </x:c>
      <x:c r="D90" s="24" t="str">
        <x:v>Projection originale de jeu</x:v>
      </x:c>
      <x:c r="E90" s="22" t="str">
        <x:v>P2</x:v>
      </x:c>
      <x:c r="F90" s="22" t="str">
        <x:v>Faisceau du projet (JH dédié, autres effet commun)</x:v>
      </x:c>
      <x:c r="G90" s="22" t="n">
        <x:v>2.5</x:v>
      </x:c>
      <x:c r="H90" s="22" t="n">
        <x:v>0</x:v>
      </x:c>
      <x:c r="I90" s="22" t="str">
        <x:v>public/gauntlets/v132/lost-warrior/beam.png</x:v>
      </x:c>
      <x:c r="J90" s="22" t="str">
        <x:v>https://store.necaonline.com/blogs/news/predators-introducing-the-lost-tribe-from-our-series-6-action-figures</x:v>
      </x:c>
      <x:c r="K90" s="24" t="str">
        <x:v>Preuve technique : app/game/ClanWarGauntletV131.tsx ; fichier distinct ne vaut pas texture ni proportions 1:1 ; heures non journalisées</x:v>
      </x:c>
    </x:row>
    <x:row r="91" ht="31" customHeight="1">
      <x:c r="A91" s="22" t="str">
        <x:v>lost-warrior</x:v>
      </x:c>
      <x:c r="B91" s="22" t="str">
        <x:v>lost-warrior-MOVE</x:v>
      </x:c>
      <x:c r="C91" s="22" t="str">
        <x:v>Animations 4 états</x:v>
      </x:c>
      <x:c r="D91" s="24" t="str">
        <x:v>lever, ouvrir, projeter, ranger</x:v>
      </x:c>
      <x:c r="E91" s="22" t="str">
        <x:v>P2</x:v>
      </x:c>
      <x:c r="F91" s="22" t="str">
        <x:v>Capot ouvert/fermé ; 3 gestes complets restent à faire</x:v>
      </x:c>
      <x:c r="G91" s="22" t="n">
        <x:v>5</x:v>
      </x:c>
      <x:c r="H91" s="22" t="n">
        <x:v>0</x:v>
      </x:c>
      <x:c r="I91" s="22" t="str">
        <x:v>public/gauntlets/v132/lost-warrior/move.png</x:v>
      </x:c>
      <x:c r="J91" s="22" t="str">
        <x:v>https://store.necaonline.com/blogs/news/predators-introducing-the-lost-tribe-from-our-series-6-action-figures</x:v>
      </x:c>
      <x:c r="K91" s="24" t="str">
        <x:v>Preuve technique : public/game/assets/v136/gauntlets/lost-warrior/04-lid.svg ; fichier distinct ne vaut pas texture ni proportions 1:1 ; heures non journalisées</x:v>
      </x:c>
    </x:row>
    <x:row r="92" ht="31" customHeight="1">
      <x:c r="A92" s="22" t="str">
        <x:v>lost-warrior</x:v>
      </x:c>
      <x:c r="B92" s="22" t="str">
        <x:v>lost-warrior-SFX</x:v>
      </x:c>
      <x:c r="C92" s="22" t="str">
        <x:v>Identité sonore</x:v>
      </x:c>
      <x:c r="D92" s="24" t="str">
        <x:v>4 sources originales non soumises aux droits de film</x:v>
      </x:c>
      <x:c r="E92" s="22" t="str">
        <x:v>P2</x:v>
      </x:c>
      <x:c r="F92" s="22" t="str">
        <x:v>Signature sonore par thème (10 profils), source non cinéma</x:v>
      </x:c>
      <x:c r="G92" s="22" t="n">
        <x:v>2</x:v>
      </x:c>
      <x:c r="H92" s="22" t="n">
        <x:v>0</x:v>
      </x:c>
      <x:c r="I92" s="22" t="str">
        <x:v>public/gauntlets/v132/lost-warrior/sfx.png</x:v>
      </x:c>
      <x:c r="J92" s="22" t="str">
        <x:v>https://store.necaonline.com/blogs/news/predators-introducing-the-lost-tribe-from-our-series-6-action-figures</x:v>
      </x:c>
      <x:c r="K92" s="24" t="str">
        <x:v>Preuve technique : app/game/sound.ts ; fichier distinct ne vaut pas texture ni proportions 1:1 ; heures non journalisées</x:v>
      </x:c>
    </x:row>
    <x:row r="93" ht="31" customHeight="1">
      <x:c r="A93" s="22" t="str">
        <x:v>lost-warrior</x:v>
      </x:c>
      <x:c r="B93" s="22" t="str">
        <x:v>lost-warrior-HUD</x:v>
      </x:c>
      <x:c r="C93" s="22" t="str">
        <x:v>Palette / projection</x:v>
      </x:c>
      <x:c r="D93" s="24" t="str">
        <x:v>UI 2D/3D cohérente avec la carte</x:v>
      </x:c>
      <x:c r="E93" s="22" t="str">
        <x:v>P2</x:v>
      </x:c>
      <x:c r="F93" s="22" t="str">
        <x:v>HUD connecté / simulation intacte ; QA visuelle restante</x:v>
      </x:c>
      <x:c r="G93" s="22" t="n">
        <x:v>3.5</x:v>
      </x:c>
      <x:c r="H93" s="22" t="n">
        <x:v>0</x:v>
      </x:c>
      <x:c r="I93" s="22" t="str">
        <x:v>public/gauntlets/v132/lost-warrior/hud.png</x:v>
      </x:c>
      <x:c r="J93" s="22" t="str">
        <x:v>https://store.necaonline.com/blogs/news/predators-introducing-the-lost-tribe-from-our-series-6-action-figures</x:v>
      </x:c>
      <x:c r="K93" s="24" t="str">
        <x:v>Preuve technique : app/game/ClanWarGauntletV131.tsx ; fichier distinct ne vaut pas texture ni proportions 1:1 ; heures non journalisées</x:v>
      </x:c>
    </x:row>
    <x:row r="94" ht="31" customHeight="1">
      <x:c r="A94" s="22" t="str">
        <x:v>lost-warrior</x:v>
      </x:c>
      <x:c r="B94" s="22" t="str">
        <x:v>lost-warrior-QA</x:v>
      </x:c>
      <x:c r="C94" s="22" t="str">
        <x:v>Comparaisons + tests</x:v>
      </x:c>
      <x:c r="D94" s="24" t="str">
        <x:v>Pivots, alpha, mobile, focus, 3 vues</x:v>
      </x:c>
      <x:c r="E94" s="22" t="str">
        <x:v>P2</x:v>
      </x:c>
      <x:c r="F94" s="22" t="str">
        <x:v>Tests CI source / alpha / type / navigateur autonome ; 1:1 restant</x:v>
      </x:c>
      <x:c r="G94" s="22" t="n">
        <x:v>4</x:v>
      </x:c>
      <x:c r="H94" s="22" t="n">
        <x:v>0</x:v>
      </x:c>
      <x:c r="I94" s="22" t="str">
        <x:v>public/gauntlets/v132/lost-warrior/qa.png</x:v>
      </x:c>
      <x:c r="J94" s="22" t="str">
        <x:v>https://store.necaonline.com/blogs/news/predators-introducing-the-lost-tribe-from-our-series-6-action-figures</x:v>
      </x:c>
      <x:c r="K94" s="24" t="str">
        <x:v>Preuve technique : tests/gauntlet-archive-studies-v136.test.mjs ; fichier distinct ne vaut pas texture ni proportions 1:1 ; heures non journalisées</x:v>
      </x:c>
    </x:row>
    <x:row r="95" ht="31" customHeight="1">
      <x:c r="A95" s="22" t="str">
        <x:v>lost-scout</x:v>
      </x:c>
      <x:c r="B95" s="22" t="str">
        <x:v>lost-scout-ARM-L</x:v>
      </x:c>
      <x:c r="C95" s="22" t="str">
        <x:v>Bras gauche / poignet</x:v>
      </x:c>
      <x:c r="D95" s="24" t="str">
        <x:v>Pivot &amp; peau / netting</x:v>
      </x:c>
      <x:c r="E95" s="22" t="str">
        <x:v>P2</x:v>
      </x:c>
      <x:c r="F95" s="22" t="str">
        <x:v>Prototype SVG individuel + alpha PNG</x:v>
      </x:c>
      <x:c r="G95" s="22" t="n">
        <x:v>3.5</x:v>
      </x:c>
      <x:c r="H95" s="22" t="n">
        <x:v>0</x:v>
      </x:c>
      <x:c r="I95" s="22" t="str">
        <x:v>public/gauntlets/v132/lost-scout/arm-l.png</x:v>
      </x:c>
      <x:c r="J95" s="22" t="str">
        <x:v>https://store.necaonline.com/blogs/news/predators-introducing-the-lost-tribe-from-our-series-6-action-figures</x:v>
      </x:c>
      <x:c r="K95" s="24" t="str">
        <x:v>Preuve technique : public/game/assets/v136/gauntlets/lost-scout/01-arm.svg ; fichier distinct ne vaut pas texture ni proportions 1:1 ; heures non journalisées</x:v>
      </x:c>
    </x:row>
    <x:row r="96" ht="31" customHeight="1">
      <x:c r="A96" s="22" t="str">
        <x:v>lost-scout</x:v>
      </x:c>
      <x:c r="B96" s="22" t="str">
        <x:v>lost-scout-SHELL-C</x:v>
      </x:c>
      <x:c r="C96" s="22" t="str">
        <x:v>Coque fermée</x:v>
      </x:c>
      <x:c r="D96" s="24" t="str">
        <x:v>Profil latéral et attaches</x:v>
      </x:c>
      <x:c r="E96" s="22" t="str">
        <x:v>P2</x:v>
      </x:c>
      <x:c r="F96" s="22" t="str">
        <x:v>Coque individuelle SVG + PNG, non 1:1</x:v>
      </x:c>
      <x:c r="G96" s="22" t="n">
        <x:v>4.5</x:v>
      </x:c>
      <x:c r="H96" s="22" t="n">
        <x:v>0</x:v>
      </x:c>
      <x:c r="I96" s="22" t="str">
        <x:v>public/gauntlets/v132/lost-scout/shell-c.png</x:v>
      </x:c>
      <x:c r="J96" s="22" t="str">
        <x:v>https://store.necaonline.com/blogs/news/predators-introducing-the-lost-tribe-from-our-series-6-action-figures</x:v>
      </x:c>
      <x:c r="K96" s="24" t="str">
        <x:v>Preuve technique : public/game/assets/v136/gauntlets/lost-scout/02-shell.svg ; fichier distinct ne vaut pas texture ni proportions 1:1 ; heures non journalisées</x:v>
      </x:c>
    </x:row>
    <x:row r="97" ht="31" customHeight="1">
      <x:c r="A97" s="22" t="str">
        <x:v>lost-scout</x:v>
      </x:c>
      <x:c r="B97" s="22" t="str">
        <x:v>lost-scout-SHELL-O</x:v>
      </x:c>
      <x:c r="C97" s="22" t="str">
        <x:v>Coque ouverte</x:v>
      </x:c>
      <x:c r="D97" s="24" t="str">
        <x:v>Charnières et trappe</x:v>
      </x:c>
      <x:c r="E97" s="22" t="str">
        <x:v>P2</x:v>
      </x:c>
      <x:c r="F97" s="22" t="str">
        <x:v>Capot ouvrable en React/CSS, animation partielle</x:v>
      </x:c>
      <x:c r="G97" s="22" t="n">
        <x:v>4.5</x:v>
      </x:c>
      <x:c r="H97" s="22" t="n">
        <x:v>0</x:v>
      </x:c>
      <x:c r="I97" s="22" t="str">
        <x:v>public/gauntlets/v132/lost-scout/shell-o.png</x:v>
      </x:c>
      <x:c r="J97" s="22" t="str">
        <x:v>https://store.necaonline.com/blogs/news/predators-introducing-the-lost-tribe-from-our-series-6-action-figures</x:v>
      </x:c>
      <x:c r="K97" s="24" t="str">
        <x:v>Preuve technique : public/game/assets/v136/gauntlets/lost-scout/04-lid.svg ; fichier distinct ne vaut pas texture ni proportions 1:1 ; heures non journalisées</x:v>
      </x:c>
    </x:row>
    <x:row r="98" ht="31" customHeight="1">
      <x:c r="A98" s="22" t="str">
        <x:v>lost-scout</x:v>
      </x:c>
      <x:c r="B98" s="22" t="str">
        <x:v>lost-scout-UI-RED</x:v>
      </x:c>
      <x:c r="C98" s="22" t="str">
        <x:v>Contrôle / glyphes</x:v>
      </x:c>
      <x:c r="D98" s="24" t="str">
        <x:v>Texte + segments lumineux</x:v>
      </x:c>
      <x:c r="E98" s="22" t="str">
        <x:v>P2</x:v>
      </x:c>
      <x:c r="F98" s="22" t="str">
        <x:v>Interface distincte en SVG / couleurs non certifiées</x:v>
      </x:c>
      <x:c r="G98" s="22" t="n">
        <x:v>3</x:v>
      </x:c>
      <x:c r="H98" s="22" t="n">
        <x:v>0</x:v>
      </x:c>
      <x:c r="I98" s="22" t="str">
        <x:v>public/gauntlets/v132/lost-scout/ui-red.png</x:v>
      </x:c>
      <x:c r="J98" s="22" t="str">
        <x:v>https://store.necaonline.com/blogs/news/predators-introducing-the-lost-tribe-from-our-series-6-action-figures</x:v>
      </x:c>
      <x:c r="K98" s="24" t="str">
        <x:v>Preuve technique : public/game/assets/v136/gauntlets/lost-scout/03-interface.svg ; fichier distinct ne vaut pas texture ni proportions 1:1 ; heures non journalisées</x:v>
      </x:c>
    </x:row>
    <x:row r="99" ht="31" customHeight="1">
      <x:c r="A99" s="22" t="str">
        <x:v>lost-scout</x:v>
      </x:c>
      <x:c r="B99" s="22" t="str">
        <x:v>lost-scout-RIBS</x:v>
      </x:c>
      <x:c r="C99" s="22" t="str">
        <x:v>Ribures et mécanique</x:v>
      </x:c>
      <x:c r="D99" s="24" t="str">
        <x:v>Plaques, vis, tuyaux</x:v>
      </x:c>
      <x:c r="E99" s="22" t="str">
        <x:v>P2</x:v>
      </x:c>
      <x:c r="F99" s="22" t="str">
        <x:v>Détails de coque présents, sous-pièces non séparées</x:v>
      </x:c>
      <x:c r="G99" s="22" t="n">
        <x:v>3.5</x:v>
      </x:c>
      <x:c r="H99" s="22" t="n">
        <x:v>0</x:v>
      </x:c>
      <x:c r="I99" s="22" t="str">
        <x:v>public/gauntlets/v132/lost-scout/ribs.png</x:v>
      </x:c>
      <x:c r="J99" s="22" t="str">
        <x:v>https://store.necaonline.com/blogs/news/predators-introducing-the-lost-tribe-from-our-series-6-action-figures</x:v>
      </x:c>
      <x:c r="K99" s="24" t="str">
        <x:v>Preuve technique : public/game/assets/v136/gauntlets/lost-scout/02-shell.svg ; fichier distinct ne vaut pas texture ni proportions 1:1 ; heures non journalisées</x:v>
      </x:c>
    </x:row>
    <x:row r="100" ht="31" customHeight="1">
      <x:c r="A100" s="22" t="str">
        <x:v>lost-scout</x:v>
      </x:c>
      <x:c r="B100" s="22" t="str">
        <x:v>lost-scout-BEAM</x:v>
      </x:c>
      <x:c r="C100" s="22" t="str">
        <x:v>Émetteur holographique</x:v>
      </x:c>
      <x:c r="D100" s="24" t="str">
        <x:v>Projection originale de jeu</x:v>
      </x:c>
      <x:c r="E100" s="22" t="str">
        <x:v>P2</x:v>
      </x:c>
      <x:c r="F100" s="22" t="str">
        <x:v>Faisceau du projet (JH dédié, autres effet commun)</x:v>
      </x:c>
      <x:c r="G100" s="22" t="n">
        <x:v>2.5</x:v>
      </x:c>
      <x:c r="H100" s="22" t="n">
        <x:v>0</x:v>
      </x:c>
      <x:c r="I100" s="22" t="str">
        <x:v>public/gauntlets/v132/lost-scout/beam.png</x:v>
      </x:c>
      <x:c r="J100" s="22" t="str">
        <x:v>https://store.necaonline.com/blogs/news/predators-introducing-the-lost-tribe-from-our-series-6-action-figures</x:v>
      </x:c>
      <x:c r="K100" s="24" t="str">
        <x:v>Preuve technique : app/game/ClanWarGauntletV131.tsx ; fichier distinct ne vaut pas texture ni proportions 1:1 ; heures non journalisées</x:v>
      </x:c>
    </x:row>
    <x:row r="101" ht="31" customHeight="1">
      <x:c r="A101" s="22" t="str">
        <x:v>lost-scout</x:v>
      </x:c>
      <x:c r="B101" s="22" t="str">
        <x:v>lost-scout-MOVE</x:v>
      </x:c>
      <x:c r="C101" s="22" t="str">
        <x:v>Animations 4 états</x:v>
      </x:c>
      <x:c r="D101" s="24" t="str">
        <x:v>lever, ouvrir, projeter, ranger</x:v>
      </x:c>
      <x:c r="E101" s="22" t="str">
        <x:v>P2</x:v>
      </x:c>
      <x:c r="F101" s="22" t="str">
        <x:v>Capot ouvert/fermé ; 3 gestes complets restent à faire</x:v>
      </x:c>
      <x:c r="G101" s="22" t="n">
        <x:v>5</x:v>
      </x:c>
      <x:c r="H101" s="22" t="n">
        <x:v>0</x:v>
      </x:c>
      <x:c r="I101" s="22" t="str">
        <x:v>public/gauntlets/v132/lost-scout/move.png</x:v>
      </x:c>
      <x:c r="J101" s="22" t="str">
        <x:v>https://store.necaonline.com/blogs/news/predators-introducing-the-lost-tribe-from-our-series-6-action-figures</x:v>
      </x:c>
      <x:c r="K101" s="24" t="str">
        <x:v>Preuve technique : public/game/assets/v136/gauntlets/lost-scout/04-lid.svg ; fichier distinct ne vaut pas texture ni proportions 1:1 ; heures non journalisées</x:v>
      </x:c>
    </x:row>
    <x:row r="102" ht="31" customHeight="1">
      <x:c r="A102" s="22" t="str">
        <x:v>lost-scout</x:v>
      </x:c>
      <x:c r="B102" s="22" t="str">
        <x:v>lost-scout-SFX</x:v>
      </x:c>
      <x:c r="C102" s="22" t="str">
        <x:v>Identité sonore</x:v>
      </x:c>
      <x:c r="D102" s="24" t="str">
        <x:v>4 sources originales non soumises aux droits de film</x:v>
      </x:c>
      <x:c r="E102" s="22" t="str">
        <x:v>P2</x:v>
      </x:c>
      <x:c r="F102" s="22" t="str">
        <x:v>Signature sonore par thème (10 profils), source non cinéma</x:v>
      </x:c>
      <x:c r="G102" s="22" t="n">
        <x:v>2</x:v>
      </x:c>
      <x:c r="H102" s="22" t="n">
        <x:v>0</x:v>
      </x:c>
      <x:c r="I102" s="22" t="str">
        <x:v>public/gauntlets/v132/lost-scout/sfx.png</x:v>
      </x:c>
      <x:c r="J102" s="22" t="str">
        <x:v>https://store.necaonline.com/blogs/news/predators-introducing-the-lost-tribe-from-our-series-6-action-figures</x:v>
      </x:c>
      <x:c r="K102" s="24" t="str">
        <x:v>Preuve technique : app/game/sound.ts ; fichier distinct ne vaut pas texture ni proportions 1:1 ; heures non journalisées</x:v>
      </x:c>
    </x:row>
    <x:row r="103" ht="31" customHeight="1">
      <x:c r="A103" s="22" t="str">
        <x:v>lost-scout</x:v>
      </x:c>
      <x:c r="B103" s="22" t="str">
        <x:v>lost-scout-HUD</x:v>
      </x:c>
      <x:c r="C103" s="22" t="str">
        <x:v>Palette / projection</x:v>
      </x:c>
      <x:c r="D103" s="24" t="str">
        <x:v>UI 2D/3D cohérente avec la carte</x:v>
      </x:c>
      <x:c r="E103" s="22" t="str">
        <x:v>P2</x:v>
      </x:c>
      <x:c r="F103" s="22" t="str">
        <x:v>HUD connecté / simulation intacte ; QA visuelle restante</x:v>
      </x:c>
      <x:c r="G103" s="22" t="n">
        <x:v>3.5</x:v>
      </x:c>
      <x:c r="H103" s="22" t="n">
        <x:v>0</x:v>
      </x:c>
      <x:c r="I103" s="22" t="str">
        <x:v>public/gauntlets/v132/lost-scout/hud.png</x:v>
      </x:c>
      <x:c r="J103" s="22" t="str">
        <x:v>https://store.necaonline.com/blogs/news/predators-introducing-the-lost-tribe-from-our-series-6-action-figures</x:v>
      </x:c>
      <x:c r="K103" s="24" t="str">
        <x:v>Preuve technique : app/game/ClanWarGauntletV131.tsx ; fichier distinct ne vaut pas texture ni proportions 1:1 ; heures non journalisées</x:v>
      </x:c>
    </x:row>
    <x:row r="104" ht="31" customHeight="1">
      <x:c r="A104" s="22" t="str">
        <x:v>lost-scout</x:v>
      </x:c>
      <x:c r="B104" s="22" t="str">
        <x:v>lost-scout-QA</x:v>
      </x:c>
      <x:c r="C104" s="22" t="str">
        <x:v>Comparaisons + tests</x:v>
      </x:c>
      <x:c r="D104" s="24" t="str">
        <x:v>Pivots, alpha, mobile, focus, 3 vues</x:v>
      </x:c>
      <x:c r="E104" s="22" t="str">
        <x:v>P2</x:v>
      </x:c>
      <x:c r="F104" s="22" t="str">
        <x:v>Tests CI source / alpha / type / navigateur autonome ; 1:1 restant</x:v>
      </x:c>
      <x:c r="G104" s="22" t="n">
        <x:v>4</x:v>
      </x:c>
      <x:c r="H104" s="22" t="n">
        <x:v>0</x:v>
      </x:c>
      <x:c r="I104" s="22" t="str">
        <x:v>public/gauntlets/v132/lost-scout/qa.png</x:v>
      </x:c>
      <x:c r="J104" s="22" t="str">
        <x:v>https://store.necaonline.com/blogs/news/predators-introducing-the-lost-tribe-from-our-series-6-action-figures</x:v>
      </x:c>
      <x:c r="K104" s="24" t="str">
        <x:v>Preuve technique : tests/gauntlet-archive-studies-v136.test.mjs ; fichier distinct ne vaut pas texture ni proportions 1:1 ; heures non journalisées</x:v>
      </x:c>
    </x:row>
    <x:row r="105" ht="31" customHeight="1">
      <x:c r="A105" s="22" t="str">
        <x:v>lost-borg</x:v>
      </x:c>
      <x:c r="B105" s="22" t="str">
        <x:v>lost-borg-ARM-L</x:v>
      </x:c>
      <x:c r="C105" s="22" t="str">
        <x:v>Bras gauche / poignet</x:v>
      </x:c>
      <x:c r="D105" s="24" t="str">
        <x:v>Pivot &amp; peau / netting</x:v>
      </x:c>
      <x:c r="E105" s="22" t="str">
        <x:v>P2</x:v>
      </x:c>
      <x:c r="F105" s="22" t="str">
        <x:v>Prototype SVG individuel + alpha PNG</x:v>
      </x:c>
      <x:c r="G105" s="22" t="n">
        <x:v>3.5</x:v>
      </x:c>
      <x:c r="H105" s="22" t="n">
        <x:v>0</x:v>
      </x:c>
      <x:c r="I105" s="22" t="str">
        <x:v>public/gauntlets/v132/lost-borg/arm-l.png</x:v>
      </x:c>
      <x:c r="J105" s="22" t="str">
        <x:v>https://store.necaonline.com/blogs/news/predators-introducing-the-lost-tribe-from-our-series-6-action-figures</x:v>
      </x:c>
      <x:c r="K105" s="24" t="str">
        <x:v>Preuve technique : public/game/assets/v136/gauntlets/lost-borg/01-arm.svg ; fichier distinct ne vaut pas texture ni proportions 1:1 ; heures non journalisées</x:v>
      </x:c>
    </x:row>
    <x:row r="106" ht="31" customHeight="1">
      <x:c r="A106" s="22" t="str">
        <x:v>lost-borg</x:v>
      </x:c>
      <x:c r="B106" s="22" t="str">
        <x:v>lost-borg-SHELL-C</x:v>
      </x:c>
      <x:c r="C106" s="22" t="str">
        <x:v>Coque fermée</x:v>
      </x:c>
      <x:c r="D106" s="24" t="str">
        <x:v>Profil latéral et attaches</x:v>
      </x:c>
      <x:c r="E106" s="22" t="str">
        <x:v>P2</x:v>
      </x:c>
      <x:c r="F106" s="22" t="str">
        <x:v>Coque individuelle SVG + PNG, non 1:1</x:v>
      </x:c>
      <x:c r="G106" s="22" t="n">
        <x:v>4.5</x:v>
      </x:c>
      <x:c r="H106" s="22" t="n">
        <x:v>0</x:v>
      </x:c>
      <x:c r="I106" s="22" t="str">
        <x:v>public/gauntlets/v132/lost-borg/shell-c.png</x:v>
      </x:c>
      <x:c r="J106" s="22" t="str">
        <x:v>https://store.necaonline.com/blogs/news/predators-introducing-the-lost-tribe-from-our-series-6-action-figures</x:v>
      </x:c>
      <x:c r="K106" s="24" t="str">
        <x:v>Preuve technique : public/game/assets/v136/gauntlets/lost-borg/02-shell.svg ; fichier distinct ne vaut pas texture ni proportions 1:1 ; heures non journalisées</x:v>
      </x:c>
    </x:row>
    <x:row r="107" ht="31" customHeight="1">
      <x:c r="A107" s="22" t="str">
        <x:v>lost-borg</x:v>
      </x:c>
      <x:c r="B107" s="22" t="str">
        <x:v>lost-borg-SHELL-O</x:v>
      </x:c>
      <x:c r="C107" s="22" t="str">
        <x:v>Coque ouverte</x:v>
      </x:c>
      <x:c r="D107" s="24" t="str">
        <x:v>Charnières et trappe</x:v>
      </x:c>
      <x:c r="E107" s="22" t="str">
        <x:v>P2</x:v>
      </x:c>
      <x:c r="F107" s="22" t="str">
        <x:v>Capot ouvrable en React/CSS, animation partielle</x:v>
      </x:c>
      <x:c r="G107" s="22" t="n">
        <x:v>4.5</x:v>
      </x:c>
      <x:c r="H107" s="22" t="n">
        <x:v>0</x:v>
      </x:c>
      <x:c r="I107" s="22" t="str">
        <x:v>public/gauntlets/v132/lost-borg/shell-o.png</x:v>
      </x:c>
      <x:c r="J107" s="22" t="str">
        <x:v>https://store.necaonline.com/blogs/news/predators-introducing-the-lost-tribe-from-our-series-6-action-figures</x:v>
      </x:c>
      <x:c r="K107" s="24" t="str">
        <x:v>Preuve technique : public/game/assets/v136/gauntlets/lost-borg/04-lid.svg ; fichier distinct ne vaut pas texture ni proportions 1:1 ; heures non journalisées</x:v>
      </x:c>
    </x:row>
    <x:row r="108" ht="31" customHeight="1">
      <x:c r="A108" s="22" t="str">
        <x:v>lost-borg</x:v>
      </x:c>
      <x:c r="B108" s="22" t="str">
        <x:v>lost-borg-UI-RED</x:v>
      </x:c>
      <x:c r="C108" s="22" t="str">
        <x:v>Contrôle / glyphes</x:v>
      </x:c>
      <x:c r="D108" s="24" t="str">
        <x:v>Texte + segments lumineux</x:v>
      </x:c>
      <x:c r="E108" s="22" t="str">
        <x:v>P2</x:v>
      </x:c>
      <x:c r="F108" s="22" t="str">
        <x:v>Interface distincte en SVG / couleurs non certifiées</x:v>
      </x:c>
      <x:c r="G108" s="22" t="n">
        <x:v>3</x:v>
      </x:c>
      <x:c r="H108" s="22" t="n">
        <x:v>0</x:v>
      </x:c>
      <x:c r="I108" s="22" t="str">
        <x:v>public/gauntlets/v132/lost-borg/ui-red.png</x:v>
      </x:c>
      <x:c r="J108" s="22" t="str">
        <x:v>https://store.necaonline.com/blogs/news/predators-introducing-the-lost-tribe-from-our-series-6-action-figures</x:v>
      </x:c>
      <x:c r="K108" s="24" t="str">
        <x:v>Preuve technique : public/game/assets/v136/gauntlets/lost-borg/03-interface.svg ; fichier distinct ne vaut pas texture ni proportions 1:1 ; heures non journalisées</x:v>
      </x:c>
    </x:row>
    <x:row r="109" ht="31" customHeight="1">
      <x:c r="A109" s="22" t="str">
        <x:v>lost-borg</x:v>
      </x:c>
      <x:c r="B109" s="22" t="str">
        <x:v>lost-borg-RIBS</x:v>
      </x:c>
      <x:c r="C109" s="22" t="str">
        <x:v>Ribures et mécanique</x:v>
      </x:c>
      <x:c r="D109" s="24" t="str">
        <x:v>Plaques, vis, tuyaux</x:v>
      </x:c>
      <x:c r="E109" s="22" t="str">
        <x:v>P2</x:v>
      </x:c>
      <x:c r="F109" s="22" t="str">
        <x:v>Détails de coque présents, sous-pièces non séparées</x:v>
      </x:c>
      <x:c r="G109" s="22" t="n">
        <x:v>3.5</x:v>
      </x:c>
      <x:c r="H109" s="22" t="n">
        <x:v>0</x:v>
      </x:c>
      <x:c r="I109" s="22" t="str">
        <x:v>public/gauntlets/v132/lost-borg/ribs.png</x:v>
      </x:c>
      <x:c r="J109" s="22" t="str">
        <x:v>https://store.necaonline.com/blogs/news/predators-introducing-the-lost-tribe-from-our-series-6-action-figures</x:v>
      </x:c>
      <x:c r="K109" s="24" t="str">
        <x:v>Preuve technique : public/game/assets/v136/gauntlets/lost-borg/02-shell.svg ; fichier distinct ne vaut pas texture ni proportions 1:1 ; heures non journalisées</x:v>
      </x:c>
    </x:row>
    <x:row r="110" ht="31" customHeight="1">
      <x:c r="A110" s="22" t="str">
        <x:v>lost-borg</x:v>
      </x:c>
      <x:c r="B110" s="22" t="str">
        <x:v>lost-borg-BEAM</x:v>
      </x:c>
      <x:c r="C110" s="22" t="str">
        <x:v>Émetteur holographique</x:v>
      </x:c>
      <x:c r="D110" s="24" t="str">
        <x:v>Projection originale de jeu</x:v>
      </x:c>
      <x:c r="E110" s="22" t="str">
        <x:v>P2</x:v>
      </x:c>
      <x:c r="F110" s="22" t="str">
        <x:v>Faisceau du projet (JH dédié, autres effet commun)</x:v>
      </x:c>
      <x:c r="G110" s="22" t="n">
        <x:v>2.5</x:v>
      </x:c>
      <x:c r="H110" s="22" t="n">
        <x:v>0</x:v>
      </x:c>
      <x:c r="I110" s="22" t="str">
        <x:v>public/gauntlets/v132/lost-borg/beam.png</x:v>
      </x:c>
      <x:c r="J110" s="22" t="str">
        <x:v>https://store.necaonline.com/blogs/news/predators-introducing-the-lost-tribe-from-our-series-6-action-figures</x:v>
      </x:c>
      <x:c r="K110" s="24" t="str">
        <x:v>Preuve technique : app/game/ClanWarGauntletV131.tsx ; fichier distinct ne vaut pas texture ni proportions 1:1 ; heures non journalisées</x:v>
      </x:c>
    </x:row>
    <x:row r="111" ht="31" customHeight="1">
      <x:c r="A111" s="22" t="str">
        <x:v>lost-borg</x:v>
      </x:c>
      <x:c r="B111" s="22" t="str">
        <x:v>lost-borg-MOVE</x:v>
      </x:c>
      <x:c r="C111" s="22" t="str">
        <x:v>Animations 4 états</x:v>
      </x:c>
      <x:c r="D111" s="24" t="str">
        <x:v>lever, ouvrir, projeter, ranger</x:v>
      </x:c>
      <x:c r="E111" s="22" t="str">
        <x:v>P2</x:v>
      </x:c>
      <x:c r="F111" s="22" t="str">
        <x:v>Capot ouvert/fermé ; 3 gestes complets restent à faire</x:v>
      </x:c>
      <x:c r="G111" s="22" t="n">
        <x:v>5</x:v>
      </x:c>
      <x:c r="H111" s="22" t="n">
        <x:v>0</x:v>
      </x:c>
      <x:c r="I111" s="22" t="str">
        <x:v>public/gauntlets/v132/lost-borg/move.png</x:v>
      </x:c>
      <x:c r="J111" s="22" t="str">
        <x:v>https://store.necaonline.com/blogs/news/predators-introducing-the-lost-tribe-from-our-series-6-action-figures</x:v>
      </x:c>
      <x:c r="K111" s="24" t="str">
        <x:v>Preuve technique : public/game/assets/v136/gauntlets/lost-borg/04-lid.svg ; fichier distinct ne vaut pas texture ni proportions 1:1 ; heures non journalisées</x:v>
      </x:c>
    </x:row>
    <x:row r="112" ht="31" customHeight="1">
      <x:c r="A112" s="22" t="str">
        <x:v>lost-borg</x:v>
      </x:c>
      <x:c r="B112" s="22" t="str">
        <x:v>lost-borg-SFX</x:v>
      </x:c>
      <x:c r="C112" s="22" t="str">
        <x:v>Identité sonore</x:v>
      </x:c>
      <x:c r="D112" s="24" t="str">
        <x:v>4 sources originales non soumises aux droits de film</x:v>
      </x:c>
      <x:c r="E112" s="22" t="str">
        <x:v>P2</x:v>
      </x:c>
      <x:c r="F112" s="22" t="str">
        <x:v>Signature sonore par thème (10 profils), source non cinéma</x:v>
      </x:c>
      <x:c r="G112" s="22" t="n">
        <x:v>2</x:v>
      </x:c>
      <x:c r="H112" s="22" t="n">
        <x:v>0</x:v>
      </x:c>
      <x:c r="I112" s="22" t="str">
        <x:v>public/gauntlets/v132/lost-borg/sfx.png</x:v>
      </x:c>
      <x:c r="J112" s="22" t="str">
        <x:v>https://store.necaonline.com/blogs/news/predators-introducing-the-lost-tribe-from-our-series-6-action-figures</x:v>
      </x:c>
      <x:c r="K112" s="24" t="str">
        <x:v>Preuve technique : app/game/sound.ts ; fichier distinct ne vaut pas texture ni proportions 1:1 ; heures non journalisées</x:v>
      </x:c>
    </x:row>
    <x:row r="113" ht="31" customHeight="1">
      <x:c r="A113" s="22" t="str">
        <x:v>lost-borg</x:v>
      </x:c>
      <x:c r="B113" s="22" t="str">
        <x:v>lost-borg-HUD</x:v>
      </x:c>
      <x:c r="C113" s="22" t="str">
        <x:v>Palette / projection</x:v>
      </x:c>
      <x:c r="D113" s="24" t="str">
        <x:v>UI 2D/3D cohérente avec la carte</x:v>
      </x:c>
      <x:c r="E113" s="22" t="str">
        <x:v>P2</x:v>
      </x:c>
      <x:c r="F113" s="22" t="str">
        <x:v>HUD connecté / simulation intacte ; QA visuelle restante</x:v>
      </x:c>
      <x:c r="G113" s="22" t="n">
        <x:v>3.5</x:v>
      </x:c>
      <x:c r="H113" s="22" t="n">
        <x:v>0</x:v>
      </x:c>
      <x:c r="I113" s="22" t="str">
        <x:v>public/gauntlets/v132/lost-borg/hud.png</x:v>
      </x:c>
      <x:c r="J113" s="22" t="str">
        <x:v>https://store.necaonline.com/blogs/news/predators-introducing-the-lost-tribe-from-our-series-6-action-figures</x:v>
      </x:c>
      <x:c r="K113" s="24" t="str">
        <x:v>Preuve technique : app/game/ClanWarGauntletV131.tsx ; fichier distinct ne vaut pas texture ni proportions 1:1 ; heures non journalisées</x:v>
      </x:c>
    </x:row>
    <x:row r="114" ht="31" customHeight="1">
      <x:c r="A114" s="22" t="str">
        <x:v>lost-borg</x:v>
      </x:c>
      <x:c r="B114" s="22" t="str">
        <x:v>lost-borg-QA</x:v>
      </x:c>
      <x:c r="C114" s="22" t="str">
        <x:v>Comparaisons + tests</x:v>
      </x:c>
      <x:c r="D114" s="24" t="str">
        <x:v>Pivots, alpha, mobile, focus, 3 vues</x:v>
      </x:c>
      <x:c r="E114" s="22" t="str">
        <x:v>P2</x:v>
      </x:c>
      <x:c r="F114" s="22" t="str">
        <x:v>Tests CI source / alpha / type / navigateur autonome ; 1:1 restant</x:v>
      </x:c>
      <x:c r="G114" s="22" t="n">
        <x:v>4</x:v>
      </x:c>
      <x:c r="H114" s="22" t="n">
        <x:v>0</x:v>
      </x:c>
      <x:c r="I114" s="22" t="str">
        <x:v>public/gauntlets/v132/lost-borg/qa.png</x:v>
      </x:c>
      <x:c r="J114" s="22" t="str">
        <x:v>https://store.necaonline.com/blogs/news/predators-introducing-the-lost-tribe-from-our-series-6-action-figures</x:v>
      </x:c>
      <x:c r="K114" s="24" t="str">
        <x:v>Preuve technique : tests/gauntlet-archive-studies-v136.test.mjs ; fichier distinct ne vaut pas texture ni proportions 1:1 ; heures non journalisées</x:v>
      </x:c>
    </x:row>
    <x:row r="115" ht="31" customHeight="1">
      <x:c r="A115" s="22" t="str">
        <x:v>scar</x:v>
      </x:c>
      <x:c r="B115" s="22" t="str">
        <x:v>scar-ARM-L</x:v>
      </x:c>
      <x:c r="C115" s="22" t="str">
        <x:v>Bras gauche / poignet</x:v>
      </x:c>
      <x:c r="D115" s="24" t="str">
        <x:v>Pivot &amp; peau / netting</x:v>
      </x:c>
      <x:c r="E115" s="22" t="str">
        <x:v>P1</x:v>
      </x:c>
      <x:c r="F115" s="22" t="str">
        <x:v>Prototype SVG individuel + alpha PNG</x:v>
      </x:c>
      <x:c r="G115" s="22" t="n">
        <x:v>3.5</x:v>
      </x:c>
      <x:c r="H115" s="22" t="n">
        <x:v>0</x:v>
      </x:c>
      <x:c r="I115" s="22" t="str">
        <x:v>public/gauntlets/v132/scar/arm-l.png</x:v>
      </x:c>
      <x:c r="J115" s="22" t="str">
        <x:v>https://predator.illfonic.com/</x:v>
      </x:c>
      <x:c r="K115" s="24" t="str">
        <x:v>Preuve technique : public/game/assets/v136/gauntlets/scar/01-arm.svg ; fichier distinct ne vaut pas texture ni proportions 1:1 ; heures non journalisées</x:v>
      </x:c>
    </x:row>
    <x:row r="116" ht="31" customHeight="1">
      <x:c r="A116" s="22" t="str">
        <x:v>scar</x:v>
      </x:c>
      <x:c r="B116" s="22" t="str">
        <x:v>scar-SHELL-C</x:v>
      </x:c>
      <x:c r="C116" s="22" t="str">
        <x:v>Coque fermée</x:v>
      </x:c>
      <x:c r="D116" s="24" t="str">
        <x:v>Profil latéral et attaches</x:v>
      </x:c>
      <x:c r="E116" s="22" t="str">
        <x:v>P1</x:v>
      </x:c>
      <x:c r="F116" s="22" t="str">
        <x:v>Coque individuelle SVG + PNG, non 1:1</x:v>
      </x:c>
      <x:c r="G116" s="22" t="n">
        <x:v>4.5</x:v>
      </x:c>
      <x:c r="H116" s="22" t="n">
        <x:v>0</x:v>
      </x:c>
      <x:c r="I116" s="22" t="str">
        <x:v>public/gauntlets/v132/scar/shell-c.png</x:v>
      </x:c>
      <x:c r="J116" s="22" t="str">
        <x:v>https://predator.illfonic.com/</x:v>
      </x:c>
      <x:c r="K116" s="24" t="str">
        <x:v>Preuve technique : public/game/assets/v136/gauntlets/scar/02-shell.svg ; fichier distinct ne vaut pas texture ni proportions 1:1 ; heures non journalisées</x:v>
      </x:c>
    </x:row>
    <x:row r="117" ht="31" customHeight="1">
      <x:c r="A117" s="22" t="str">
        <x:v>scar</x:v>
      </x:c>
      <x:c r="B117" s="22" t="str">
        <x:v>scar-SHELL-O</x:v>
      </x:c>
      <x:c r="C117" s="22" t="str">
        <x:v>Coque ouverte</x:v>
      </x:c>
      <x:c r="D117" s="24" t="str">
        <x:v>Charnières et trappe</x:v>
      </x:c>
      <x:c r="E117" s="22" t="str">
        <x:v>P1</x:v>
      </x:c>
      <x:c r="F117" s="22" t="str">
        <x:v>Capot ouvrable en React/CSS, animation partielle</x:v>
      </x:c>
      <x:c r="G117" s="22" t="n">
        <x:v>4.5</x:v>
      </x:c>
      <x:c r="H117" s="22" t="n">
        <x:v>0</x:v>
      </x:c>
      <x:c r="I117" s="22" t="str">
        <x:v>public/gauntlets/v132/scar/shell-o.png</x:v>
      </x:c>
      <x:c r="J117" s="22" t="str">
        <x:v>https://predator.illfonic.com/</x:v>
      </x:c>
      <x:c r="K117" s="24" t="str">
        <x:v>Preuve technique : public/game/assets/v136/gauntlets/scar/04-lid.svg ; fichier distinct ne vaut pas texture ni proportions 1:1 ; heures non journalisées</x:v>
      </x:c>
    </x:row>
    <x:row r="118" ht="31" customHeight="1">
      <x:c r="A118" s="22" t="str">
        <x:v>scar</x:v>
      </x:c>
      <x:c r="B118" s="22" t="str">
        <x:v>scar-UI-RED</x:v>
      </x:c>
      <x:c r="C118" s="22" t="str">
        <x:v>Contrôle / glyphes</x:v>
      </x:c>
      <x:c r="D118" s="24" t="str">
        <x:v>Texte + segments lumineux</x:v>
      </x:c>
      <x:c r="E118" s="22" t="str">
        <x:v>P1</x:v>
      </x:c>
      <x:c r="F118" s="22" t="str">
        <x:v>Interface distincte en SVG / couleurs non certifiées</x:v>
      </x:c>
      <x:c r="G118" s="22" t="n">
        <x:v>3</x:v>
      </x:c>
      <x:c r="H118" s="22" t="n">
        <x:v>0</x:v>
      </x:c>
      <x:c r="I118" s="22" t="str">
        <x:v>public/gauntlets/v132/scar/ui-red.png</x:v>
      </x:c>
      <x:c r="J118" s="22" t="str">
        <x:v>https://predator.illfonic.com/</x:v>
      </x:c>
      <x:c r="K118" s="24" t="str">
        <x:v>Preuve technique : public/game/assets/v136/gauntlets/scar/03-interface.svg ; fichier distinct ne vaut pas texture ni proportions 1:1 ; heures non journalisées</x:v>
      </x:c>
    </x:row>
    <x:row r="119" ht="31" customHeight="1">
      <x:c r="A119" s="22" t="str">
        <x:v>scar</x:v>
      </x:c>
      <x:c r="B119" s="22" t="str">
        <x:v>scar-RIBS</x:v>
      </x:c>
      <x:c r="C119" s="22" t="str">
        <x:v>Ribures et mécanique</x:v>
      </x:c>
      <x:c r="D119" s="24" t="str">
        <x:v>Plaques, vis, tuyaux</x:v>
      </x:c>
      <x:c r="E119" s="22" t="str">
        <x:v>P1</x:v>
      </x:c>
      <x:c r="F119" s="22" t="str">
        <x:v>Détails de coque présents, sous-pièces non séparées</x:v>
      </x:c>
      <x:c r="G119" s="22" t="n">
        <x:v>3.5</x:v>
      </x:c>
      <x:c r="H119" s="22" t="n">
        <x:v>0</x:v>
      </x:c>
      <x:c r="I119" s="22" t="str">
        <x:v>public/gauntlets/v132/scar/ribs.png</x:v>
      </x:c>
      <x:c r="J119" s="22" t="str">
        <x:v>https://predator.illfonic.com/</x:v>
      </x:c>
      <x:c r="K119" s="24" t="str">
        <x:v>Preuve technique : public/game/assets/v136/gauntlets/scar/02-shell.svg ; fichier distinct ne vaut pas texture ni proportions 1:1 ; heures non journalisées</x:v>
      </x:c>
    </x:row>
    <x:row r="120" ht="31" customHeight="1">
      <x:c r="A120" s="22" t="str">
        <x:v>scar</x:v>
      </x:c>
      <x:c r="B120" s="22" t="str">
        <x:v>scar-BEAM</x:v>
      </x:c>
      <x:c r="C120" s="22" t="str">
        <x:v>Émetteur holographique</x:v>
      </x:c>
      <x:c r="D120" s="24" t="str">
        <x:v>Projection originale de jeu</x:v>
      </x:c>
      <x:c r="E120" s="22" t="str">
        <x:v>P1</x:v>
      </x:c>
      <x:c r="F120" s="22" t="str">
        <x:v>Faisceau du projet (JH dédié, autres effet commun)</x:v>
      </x:c>
      <x:c r="G120" s="22" t="n">
        <x:v>2.5</x:v>
      </x:c>
      <x:c r="H120" s="22" t="n">
        <x:v>0</x:v>
      </x:c>
      <x:c r="I120" s="22" t="str">
        <x:v>public/gauntlets/v132/scar/beam.png</x:v>
      </x:c>
      <x:c r="J120" s="22" t="str">
        <x:v>https://predator.illfonic.com/</x:v>
      </x:c>
      <x:c r="K120" s="24" t="str">
        <x:v>Preuve technique : app/game/ClanWarGauntletV131.tsx ; fichier distinct ne vaut pas texture ni proportions 1:1 ; heures non journalisées</x:v>
      </x:c>
    </x:row>
    <x:row r="121" ht="31" customHeight="1">
      <x:c r="A121" s="22" t="str">
        <x:v>scar</x:v>
      </x:c>
      <x:c r="B121" s="22" t="str">
        <x:v>scar-MOVE</x:v>
      </x:c>
      <x:c r="C121" s="22" t="str">
        <x:v>Animations 4 états</x:v>
      </x:c>
      <x:c r="D121" s="24" t="str">
        <x:v>lever, ouvrir, projeter, ranger</x:v>
      </x:c>
      <x:c r="E121" s="22" t="str">
        <x:v>P1</x:v>
      </x:c>
      <x:c r="F121" s="22" t="str">
        <x:v>Capot ouvert/fermé ; 3 gestes complets restent à faire</x:v>
      </x:c>
      <x:c r="G121" s="22" t="n">
        <x:v>5</x:v>
      </x:c>
      <x:c r="H121" s="22" t="n">
        <x:v>0</x:v>
      </x:c>
      <x:c r="I121" s="22" t="str">
        <x:v>public/gauntlets/v132/scar/move.png</x:v>
      </x:c>
      <x:c r="J121" s="22" t="str">
        <x:v>https://predator.illfonic.com/</x:v>
      </x:c>
      <x:c r="K121" s="24" t="str">
        <x:v>Preuve technique : public/game/assets/v136/gauntlets/scar/04-lid.svg ; fichier distinct ne vaut pas texture ni proportions 1:1 ; heures non journalisées</x:v>
      </x:c>
    </x:row>
    <x:row r="122" ht="31" customHeight="1">
      <x:c r="A122" s="22" t="str">
        <x:v>scar</x:v>
      </x:c>
      <x:c r="B122" s="22" t="str">
        <x:v>scar-SFX</x:v>
      </x:c>
      <x:c r="C122" s="22" t="str">
        <x:v>Identité sonore</x:v>
      </x:c>
      <x:c r="D122" s="24" t="str">
        <x:v>4 sources originales non soumises aux droits de film</x:v>
      </x:c>
      <x:c r="E122" s="22" t="str">
        <x:v>P1</x:v>
      </x:c>
      <x:c r="F122" s="22" t="str">
        <x:v>Signature sonore par thème (10 profils), source non cinéma</x:v>
      </x:c>
      <x:c r="G122" s="22" t="n">
        <x:v>2</x:v>
      </x:c>
      <x:c r="H122" s="22" t="n">
        <x:v>0</x:v>
      </x:c>
      <x:c r="I122" s="22" t="str">
        <x:v>public/gauntlets/v132/scar/sfx.png</x:v>
      </x:c>
      <x:c r="J122" s="22" t="str">
        <x:v>https://predator.illfonic.com/</x:v>
      </x:c>
      <x:c r="K122" s="24" t="str">
        <x:v>Preuve technique : app/game/sound.ts ; fichier distinct ne vaut pas texture ni proportions 1:1 ; heures non journalisées</x:v>
      </x:c>
    </x:row>
    <x:row r="123" ht="31" customHeight="1">
      <x:c r="A123" s="22" t="str">
        <x:v>scar</x:v>
      </x:c>
      <x:c r="B123" s="22" t="str">
        <x:v>scar-HUD</x:v>
      </x:c>
      <x:c r="C123" s="22" t="str">
        <x:v>Palette / projection</x:v>
      </x:c>
      <x:c r="D123" s="24" t="str">
        <x:v>UI 2D/3D cohérente avec la carte</x:v>
      </x:c>
      <x:c r="E123" s="22" t="str">
        <x:v>P1</x:v>
      </x:c>
      <x:c r="F123" s="22" t="str">
        <x:v>HUD connecté / simulation intacte ; QA visuelle restante</x:v>
      </x:c>
      <x:c r="G123" s="22" t="n">
        <x:v>3.5</x:v>
      </x:c>
      <x:c r="H123" s="22" t="n">
        <x:v>0</x:v>
      </x:c>
      <x:c r="I123" s="22" t="str">
        <x:v>public/gauntlets/v132/scar/hud.png</x:v>
      </x:c>
      <x:c r="J123" s="22" t="str">
        <x:v>https://predator.illfonic.com/</x:v>
      </x:c>
      <x:c r="K123" s="24" t="str">
        <x:v>Preuve technique : app/game/ClanWarGauntletV131.tsx ; fichier distinct ne vaut pas texture ni proportions 1:1 ; heures non journalisées</x:v>
      </x:c>
    </x:row>
    <x:row r="124" ht="31" customHeight="1">
      <x:c r="A124" s="22" t="str">
        <x:v>scar</x:v>
      </x:c>
      <x:c r="B124" s="22" t="str">
        <x:v>scar-QA</x:v>
      </x:c>
      <x:c r="C124" s="22" t="str">
        <x:v>Comparaisons + tests</x:v>
      </x:c>
      <x:c r="D124" s="24" t="str">
        <x:v>Pivots, alpha, mobile, focus, 3 vues</x:v>
      </x:c>
      <x:c r="E124" s="22" t="str">
        <x:v>P1</x:v>
      </x:c>
      <x:c r="F124" s="22" t="str">
        <x:v>Tests CI source / alpha / type / navigateur autonome ; 1:1 restant</x:v>
      </x:c>
      <x:c r="G124" s="22" t="n">
        <x:v>4</x:v>
      </x:c>
      <x:c r="H124" s="22" t="n">
        <x:v>0</x:v>
      </x:c>
      <x:c r="I124" s="22" t="str">
        <x:v>public/gauntlets/v132/scar/qa.png</x:v>
      </x:c>
      <x:c r="J124" s="22" t="str">
        <x:v>https://predator.illfonic.com/</x:v>
      </x:c>
      <x:c r="K124" s="24" t="str">
        <x:v>Preuve technique : tests/gauntlet-archive-studies-v136.test.mjs ; fichier distinct ne vaut pas texture ni proportions 1:1 ; heures non journalisées</x:v>
      </x:c>
    </x:row>
    <x:row r="125" ht="31" customHeight="1">
      <x:c r="A125" s="22" t="str">
        <x:v>celtic</x:v>
      </x:c>
      <x:c r="B125" s="22" t="str">
        <x:v>celtic-ARM-L</x:v>
      </x:c>
      <x:c r="C125" s="22" t="str">
        <x:v>Bras gauche / poignet</x:v>
      </x:c>
      <x:c r="D125" s="24" t="str">
        <x:v>Pivot &amp; peau / netting</x:v>
      </x:c>
      <x:c r="E125" s="22" t="str">
        <x:v>P2</x:v>
      </x:c>
      <x:c r="F125" s="22" t="str">
        <x:v>Prototype SVG individuel + alpha PNG</x:v>
      </x:c>
      <x:c r="G125" s="22" t="n">
        <x:v>3.5</x:v>
      </x:c>
      <x:c r="H125" s="22" t="n">
        <x:v>0</x:v>
      </x:c>
      <x:c r="I125" s="22" t="str">
        <x:v>public/gauntlets/v132/celtic/arm-l.png</x:v>
      </x:c>
      <x:c r="J125" s="22" t="str">
        <x:v>https://predator.illfonic.com/</x:v>
      </x:c>
      <x:c r="K125" s="24" t="str">
        <x:v>Preuve technique : public/game/assets/v136/gauntlets/celtic/01-arm.svg ; fichier distinct ne vaut pas texture ni proportions 1:1 ; heures non journalisées</x:v>
      </x:c>
    </x:row>
    <x:row r="126" ht="31" customHeight="1">
      <x:c r="A126" s="22" t="str">
        <x:v>celtic</x:v>
      </x:c>
      <x:c r="B126" s="22" t="str">
        <x:v>celtic-SHELL-C</x:v>
      </x:c>
      <x:c r="C126" s="22" t="str">
        <x:v>Coque fermée</x:v>
      </x:c>
      <x:c r="D126" s="24" t="str">
        <x:v>Profil latéral et attaches</x:v>
      </x:c>
      <x:c r="E126" s="22" t="str">
        <x:v>P2</x:v>
      </x:c>
      <x:c r="F126" s="22" t="str">
        <x:v>Coque individuelle SVG + PNG, non 1:1</x:v>
      </x:c>
      <x:c r="G126" s="22" t="n">
        <x:v>4.5</x:v>
      </x:c>
      <x:c r="H126" s="22" t="n">
        <x:v>0</x:v>
      </x:c>
      <x:c r="I126" s="22" t="str">
        <x:v>public/gauntlets/v132/celtic/shell-c.png</x:v>
      </x:c>
      <x:c r="J126" s="22" t="str">
        <x:v>https://predator.illfonic.com/</x:v>
      </x:c>
      <x:c r="K126" s="24" t="str">
        <x:v>Preuve technique : public/game/assets/v136/gauntlets/celtic/02-shell.svg ; fichier distinct ne vaut pas texture ni proportions 1:1 ; heures non journalisées</x:v>
      </x:c>
    </x:row>
    <x:row r="127" ht="31" customHeight="1">
      <x:c r="A127" s="22" t="str">
        <x:v>celtic</x:v>
      </x:c>
      <x:c r="B127" s="22" t="str">
        <x:v>celtic-SHELL-O</x:v>
      </x:c>
      <x:c r="C127" s="22" t="str">
        <x:v>Coque ouverte</x:v>
      </x:c>
      <x:c r="D127" s="24" t="str">
        <x:v>Charnières et trappe</x:v>
      </x:c>
      <x:c r="E127" s="22" t="str">
        <x:v>P2</x:v>
      </x:c>
      <x:c r="F127" s="22" t="str">
        <x:v>Capot ouvrable en React/CSS, animation partielle</x:v>
      </x:c>
      <x:c r="G127" s="22" t="n">
        <x:v>4.5</x:v>
      </x:c>
      <x:c r="H127" s="22" t="n">
        <x:v>0</x:v>
      </x:c>
      <x:c r="I127" s="22" t="str">
        <x:v>public/gauntlets/v132/celtic/shell-o.png</x:v>
      </x:c>
      <x:c r="J127" s="22" t="str">
        <x:v>https://predator.illfonic.com/</x:v>
      </x:c>
      <x:c r="K127" s="24" t="str">
        <x:v>Preuve technique : public/game/assets/v136/gauntlets/celtic/04-lid.svg ; fichier distinct ne vaut pas texture ni proportions 1:1 ; heures non journalisées</x:v>
      </x:c>
    </x:row>
    <x:row r="128" ht="31" customHeight="1">
      <x:c r="A128" s="22" t="str">
        <x:v>celtic</x:v>
      </x:c>
      <x:c r="B128" s="22" t="str">
        <x:v>celtic-UI-RED</x:v>
      </x:c>
      <x:c r="C128" s="22" t="str">
        <x:v>Contrôle / glyphes</x:v>
      </x:c>
      <x:c r="D128" s="24" t="str">
        <x:v>Texte + segments lumineux</x:v>
      </x:c>
      <x:c r="E128" s="22" t="str">
        <x:v>P2</x:v>
      </x:c>
      <x:c r="F128" s="22" t="str">
        <x:v>Interface distincte en SVG / couleurs non certifiées</x:v>
      </x:c>
      <x:c r="G128" s="22" t="n">
        <x:v>3</x:v>
      </x:c>
      <x:c r="H128" s="22" t="n">
        <x:v>0</x:v>
      </x:c>
      <x:c r="I128" s="22" t="str">
        <x:v>public/gauntlets/v132/celtic/ui-red.png</x:v>
      </x:c>
      <x:c r="J128" s="22" t="str">
        <x:v>https://predator.illfonic.com/</x:v>
      </x:c>
      <x:c r="K128" s="24" t="str">
        <x:v>Preuve technique : public/game/assets/v136/gauntlets/celtic/03-interface.svg ; fichier distinct ne vaut pas texture ni proportions 1:1 ; heures non journalisées</x:v>
      </x:c>
    </x:row>
    <x:row r="129" ht="31" customHeight="1">
      <x:c r="A129" s="22" t="str">
        <x:v>celtic</x:v>
      </x:c>
      <x:c r="B129" s="22" t="str">
        <x:v>celtic-RIBS</x:v>
      </x:c>
      <x:c r="C129" s="22" t="str">
        <x:v>Ribures et mécanique</x:v>
      </x:c>
      <x:c r="D129" s="24" t="str">
        <x:v>Plaques, vis, tuyaux</x:v>
      </x:c>
      <x:c r="E129" s="22" t="str">
        <x:v>P2</x:v>
      </x:c>
      <x:c r="F129" s="22" t="str">
        <x:v>Détails de coque présents, sous-pièces non séparées</x:v>
      </x:c>
      <x:c r="G129" s="22" t="n">
        <x:v>3.5</x:v>
      </x:c>
      <x:c r="H129" s="22" t="n">
        <x:v>0</x:v>
      </x:c>
      <x:c r="I129" s="22" t="str">
        <x:v>public/gauntlets/v132/celtic/ribs.png</x:v>
      </x:c>
      <x:c r="J129" s="22" t="str">
        <x:v>https://predator.illfonic.com/</x:v>
      </x:c>
      <x:c r="K129" s="24" t="str">
        <x:v>Preuve technique : public/game/assets/v136/gauntlets/celtic/02-shell.svg ; fichier distinct ne vaut pas texture ni proportions 1:1 ; heures non journalisées</x:v>
      </x:c>
    </x:row>
    <x:row r="130" ht="31" customHeight="1">
      <x:c r="A130" s="22" t="str">
        <x:v>celtic</x:v>
      </x:c>
      <x:c r="B130" s="22" t="str">
        <x:v>celtic-BEAM</x:v>
      </x:c>
      <x:c r="C130" s="22" t="str">
        <x:v>Émetteur holographique</x:v>
      </x:c>
      <x:c r="D130" s="24" t="str">
        <x:v>Projection originale de jeu</x:v>
      </x:c>
      <x:c r="E130" s="22" t="str">
        <x:v>P2</x:v>
      </x:c>
      <x:c r="F130" s="22" t="str">
        <x:v>Faisceau du projet (JH dédié, autres effet commun)</x:v>
      </x:c>
      <x:c r="G130" s="22" t="n">
        <x:v>2.5</x:v>
      </x:c>
      <x:c r="H130" s="22" t="n">
        <x:v>0</x:v>
      </x:c>
      <x:c r="I130" s="22" t="str">
        <x:v>public/gauntlets/v132/celtic/beam.png</x:v>
      </x:c>
      <x:c r="J130" s="22" t="str">
        <x:v>https://predator.illfonic.com/</x:v>
      </x:c>
      <x:c r="K130" s="24" t="str">
        <x:v>Preuve technique : app/game/ClanWarGauntletV131.tsx ; fichier distinct ne vaut pas texture ni proportions 1:1 ; heures non journalisées</x:v>
      </x:c>
    </x:row>
    <x:row r="131" ht="31" customHeight="1">
      <x:c r="A131" s="22" t="str">
        <x:v>celtic</x:v>
      </x:c>
      <x:c r="B131" s="22" t="str">
        <x:v>celtic-MOVE</x:v>
      </x:c>
      <x:c r="C131" s="22" t="str">
        <x:v>Animations 4 états</x:v>
      </x:c>
      <x:c r="D131" s="24" t="str">
        <x:v>lever, ouvrir, projeter, ranger</x:v>
      </x:c>
      <x:c r="E131" s="22" t="str">
        <x:v>P2</x:v>
      </x:c>
      <x:c r="F131" s="22" t="str">
        <x:v>Capot ouvert/fermé ; 3 gestes complets restent à faire</x:v>
      </x:c>
      <x:c r="G131" s="22" t="n">
        <x:v>5</x:v>
      </x:c>
      <x:c r="H131" s="22" t="n">
        <x:v>0</x:v>
      </x:c>
      <x:c r="I131" s="22" t="str">
        <x:v>public/gauntlets/v132/celtic/move.png</x:v>
      </x:c>
      <x:c r="J131" s="22" t="str">
        <x:v>https://predator.illfonic.com/</x:v>
      </x:c>
      <x:c r="K131" s="24" t="str">
        <x:v>Preuve technique : public/game/assets/v136/gauntlets/celtic/04-lid.svg ; fichier distinct ne vaut pas texture ni proportions 1:1 ; heures non journalisées</x:v>
      </x:c>
    </x:row>
    <x:row r="132" ht="31" customHeight="1">
      <x:c r="A132" s="22" t="str">
        <x:v>celtic</x:v>
      </x:c>
      <x:c r="B132" s="22" t="str">
        <x:v>celtic-SFX</x:v>
      </x:c>
      <x:c r="C132" s="22" t="str">
        <x:v>Identité sonore</x:v>
      </x:c>
      <x:c r="D132" s="24" t="str">
        <x:v>4 sources originales non soumises aux droits de film</x:v>
      </x:c>
      <x:c r="E132" s="22" t="str">
        <x:v>P2</x:v>
      </x:c>
      <x:c r="F132" s="22" t="str">
        <x:v>Signature sonore par thème (10 profils), source non cinéma</x:v>
      </x:c>
      <x:c r="G132" s="22" t="n">
        <x:v>2</x:v>
      </x:c>
      <x:c r="H132" s="22" t="n">
        <x:v>0</x:v>
      </x:c>
      <x:c r="I132" s="22" t="str">
        <x:v>public/gauntlets/v132/celtic/sfx.png</x:v>
      </x:c>
      <x:c r="J132" s="22" t="str">
        <x:v>https://predator.illfonic.com/</x:v>
      </x:c>
      <x:c r="K132" s="24" t="str">
        <x:v>Preuve technique : app/game/sound.ts ; fichier distinct ne vaut pas texture ni proportions 1:1 ; heures non journalisées</x:v>
      </x:c>
    </x:row>
    <x:row r="133" ht="31" customHeight="1">
      <x:c r="A133" s="22" t="str">
        <x:v>celtic</x:v>
      </x:c>
      <x:c r="B133" s="22" t="str">
        <x:v>celtic-HUD</x:v>
      </x:c>
      <x:c r="C133" s="22" t="str">
        <x:v>Palette / projection</x:v>
      </x:c>
      <x:c r="D133" s="24" t="str">
        <x:v>UI 2D/3D cohérente avec la carte</x:v>
      </x:c>
      <x:c r="E133" s="22" t="str">
        <x:v>P2</x:v>
      </x:c>
      <x:c r="F133" s="22" t="str">
        <x:v>HUD connecté / simulation intacte ; QA visuelle restante</x:v>
      </x:c>
      <x:c r="G133" s="22" t="n">
        <x:v>3.5</x:v>
      </x:c>
      <x:c r="H133" s="22" t="n">
        <x:v>0</x:v>
      </x:c>
      <x:c r="I133" s="22" t="str">
        <x:v>public/gauntlets/v132/celtic/hud.png</x:v>
      </x:c>
      <x:c r="J133" s="22" t="str">
        <x:v>https://predator.illfonic.com/</x:v>
      </x:c>
      <x:c r="K133" s="24" t="str">
        <x:v>Preuve technique : app/game/ClanWarGauntletV131.tsx ; fichier distinct ne vaut pas texture ni proportions 1:1 ; heures non journalisées</x:v>
      </x:c>
    </x:row>
    <x:row r="134" ht="31" customHeight="1">
      <x:c r="A134" s="22" t="str">
        <x:v>celtic</x:v>
      </x:c>
      <x:c r="B134" s="22" t="str">
        <x:v>celtic-QA</x:v>
      </x:c>
      <x:c r="C134" s="22" t="str">
        <x:v>Comparaisons + tests</x:v>
      </x:c>
      <x:c r="D134" s="24" t="str">
        <x:v>Pivots, alpha, mobile, focus, 3 vues</x:v>
      </x:c>
      <x:c r="E134" s="22" t="str">
        <x:v>P2</x:v>
      </x:c>
      <x:c r="F134" s="22" t="str">
        <x:v>Tests CI source / alpha / type / navigateur autonome ; 1:1 restant</x:v>
      </x:c>
      <x:c r="G134" s="22" t="n">
        <x:v>4</x:v>
      </x:c>
      <x:c r="H134" s="22" t="n">
        <x:v>0</x:v>
      </x:c>
      <x:c r="I134" s="22" t="str">
        <x:v>public/gauntlets/v132/celtic/qa.png</x:v>
      </x:c>
      <x:c r="J134" s="22" t="str">
        <x:v>https://predator.illfonic.com/</x:v>
      </x:c>
      <x:c r="K134" s="24" t="str">
        <x:v>Preuve technique : tests/gauntlet-archive-studies-v136.test.mjs ; fichier distinct ne vaut pas texture ni proportions 1:1 ; heures non journalisées</x:v>
      </x:c>
    </x:row>
    <x:row r="135" ht="31" customHeight="1">
      <x:c r="A135" s="22" t="str">
        <x:v>chopper</x:v>
      </x:c>
      <x:c r="B135" s="22" t="str">
        <x:v>chopper-ARM-L</x:v>
      </x:c>
      <x:c r="C135" s="22" t="str">
        <x:v>Bras gauche / poignet</x:v>
      </x:c>
      <x:c r="D135" s="24" t="str">
        <x:v>Pivot &amp; peau / netting</x:v>
      </x:c>
      <x:c r="E135" s="22" t="str">
        <x:v>P2</x:v>
      </x:c>
      <x:c r="F135" s="22" t="str">
        <x:v>Prototype SVG individuel + alpha PNG</x:v>
      </x:c>
      <x:c r="G135" s="22" t="n">
        <x:v>3.5</x:v>
      </x:c>
      <x:c r="H135" s="22" t="n">
        <x:v>0</x:v>
      </x:c>
      <x:c r="I135" s="22" t="str">
        <x:v>public/gauntlets/v132/chopper/arm-l.png</x:v>
      </x:c>
      <x:c r="J135" s="22" t="str">
        <x:v>https://predator.illfonic.com/</x:v>
      </x:c>
      <x:c r="K135" s="24" t="str">
        <x:v>Preuve technique : public/game/assets/v136/gauntlets/chopper/01-arm.svg ; fichier distinct ne vaut pas texture ni proportions 1:1 ; heures non journalisées</x:v>
      </x:c>
    </x:row>
    <x:row r="136" ht="31" customHeight="1">
      <x:c r="A136" s="22" t="str">
        <x:v>chopper</x:v>
      </x:c>
      <x:c r="B136" s="22" t="str">
        <x:v>chopper-SHELL-C</x:v>
      </x:c>
      <x:c r="C136" s="22" t="str">
        <x:v>Coque fermée</x:v>
      </x:c>
      <x:c r="D136" s="24" t="str">
        <x:v>Profil latéral et attaches</x:v>
      </x:c>
      <x:c r="E136" s="22" t="str">
        <x:v>P2</x:v>
      </x:c>
      <x:c r="F136" s="22" t="str">
        <x:v>Coque individuelle SVG + PNG, non 1:1</x:v>
      </x:c>
      <x:c r="G136" s="22" t="n">
        <x:v>4.5</x:v>
      </x:c>
      <x:c r="H136" s="22" t="n">
        <x:v>0</x:v>
      </x:c>
      <x:c r="I136" s="22" t="str">
        <x:v>public/gauntlets/v132/chopper/shell-c.png</x:v>
      </x:c>
      <x:c r="J136" s="22" t="str">
        <x:v>https://predator.illfonic.com/</x:v>
      </x:c>
      <x:c r="K136" s="24" t="str">
        <x:v>Preuve technique : public/game/assets/v136/gauntlets/chopper/02-shell.svg ; fichier distinct ne vaut pas texture ni proportions 1:1 ; heures non journalisées</x:v>
      </x:c>
    </x:row>
    <x:row r="137" ht="31" customHeight="1">
      <x:c r="A137" s="22" t="str">
        <x:v>chopper</x:v>
      </x:c>
      <x:c r="B137" s="22" t="str">
        <x:v>chopper-SHELL-O</x:v>
      </x:c>
      <x:c r="C137" s="22" t="str">
        <x:v>Coque ouverte</x:v>
      </x:c>
      <x:c r="D137" s="24" t="str">
        <x:v>Charnières et trappe</x:v>
      </x:c>
      <x:c r="E137" s="22" t="str">
        <x:v>P2</x:v>
      </x:c>
      <x:c r="F137" s="22" t="str">
        <x:v>Capot ouvrable en React/CSS, animation partielle</x:v>
      </x:c>
      <x:c r="G137" s="22" t="n">
        <x:v>4.5</x:v>
      </x:c>
      <x:c r="H137" s="22" t="n">
        <x:v>0</x:v>
      </x:c>
      <x:c r="I137" s="22" t="str">
        <x:v>public/gauntlets/v132/chopper/shell-o.png</x:v>
      </x:c>
      <x:c r="J137" s="22" t="str">
        <x:v>https://predator.illfonic.com/</x:v>
      </x:c>
      <x:c r="K137" s="24" t="str">
        <x:v>Preuve technique : public/game/assets/v136/gauntlets/chopper/04-lid.svg ; fichier distinct ne vaut pas texture ni proportions 1:1 ; heures non journalisées</x:v>
      </x:c>
    </x:row>
    <x:row r="138" ht="31" customHeight="1">
      <x:c r="A138" s="22" t="str">
        <x:v>chopper</x:v>
      </x:c>
      <x:c r="B138" s="22" t="str">
        <x:v>chopper-UI-RED</x:v>
      </x:c>
      <x:c r="C138" s="22" t="str">
        <x:v>Contrôle / glyphes</x:v>
      </x:c>
      <x:c r="D138" s="24" t="str">
        <x:v>Texte + segments lumineux</x:v>
      </x:c>
      <x:c r="E138" s="22" t="str">
        <x:v>P2</x:v>
      </x:c>
      <x:c r="F138" s="22" t="str">
        <x:v>Interface distincte en SVG / couleurs non certifiées</x:v>
      </x:c>
      <x:c r="G138" s="22" t="n">
        <x:v>3</x:v>
      </x:c>
      <x:c r="H138" s="22" t="n">
        <x:v>0</x:v>
      </x:c>
      <x:c r="I138" s="22" t="str">
        <x:v>public/gauntlets/v132/chopper/ui-red.png</x:v>
      </x:c>
      <x:c r="J138" s="22" t="str">
        <x:v>https://predator.illfonic.com/</x:v>
      </x:c>
      <x:c r="K138" s="24" t="str">
        <x:v>Preuve technique : public/game/assets/v136/gauntlets/chopper/03-interface.svg ; fichier distinct ne vaut pas texture ni proportions 1:1 ; heures non journalisées</x:v>
      </x:c>
    </x:row>
    <x:row r="139" ht="31" customHeight="1">
      <x:c r="A139" s="22" t="str">
        <x:v>chopper</x:v>
      </x:c>
      <x:c r="B139" s="22" t="str">
        <x:v>chopper-RIBS</x:v>
      </x:c>
      <x:c r="C139" s="22" t="str">
        <x:v>Ribures et mécanique</x:v>
      </x:c>
      <x:c r="D139" s="24" t="str">
        <x:v>Plaques, vis, tuyaux</x:v>
      </x:c>
      <x:c r="E139" s="22" t="str">
        <x:v>P2</x:v>
      </x:c>
      <x:c r="F139" s="22" t="str">
        <x:v>Détails de coque présents, sous-pièces non séparées</x:v>
      </x:c>
      <x:c r="G139" s="22" t="n">
        <x:v>3.5</x:v>
      </x:c>
      <x:c r="H139" s="22" t="n">
        <x:v>0</x:v>
      </x:c>
      <x:c r="I139" s="22" t="str">
        <x:v>public/gauntlets/v132/chopper/ribs.png</x:v>
      </x:c>
      <x:c r="J139" s="22" t="str">
        <x:v>https://predator.illfonic.com/</x:v>
      </x:c>
      <x:c r="K139" s="24" t="str">
        <x:v>Preuve technique : public/game/assets/v136/gauntlets/chopper/02-shell.svg ; fichier distinct ne vaut pas texture ni proportions 1:1 ; heures non journalisées</x:v>
      </x:c>
    </x:row>
    <x:row r="140" ht="31" customHeight="1">
      <x:c r="A140" s="22" t="str">
        <x:v>chopper</x:v>
      </x:c>
      <x:c r="B140" s="22" t="str">
        <x:v>chopper-BEAM</x:v>
      </x:c>
      <x:c r="C140" s="22" t="str">
        <x:v>Émetteur holographique</x:v>
      </x:c>
      <x:c r="D140" s="24" t="str">
        <x:v>Projection originale de jeu</x:v>
      </x:c>
      <x:c r="E140" s="22" t="str">
        <x:v>P2</x:v>
      </x:c>
      <x:c r="F140" s="22" t="str">
        <x:v>Faisceau du projet (JH dédié, autres effet commun)</x:v>
      </x:c>
      <x:c r="G140" s="22" t="n">
        <x:v>2.5</x:v>
      </x:c>
      <x:c r="H140" s="22" t="n">
        <x:v>0</x:v>
      </x:c>
      <x:c r="I140" s="22" t="str">
        <x:v>public/gauntlets/v132/chopper/beam.png</x:v>
      </x:c>
      <x:c r="J140" s="22" t="str">
        <x:v>https://predator.illfonic.com/</x:v>
      </x:c>
      <x:c r="K140" s="24" t="str">
        <x:v>Preuve technique : app/game/ClanWarGauntletV131.tsx ; fichier distinct ne vaut pas texture ni proportions 1:1 ; heures non journalisées</x:v>
      </x:c>
    </x:row>
    <x:row r="141" ht="31" customHeight="1">
      <x:c r="A141" s="22" t="str">
        <x:v>chopper</x:v>
      </x:c>
      <x:c r="B141" s="22" t="str">
        <x:v>chopper-MOVE</x:v>
      </x:c>
      <x:c r="C141" s="22" t="str">
        <x:v>Animations 4 états</x:v>
      </x:c>
      <x:c r="D141" s="24" t="str">
        <x:v>lever, ouvrir, projeter, ranger</x:v>
      </x:c>
      <x:c r="E141" s="22" t="str">
        <x:v>P2</x:v>
      </x:c>
      <x:c r="F141" s="22" t="str">
        <x:v>Capot ouvert/fermé ; 3 gestes complets restent à faire</x:v>
      </x:c>
      <x:c r="G141" s="22" t="n">
        <x:v>5</x:v>
      </x:c>
      <x:c r="H141" s="22" t="n">
        <x:v>0</x:v>
      </x:c>
      <x:c r="I141" s="22" t="str">
        <x:v>public/gauntlets/v132/chopper/move.png</x:v>
      </x:c>
      <x:c r="J141" s="22" t="str">
        <x:v>https://predator.illfonic.com/</x:v>
      </x:c>
      <x:c r="K141" s="24" t="str">
        <x:v>Preuve technique : public/game/assets/v136/gauntlets/chopper/04-lid.svg ; fichier distinct ne vaut pas texture ni proportions 1:1 ; heures non journalisées</x:v>
      </x:c>
    </x:row>
    <x:row r="142" ht="31" customHeight="1">
      <x:c r="A142" s="22" t="str">
        <x:v>chopper</x:v>
      </x:c>
      <x:c r="B142" s="22" t="str">
        <x:v>chopper-SFX</x:v>
      </x:c>
      <x:c r="C142" s="22" t="str">
        <x:v>Identité sonore</x:v>
      </x:c>
      <x:c r="D142" s="24" t="str">
        <x:v>4 sources originales non soumises aux droits de film</x:v>
      </x:c>
      <x:c r="E142" s="22" t="str">
        <x:v>P2</x:v>
      </x:c>
      <x:c r="F142" s="22" t="str">
        <x:v>Signature sonore par thème (10 profils), source non cinéma</x:v>
      </x:c>
      <x:c r="G142" s="22" t="n">
        <x:v>2</x:v>
      </x:c>
      <x:c r="H142" s="22" t="n">
        <x:v>0</x:v>
      </x:c>
      <x:c r="I142" s="22" t="str">
        <x:v>public/gauntlets/v132/chopper/sfx.png</x:v>
      </x:c>
      <x:c r="J142" s="22" t="str">
        <x:v>https://predator.illfonic.com/</x:v>
      </x:c>
      <x:c r="K142" s="24" t="str">
        <x:v>Preuve technique : app/game/sound.ts ; fichier distinct ne vaut pas texture ni proportions 1:1 ; heures non journalisées</x:v>
      </x:c>
    </x:row>
    <x:row r="143" ht="31" customHeight="1">
      <x:c r="A143" s="22" t="str">
        <x:v>chopper</x:v>
      </x:c>
      <x:c r="B143" s="22" t="str">
        <x:v>chopper-HUD</x:v>
      </x:c>
      <x:c r="C143" s="22" t="str">
        <x:v>Palette / projection</x:v>
      </x:c>
      <x:c r="D143" s="24" t="str">
        <x:v>UI 2D/3D cohérente avec la carte</x:v>
      </x:c>
      <x:c r="E143" s="22" t="str">
        <x:v>P2</x:v>
      </x:c>
      <x:c r="F143" s="22" t="str">
        <x:v>HUD connecté / simulation intacte ; QA visuelle restante</x:v>
      </x:c>
      <x:c r="G143" s="22" t="n">
        <x:v>3.5</x:v>
      </x:c>
      <x:c r="H143" s="22" t="n">
        <x:v>0</x:v>
      </x:c>
      <x:c r="I143" s="22" t="str">
        <x:v>public/gauntlets/v132/chopper/hud.png</x:v>
      </x:c>
      <x:c r="J143" s="22" t="str">
        <x:v>https://predator.illfonic.com/</x:v>
      </x:c>
      <x:c r="K143" s="24" t="str">
        <x:v>Preuve technique : app/game/ClanWarGauntletV131.tsx ; fichier distinct ne vaut pas texture ni proportions 1:1 ; heures non journalisées</x:v>
      </x:c>
    </x:row>
    <x:row r="144" ht="31" customHeight="1">
      <x:c r="A144" s="22" t="str">
        <x:v>chopper</x:v>
      </x:c>
      <x:c r="B144" s="22" t="str">
        <x:v>chopper-QA</x:v>
      </x:c>
      <x:c r="C144" s="22" t="str">
        <x:v>Comparaisons + tests</x:v>
      </x:c>
      <x:c r="D144" s="24" t="str">
        <x:v>Pivots, alpha, mobile, focus, 3 vues</x:v>
      </x:c>
      <x:c r="E144" s="22" t="str">
        <x:v>P2</x:v>
      </x:c>
      <x:c r="F144" s="22" t="str">
        <x:v>Tests CI source / alpha / type / navigateur autonome ; 1:1 restant</x:v>
      </x:c>
      <x:c r="G144" s="22" t="n">
        <x:v>4</x:v>
      </x:c>
      <x:c r="H144" s="22" t="n">
        <x:v>0</x:v>
      </x:c>
      <x:c r="I144" s="22" t="str">
        <x:v>public/gauntlets/v132/chopper/qa.png</x:v>
      </x:c>
      <x:c r="J144" s="22" t="str">
        <x:v>https://predator.illfonic.com/</x:v>
      </x:c>
      <x:c r="K144" s="24" t="str">
        <x:v>Preuve technique : tests/gauntlet-archive-studies-v136.test.mjs ; fichier distinct ne vaut pas texture ni proportions 1:1 ; heures non journalisées</x:v>
      </x:c>
    </x:row>
    <x:row r="145" ht="31" customHeight="1">
      <x:c r="A145" s="22" t="str">
        <x:v>avp-elder</x:v>
      </x:c>
      <x:c r="B145" s="22" t="str">
        <x:v>avp-elder-ARM-L</x:v>
      </x:c>
      <x:c r="C145" s="22" t="str">
        <x:v>Bras gauche / poignet</x:v>
      </x:c>
      <x:c r="D145" s="24" t="str">
        <x:v>Pivot &amp; peau / netting</x:v>
      </x:c>
      <x:c r="E145" s="22" t="str">
        <x:v>P2</x:v>
      </x:c>
      <x:c r="F145" s="22" t="str">
        <x:v>Prototype SVG individuel + alpha PNG</x:v>
      </x:c>
      <x:c r="G145" s="22" t="n">
        <x:v>3.5</x:v>
      </x:c>
      <x:c r="H145" s="22" t="n">
        <x:v>0</x:v>
      </x:c>
      <x:c r="I145" s="22" t="str">
        <x:v>public/gauntlets/v132/avp-elder/arm-l.png</x:v>
      </x:c>
      <x:c r="J145" s="22" t="str">
        <x:v>https://www.avpgalaxy.net/merch/neca/predator/series/</x:v>
      </x:c>
      <x:c r="K145" s="24" t="str">
        <x:v>Preuve technique : public/game/assets/v136/gauntlets/avp-elder/01-arm.svg ; fichier distinct ne vaut pas texture ni proportions 1:1 ; heures non journalisées</x:v>
      </x:c>
    </x:row>
    <x:row r="146" ht="31" customHeight="1">
      <x:c r="A146" s="22" t="str">
        <x:v>avp-elder</x:v>
      </x:c>
      <x:c r="B146" s="22" t="str">
        <x:v>avp-elder-SHELL-C</x:v>
      </x:c>
      <x:c r="C146" s="22" t="str">
        <x:v>Coque fermée</x:v>
      </x:c>
      <x:c r="D146" s="24" t="str">
        <x:v>Profil latéral et attaches</x:v>
      </x:c>
      <x:c r="E146" s="22" t="str">
        <x:v>P2</x:v>
      </x:c>
      <x:c r="F146" s="22" t="str">
        <x:v>Coque individuelle SVG + PNG, non 1:1</x:v>
      </x:c>
      <x:c r="G146" s="22" t="n">
        <x:v>4.5</x:v>
      </x:c>
      <x:c r="H146" s="22" t="n">
        <x:v>0</x:v>
      </x:c>
      <x:c r="I146" s="22" t="str">
        <x:v>public/gauntlets/v132/avp-elder/shell-c.png</x:v>
      </x:c>
      <x:c r="J146" s="22" t="str">
        <x:v>https://www.avpgalaxy.net/merch/neca/predator/series/</x:v>
      </x:c>
      <x:c r="K146" s="24" t="str">
        <x:v>Preuve technique : public/game/assets/v136/gauntlets/avp-elder/02-shell.svg ; fichier distinct ne vaut pas texture ni proportions 1:1 ; heures non journalisées</x:v>
      </x:c>
    </x:row>
    <x:row r="147" ht="31" customHeight="1">
      <x:c r="A147" s="22" t="str">
        <x:v>avp-elder</x:v>
      </x:c>
      <x:c r="B147" s="22" t="str">
        <x:v>avp-elder-SHELL-O</x:v>
      </x:c>
      <x:c r="C147" s="22" t="str">
        <x:v>Coque ouverte</x:v>
      </x:c>
      <x:c r="D147" s="24" t="str">
        <x:v>Charnières et trappe</x:v>
      </x:c>
      <x:c r="E147" s="22" t="str">
        <x:v>P2</x:v>
      </x:c>
      <x:c r="F147" s="22" t="str">
        <x:v>Capot ouvrable en React/CSS, animation partielle</x:v>
      </x:c>
      <x:c r="G147" s="22" t="n">
        <x:v>4.5</x:v>
      </x:c>
      <x:c r="H147" s="22" t="n">
        <x:v>0</x:v>
      </x:c>
      <x:c r="I147" s="22" t="str">
        <x:v>public/gauntlets/v132/avp-elder/shell-o.png</x:v>
      </x:c>
      <x:c r="J147" s="22" t="str">
        <x:v>https://www.avpgalaxy.net/merch/neca/predator/series/</x:v>
      </x:c>
      <x:c r="K147" s="24" t="str">
        <x:v>Preuve technique : public/game/assets/v136/gauntlets/avp-elder/04-lid.svg ; fichier distinct ne vaut pas texture ni proportions 1:1 ; heures non journalisées</x:v>
      </x:c>
    </x:row>
    <x:row r="148" ht="31" customHeight="1">
      <x:c r="A148" s="22" t="str">
        <x:v>avp-elder</x:v>
      </x:c>
      <x:c r="B148" s="22" t="str">
        <x:v>avp-elder-UI-RED</x:v>
      </x:c>
      <x:c r="C148" s="22" t="str">
        <x:v>Contrôle / glyphes</x:v>
      </x:c>
      <x:c r="D148" s="24" t="str">
        <x:v>Texte + segments lumineux</x:v>
      </x:c>
      <x:c r="E148" s="22" t="str">
        <x:v>P2</x:v>
      </x:c>
      <x:c r="F148" s="22" t="str">
        <x:v>Interface distincte en SVG / couleurs non certifiées</x:v>
      </x:c>
      <x:c r="G148" s="22" t="n">
        <x:v>3</x:v>
      </x:c>
      <x:c r="H148" s="22" t="n">
        <x:v>0</x:v>
      </x:c>
      <x:c r="I148" s="22" t="str">
        <x:v>public/gauntlets/v132/avp-elder/ui-red.png</x:v>
      </x:c>
      <x:c r="J148" s="22" t="str">
        <x:v>https://www.avpgalaxy.net/merch/neca/predator/series/</x:v>
      </x:c>
      <x:c r="K148" s="24" t="str">
        <x:v>Preuve technique : public/game/assets/v136/gauntlets/avp-elder/03-interface.svg ; fichier distinct ne vaut pas texture ni proportions 1:1 ; heures non journalisées</x:v>
      </x:c>
    </x:row>
    <x:row r="149" ht="31" customHeight="1">
      <x:c r="A149" s="22" t="str">
        <x:v>avp-elder</x:v>
      </x:c>
      <x:c r="B149" s="22" t="str">
        <x:v>avp-elder-RIBS</x:v>
      </x:c>
      <x:c r="C149" s="22" t="str">
        <x:v>Ribures et mécanique</x:v>
      </x:c>
      <x:c r="D149" s="24" t="str">
        <x:v>Plaques, vis, tuyaux</x:v>
      </x:c>
      <x:c r="E149" s="22" t="str">
        <x:v>P2</x:v>
      </x:c>
      <x:c r="F149" s="22" t="str">
        <x:v>Détails de coque présents, sous-pièces non séparées</x:v>
      </x:c>
      <x:c r="G149" s="22" t="n">
        <x:v>3.5</x:v>
      </x:c>
      <x:c r="H149" s="22" t="n">
        <x:v>0</x:v>
      </x:c>
      <x:c r="I149" s="22" t="str">
        <x:v>public/gauntlets/v132/avp-elder/ribs.png</x:v>
      </x:c>
      <x:c r="J149" s="22" t="str">
        <x:v>https://www.avpgalaxy.net/merch/neca/predator/series/</x:v>
      </x:c>
      <x:c r="K149" s="24" t="str">
        <x:v>Preuve technique : public/game/assets/v136/gauntlets/avp-elder/02-shell.svg ; fichier distinct ne vaut pas texture ni proportions 1:1 ; heures non journalisées</x:v>
      </x:c>
    </x:row>
    <x:row r="150" ht="31" customHeight="1">
      <x:c r="A150" s="22" t="str">
        <x:v>avp-elder</x:v>
      </x:c>
      <x:c r="B150" s="22" t="str">
        <x:v>avp-elder-BEAM</x:v>
      </x:c>
      <x:c r="C150" s="22" t="str">
        <x:v>Émetteur holographique</x:v>
      </x:c>
      <x:c r="D150" s="24" t="str">
        <x:v>Projection originale de jeu</x:v>
      </x:c>
      <x:c r="E150" s="22" t="str">
        <x:v>P2</x:v>
      </x:c>
      <x:c r="F150" s="22" t="str">
        <x:v>Faisceau du projet (JH dédié, autres effet commun)</x:v>
      </x:c>
      <x:c r="G150" s="22" t="n">
        <x:v>2.5</x:v>
      </x:c>
      <x:c r="H150" s="22" t="n">
        <x:v>0</x:v>
      </x:c>
      <x:c r="I150" s="22" t="str">
        <x:v>public/gauntlets/v132/avp-elder/beam.png</x:v>
      </x:c>
      <x:c r="J150" s="22" t="str">
        <x:v>https://www.avpgalaxy.net/merch/neca/predator/series/</x:v>
      </x:c>
      <x:c r="K150" s="24" t="str">
        <x:v>Preuve technique : app/game/ClanWarGauntletV131.tsx ; fichier distinct ne vaut pas texture ni proportions 1:1 ; heures non journalisées</x:v>
      </x:c>
    </x:row>
    <x:row r="151" ht="31" customHeight="1">
      <x:c r="A151" s="22" t="str">
        <x:v>avp-elder</x:v>
      </x:c>
      <x:c r="B151" s="22" t="str">
        <x:v>avp-elder-MOVE</x:v>
      </x:c>
      <x:c r="C151" s="22" t="str">
        <x:v>Animations 4 états</x:v>
      </x:c>
      <x:c r="D151" s="24" t="str">
        <x:v>lever, ouvrir, projeter, ranger</x:v>
      </x:c>
      <x:c r="E151" s="22" t="str">
        <x:v>P2</x:v>
      </x:c>
      <x:c r="F151" s="22" t="str">
        <x:v>Capot ouvert/fermé ; 3 gestes complets restent à faire</x:v>
      </x:c>
      <x:c r="G151" s="22" t="n">
        <x:v>5</x:v>
      </x:c>
      <x:c r="H151" s="22" t="n">
        <x:v>0</x:v>
      </x:c>
      <x:c r="I151" s="22" t="str">
        <x:v>public/gauntlets/v132/avp-elder/move.png</x:v>
      </x:c>
      <x:c r="J151" s="22" t="str">
        <x:v>https://www.avpgalaxy.net/merch/neca/predator/series/</x:v>
      </x:c>
      <x:c r="K151" s="24" t="str">
        <x:v>Preuve technique : public/game/assets/v136/gauntlets/avp-elder/04-lid.svg ; fichier distinct ne vaut pas texture ni proportions 1:1 ; heures non journalisées</x:v>
      </x:c>
    </x:row>
    <x:row r="152" ht="31" customHeight="1">
      <x:c r="A152" s="22" t="str">
        <x:v>avp-elder</x:v>
      </x:c>
      <x:c r="B152" s="22" t="str">
        <x:v>avp-elder-SFX</x:v>
      </x:c>
      <x:c r="C152" s="22" t="str">
        <x:v>Identité sonore</x:v>
      </x:c>
      <x:c r="D152" s="24" t="str">
        <x:v>4 sources originales non soumises aux droits de film</x:v>
      </x:c>
      <x:c r="E152" s="22" t="str">
        <x:v>P2</x:v>
      </x:c>
      <x:c r="F152" s="22" t="str">
        <x:v>Signature sonore par thème (10 profils), source non cinéma</x:v>
      </x:c>
      <x:c r="G152" s="22" t="n">
        <x:v>2</x:v>
      </x:c>
      <x:c r="H152" s="22" t="n">
        <x:v>0</x:v>
      </x:c>
      <x:c r="I152" s="22" t="str">
        <x:v>public/gauntlets/v132/avp-elder/sfx.png</x:v>
      </x:c>
      <x:c r="J152" s="22" t="str">
        <x:v>https://www.avpgalaxy.net/merch/neca/predator/series/</x:v>
      </x:c>
      <x:c r="K152" s="24" t="str">
        <x:v>Preuve technique : app/game/sound.ts ; fichier distinct ne vaut pas texture ni proportions 1:1 ; heures non journalisées</x:v>
      </x:c>
    </x:row>
    <x:row r="153" ht="31" customHeight="1">
      <x:c r="A153" s="22" t="str">
        <x:v>avp-elder</x:v>
      </x:c>
      <x:c r="B153" s="22" t="str">
        <x:v>avp-elder-HUD</x:v>
      </x:c>
      <x:c r="C153" s="22" t="str">
        <x:v>Palette / projection</x:v>
      </x:c>
      <x:c r="D153" s="24" t="str">
        <x:v>UI 2D/3D cohérente avec la carte</x:v>
      </x:c>
      <x:c r="E153" s="22" t="str">
        <x:v>P2</x:v>
      </x:c>
      <x:c r="F153" s="22" t="str">
        <x:v>HUD connecté / simulation intacte ; QA visuelle restante</x:v>
      </x:c>
      <x:c r="G153" s="22" t="n">
        <x:v>3.5</x:v>
      </x:c>
      <x:c r="H153" s="22" t="n">
        <x:v>0</x:v>
      </x:c>
      <x:c r="I153" s="22" t="str">
        <x:v>public/gauntlets/v132/avp-elder/hud.png</x:v>
      </x:c>
      <x:c r="J153" s="22" t="str">
        <x:v>https://www.avpgalaxy.net/merch/neca/predator/series/</x:v>
      </x:c>
      <x:c r="K153" s="24" t="str">
        <x:v>Preuve technique : app/game/ClanWarGauntletV131.tsx ; fichier distinct ne vaut pas texture ni proportions 1:1 ; heures non journalisées</x:v>
      </x:c>
    </x:row>
    <x:row r="154" ht="31" customHeight="1">
      <x:c r="A154" s="22" t="str">
        <x:v>avp-elder</x:v>
      </x:c>
      <x:c r="B154" s="22" t="str">
        <x:v>avp-elder-QA</x:v>
      </x:c>
      <x:c r="C154" s="22" t="str">
        <x:v>Comparaisons + tests</x:v>
      </x:c>
      <x:c r="D154" s="24" t="str">
        <x:v>Pivots, alpha, mobile, focus, 3 vues</x:v>
      </x:c>
      <x:c r="E154" s="22" t="str">
        <x:v>P2</x:v>
      </x:c>
      <x:c r="F154" s="22" t="str">
        <x:v>Tests CI source / alpha / type / navigateur autonome ; 1:1 restant</x:v>
      </x:c>
      <x:c r="G154" s="22" t="n">
        <x:v>4</x:v>
      </x:c>
      <x:c r="H154" s="22" t="n">
        <x:v>0</x:v>
      </x:c>
      <x:c r="I154" s="22" t="str">
        <x:v>public/gauntlets/v132/avp-elder/qa.png</x:v>
      </x:c>
      <x:c r="J154" s="22" t="str">
        <x:v>https://www.avpgalaxy.net/merch/neca/predator/series/</x:v>
      </x:c>
      <x:c r="K154" s="24" t="str">
        <x:v>Preuve technique : tests/gauntlet-archive-studies-v136.test.mjs ; fichier distinct ne vaut pas texture ni proportions 1:1 ; heures non journalisées</x:v>
      </x:c>
    </x:row>
    <x:row r="155" ht="31" customHeight="1">
      <x:c r="A155" s="22" t="str">
        <x:v>wolf</x:v>
      </x:c>
      <x:c r="B155" s="22" t="str">
        <x:v>wolf-ARM-L</x:v>
      </x:c>
      <x:c r="C155" s="22" t="str">
        <x:v>Bras gauche / poignet</x:v>
      </x:c>
      <x:c r="D155" s="24" t="str">
        <x:v>Pivot &amp; peau / netting</x:v>
      </x:c>
      <x:c r="E155" s="22" t="str">
        <x:v>P1</x:v>
      </x:c>
      <x:c r="F155" s="22" t="str">
        <x:v>Prototype SVG individuel + alpha PNG</x:v>
      </x:c>
      <x:c r="G155" s="22" t="n">
        <x:v>3.5</x:v>
      </x:c>
      <x:c r="H155" s="22" t="n">
        <x:v>0</x:v>
      </x:c>
      <x:c r="I155" s="22" t="str">
        <x:v>public/gauntlets/v132/wolf/arm-l.png</x:v>
      </x:c>
      <x:c r="J155" s="22" t="str">
        <x:v>https://predator.illfonic.com/</x:v>
      </x:c>
      <x:c r="K155" s="24" t="str">
        <x:v>Preuve technique : public/game/assets/v135/gauntlets/wolf/01-forearm.svg ; fichier distinct ne vaut pas texture ni proportions 1:1 ; heures non journalisées</x:v>
      </x:c>
    </x:row>
    <x:row r="156" ht="31" customHeight="1">
      <x:c r="A156" s="22" t="str">
        <x:v>wolf</x:v>
      </x:c>
      <x:c r="B156" s="22" t="str">
        <x:v>wolf-SHELL-C</x:v>
      </x:c>
      <x:c r="C156" s="22" t="str">
        <x:v>Coque fermée</x:v>
      </x:c>
      <x:c r="D156" s="24" t="str">
        <x:v>Profil latéral et attaches</x:v>
      </x:c>
      <x:c r="E156" s="22" t="str">
        <x:v>P1</x:v>
      </x:c>
      <x:c r="F156" s="22" t="str">
        <x:v>Coque individuelle SVG + PNG, non 1:1</x:v>
      </x:c>
      <x:c r="G156" s="22" t="n">
        <x:v>4.5</x:v>
      </x:c>
      <x:c r="H156" s="22" t="n">
        <x:v>0</x:v>
      </x:c>
      <x:c r="I156" s="22" t="str">
        <x:v>public/gauntlets/v132/wolf/shell-c.png</x:v>
      </x:c>
      <x:c r="J156" s="22" t="str">
        <x:v>https://predator.illfonic.com/</x:v>
      </x:c>
      <x:c r="K156" s="24" t="str">
        <x:v>Preuve technique : public/game/assets/v135/gauntlets/wolf/02-shell.svg ; fichier distinct ne vaut pas texture ni proportions 1:1 ; heures non journalisées</x:v>
      </x:c>
    </x:row>
    <x:row r="157" ht="31" customHeight="1">
      <x:c r="A157" s="22" t="str">
        <x:v>wolf</x:v>
      </x:c>
      <x:c r="B157" s="22" t="str">
        <x:v>wolf-SHELL-O</x:v>
      </x:c>
      <x:c r="C157" s="22" t="str">
        <x:v>Coque ouverte</x:v>
      </x:c>
      <x:c r="D157" s="24" t="str">
        <x:v>Charnières et trappe</x:v>
      </x:c>
      <x:c r="E157" s="22" t="str">
        <x:v>P1</x:v>
      </x:c>
      <x:c r="F157" s="22" t="str">
        <x:v>Capot ouvrable en React/CSS, animation partielle</x:v>
      </x:c>
      <x:c r="G157" s="22" t="n">
        <x:v>4.5</x:v>
      </x:c>
      <x:c r="H157" s="22" t="n">
        <x:v>0</x:v>
      </x:c>
      <x:c r="I157" s="22" t="str">
        <x:v>public/gauntlets/v132/wolf/shell-o.png</x:v>
      </x:c>
      <x:c r="J157" s="22" t="str">
        <x:v>https://predator.illfonic.com/</x:v>
      </x:c>
      <x:c r="K157" s="24" t="str">
        <x:v>Preuve technique : public/game/assets/v135/gauntlets/wolf/04-cover.svg ; fichier distinct ne vaut pas texture ni proportions 1:1 ; heures non journalisées</x:v>
      </x:c>
    </x:row>
    <x:row r="158" ht="31" customHeight="1">
      <x:c r="A158" s="22" t="str">
        <x:v>wolf</x:v>
      </x:c>
      <x:c r="B158" s="22" t="str">
        <x:v>wolf-UI-RED</x:v>
      </x:c>
      <x:c r="C158" s="22" t="str">
        <x:v>Contrôle / glyphes</x:v>
      </x:c>
      <x:c r="D158" s="24" t="str">
        <x:v>Texte + segments lumineux</x:v>
      </x:c>
      <x:c r="E158" s="22" t="str">
        <x:v>P1</x:v>
      </x:c>
      <x:c r="F158" s="22" t="str">
        <x:v>Interface distincte en SVG / couleurs non certifiées</x:v>
      </x:c>
      <x:c r="G158" s="22" t="n">
        <x:v>3</x:v>
      </x:c>
      <x:c r="H158" s="22" t="n">
        <x:v>0</x:v>
      </x:c>
      <x:c r="I158" s="22" t="str">
        <x:v>public/gauntlets/v132/wolf/ui-red.png</x:v>
      </x:c>
      <x:c r="J158" s="22" t="str">
        <x:v>https://predator.illfonic.com/</x:v>
      </x:c>
      <x:c r="K158" s="24" t="str">
        <x:v>Preuve technique : public/game/assets/v135/gauntlets/wolf/03-panel.svg ; fichier distinct ne vaut pas texture ni proportions 1:1 ; heures non journalisées</x:v>
      </x:c>
    </x:row>
    <x:row r="159" ht="31" customHeight="1">
      <x:c r="A159" s="22" t="str">
        <x:v>wolf</x:v>
      </x:c>
      <x:c r="B159" s="22" t="str">
        <x:v>wolf-RIBS</x:v>
      </x:c>
      <x:c r="C159" s="22" t="str">
        <x:v>Ribures et mécanique</x:v>
      </x:c>
      <x:c r="D159" s="24" t="str">
        <x:v>Plaques, vis, tuyaux</x:v>
      </x:c>
      <x:c r="E159" s="22" t="str">
        <x:v>P1</x:v>
      </x:c>
      <x:c r="F159" s="22" t="str">
        <x:v>Détails de coque présents, sous-pièces non séparées</x:v>
      </x:c>
      <x:c r="G159" s="22" t="n">
        <x:v>3.5</x:v>
      </x:c>
      <x:c r="H159" s="22" t="n">
        <x:v>0</x:v>
      </x:c>
      <x:c r="I159" s="22" t="str">
        <x:v>public/gauntlets/v132/wolf/ribs.png</x:v>
      </x:c>
      <x:c r="J159" s="22" t="str">
        <x:v>https://predator.illfonic.com/</x:v>
      </x:c>
      <x:c r="K159" s="24" t="str">
        <x:v>Preuve technique : public/game/assets/v135/gauntlets/wolf/02-shell.svg ; fichier distinct ne vaut pas texture ni proportions 1:1 ; heures non journalisées</x:v>
      </x:c>
    </x:row>
    <x:row r="160" ht="31" customHeight="1">
      <x:c r="A160" s="22" t="str">
        <x:v>wolf</x:v>
      </x:c>
      <x:c r="B160" s="22" t="str">
        <x:v>wolf-BEAM</x:v>
      </x:c>
      <x:c r="C160" s="22" t="str">
        <x:v>Émetteur holographique</x:v>
      </x:c>
      <x:c r="D160" s="24" t="str">
        <x:v>Projection originale de jeu</x:v>
      </x:c>
      <x:c r="E160" s="22" t="str">
        <x:v>P1</x:v>
      </x:c>
      <x:c r="F160" s="22" t="str">
        <x:v>Faisceau du projet (JH dédié, autres effet commun)</x:v>
      </x:c>
      <x:c r="G160" s="22" t="n">
        <x:v>2.5</x:v>
      </x:c>
      <x:c r="H160" s="22" t="n">
        <x:v>0</x:v>
      </x:c>
      <x:c r="I160" s="22" t="str">
        <x:v>public/gauntlets/v132/wolf/beam.png</x:v>
      </x:c>
      <x:c r="J160" s="22" t="str">
        <x:v>https://predator.illfonic.com/</x:v>
      </x:c>
      <x:c r="K160" s="24" t="str">
        <x:v>Preuve technique : app/game/ClanWarGauntletV131.tsx ; fichier distinct ne vaut pas texture ni proportions 1:1 ; heures non journalisées</x:v>
      </x:c>
    </x:row>
    <x:row r="161" ht="31" customHeight="1">
      <x:c r="A161" s="22" t="str">
        <x:v>wolf</x:v>
      </x:c>
      <x:c r="B161" s="22" t="str">
        <x:v>wolf-MOVE</x:v>
      </x:c>
      <x:c r="C161" s="22" t="str">
        <x:v>Animations 4 états</x:v>
      </x:c>
      <x:c r="D161" s="24" t="str">
        <x:v>lever, ouvrir, projeter, ranger</x:v>
      </x:c>
      <x:c r="E161" s="22" t="str">
        <x:v>P1</x:v>
      </x:c>
      <x:c r="F161" s="22" t="str">
        <x:v>Capot ouvert/fermé ; 3 gestes complets restent à faire</x:v>
      </x:c>
      <x:c r="G161" s="22" t="n">
        <x:v>5</x:v>
      </x:c>
      <x:c r="H161" s="22" t="n">
        <x:v>0</x:v>
      </x:c>
      <x:c r="I161" s="22" t="str">
        <x:v>public/gauntlets/v132/wolf/move.png</x:v>
      </x:c>
      <x:c r="J161" s="22" t="str">
        <x:v>https://predator.illfonic.com/</x:v>
      </x:c>
      <x:c r="K161" s="24" t="str">
        <x:v>Preuve technique : public/game/assets/v135/gauntlets/wolf/04-cover.svg ; fichier distinct ne vaut pas texture ni proportions 1:1 ; heures non journalisées</x:v>
      </x:c>
    </x:row>
    <x:row r="162" ht="31" customHeight="1">
      <x:c r="A162" s="22" t="str">
        <x:v>wolf</x:v>
      </x:c>
      <x:c r="B162" s="22" t="str">
        <x:v>wolf-SFX</x:v>
      </x:c>
      <x:c r="C162" s="22" t="str">
        <x:v>Identité sonore</x:v>
      </x:c>
      <x:c r="D162" s="24" t="str">
        <x:v>4 sources originales non soumises aux droits de film</x:v>
      </x:c>
      <x:c r="E162" s="22" t="str">
        <x:v>P1</x:v>
      </x:c>
      <x:c r="F162" s="22" t="str">
        <x:v>Signature sonore par thème (10 profils), source non cinéma</x:v>
      </x:c>
      <x:c r="G162" s="22" t="n">
        <x:v>2</x:v>
      </x:c>
      <x:c r="H162" s="22" t="n">
        <x:v>0</x:v>
      </x:c>
      <x:c r="I162" s="22" t="str">
        <x:v>public/gauntlets/v132/wolf/sfx.png</x:v>
      </x:c>
      <x:c r="J162" s="22" t="str">
        <x:v>https://predator.illfonic.com/</x:v>
      </x:c>
      <x:c r="K162" s="24" t="str">
        <x:v>Preuve technique : app/game/sound.ts ; fichier distinct ne vaut pas texture ni proportions 1:1 ; heures non journalisées</x:v>
      </x:c>
    </x:row>
    <x:row r="163" ht="31" customHeight="1">
      <x:c r="A163" s="22" t="str">
        <x:v>wolf</x:v>
      </x:c>
      <x:c r="B163" s="22" t="str">
        <x:v>wolf-HUD</x:v>
      </x:c>
      <x:c r="C163" s="22" t="str">
        <x:v>Palette / projection</x:v>
      </x:c>
      <x:c r="D163" s="24" t="str">
        <x:v>UI 2D/3D cohérente avec la carte</x:v>
      </x:c>
      <x:c r="E163" s="22" t="str">
        <x:v>P1</x:v>
      </x:c>
      <x:c r="F163" s="22" t="str">
        <x:v>HUD connecté / simulation intacte ; QA visuelle restante</x:v>
      </x:c>
      <x:c r="G163" s="22" t="n">
        <x:v>3.5</x:v>
      </x:c>
      <x:c r="H163" s="22" t="n">
        <x:v>0</x:v>
      </x:c>
      <x:c r="I163" s="22" t="str">
        <x:v>public/gauntlets/v132/wolf/hud.png</x:v>
      </x:c>
      <x:c r="J163" s="22" t="str">
        <x:v>https://predator.illfonic.com/</x:v>
      </x:c>
      <x:c r="K163" s="24" t="str">
        <x:v>Preuve technique : app/game/ClanWarGauntletV131.tsx ; fichier distinct ne vaut pas texture ni proportions 1:1 ; heures non journalisées</x:v>
      </x:c>
    </x:row>
    <x:row r="164" ht="31" customHeight="1">
      <x:c r="A164" s="22" t="str">
        <x:v>wolf</x:v>
      </x:c>
      <x:c r="B164" s="22" t="str">
        <x:v>wolf-QA</x:v>
      </x:c>
      <x:c r="C164" s="22" t="str">
        <x:v>Comparaisons + tests</x:v>
      </x:c>
      <x:c r="D164" s="24" t="str">
        <x:v>Pivots, alpha, mobile, focus, 3 vues</x:v>
      </x:c>
      <x:c r="E164" s="22" t="str">
        <x:v>P1</x:v>
      </x:c>
      <x:c r="F164" s="22" t="str">
        <x:v>Tests CI source / alpha / type / navigateur autonome ; 1:1 restant</x:v>
      </x:c>
      <x:c r="G164" s="22" t="n">
        <x:v>4</x:v>
      </x:c>
      <x:c r="H164" s="22" t="n">
        <x:v>0</x:v>
      </x:c>
      <x:c r="I164" s="22" t="str">
        <x:v>public/gauntlets/v132/wolf/qa.png</x:v>
      </x:c>
      <x:c r="J164" s="22" t="str">
        <x:v>https://predator.illfonic.com/</x:v>
      </x:c>
      <x:c r="K164" s="24" t="str">
        <x:v>Preuve technique : tests/gauntlet-archive-studies-v136.test.mjs ; fichier distinct ne vaut pas texture ni proportions 1:1 ; heures non journalisées</x:v>
      </x:c>
    </x:row>
    <x:row r="165" ht="31" customHeight="1">
      <x:c r="A165" s="22" t="str">
        <x:v>captured-classic</x:v>
      </x:c>
      <x:c r="B165" s="22" t="str">
        <x:v>captured-classic-ARM-L</x:v>
      </x:c>
      <x:c r="C165" s="22" t="str">
        <x:v>Bras gauche / poignet</x:v>
      </x:c>
      <x:c r="D165" s="24" t="str">
        <x:v>Pivot &amp; peau / netting</x:v>
      </x:c>
      <x:c r="E165" s="22" t="str">
        <x:v>P1</x:v>
      </x:c>
      <x:c r="F165" s="22" t="str">
        <x:v>Prototype SVG individuel + alpha PNG</x:v>
      </x:c>
      <x:c r="G165" s="22" t="n">
        <x:v>3.5</x:v>
      </x:c>
      <x:c r="H165" s="22" t="n">
        <x:v>0</x:v>
      </x:c>
      <x:c r="I165" s="22" t="str">
        <x:v>public/gauntlets/v132/captured-classic/arm-l.png</x:v>
      </x:c>
      <x:c r="J165" s="22" t="str">
        <x:v>https://predator.illfonic.com/</x:v>
      </x:c>
      <x:c r="K165" s="24" t="str">
        <x:v>Preuve technique : public/game/assets/v136/gauntlets/captured-classic/01-arm.svg ; fichier distinct ne vaut pas texture ni proportions 1:1 ; heures non journalisées</x:v>
      </x:c>
    </x:row>
    <x:row r="166" ht="31" customHeight="1">
      <x:c r="A166" s="22" t="str">
        <x:v>captured-classic</x:v>
      </x:c>
      <x:c r="B166" s="22" t="str">
        <x:v>captured-classic-SHELL-C</x:v>
      </x:c>
      <x:c r="C166" s="22" t="str">
        <x:v>Coque fermée</x:v>
      </x:c>
      <x:c r="D166" s="24" t="str">
        <x:v>Profil latéral et attaches</x:v>
      </x:c>
      <x:c r="E166" s="22" t="str">
        <x:v>P1</x:v>
      </x:c>
      <x:c r="F166" s="22" t="str">
        <x:v>Coque individuelle SVG + PNG, non 1:1</x:v>
      </x:c>
      <x:c r="G166" s="22" t="n">
        <x:v>4.5</x:v>
      </x:c>
      <x:c r="H166" s="22" t="n">
        <x:v>0</x:v>
      </x:c>
      <x:c r="I166" s="22" t="str">
        <x:v>public/gauntlets/v132/captured-classic/shell-c.png</x:v>
      </x:c>
      <x:c r="J166" s="22" t="str">
        <x:v>https://predator.illfonic.com/</x:v>
      </x:c>
      <x:c r="K166" s="24" t="str">
        <x:v>Preuve technique : public/game/assets/v136/gauntlets/captured-classic/02-shell.svg ; fichier distinct ne vaut pas texture ni proportions 1:1 ; heures non journalisées</x:v>
      </x:c>
    </x:row>
    <x:row r="167" ht="31" customHeight="1">
      <x:c r="A167" s="22" t="str">
        <x:v>captured-classic</x:v>
      </x:c>
      <x:c r="B167" s="22" t="str">
        <x:v>captured-classic-SHELL-O</x:v>
      </x:c>
      <x:c r="C167" s="22" t="str">
        <x:v>Coque ouverte</x:v>
      </x:c>
      <x:c r="D167" s="24" t="str">
        <x:v>Charnières et trappe</x:v>
      </x:c>
      <x:c r="E167" s="22" t="str">
        <x:v>P1</x:v>
      </x:c>
      <x:c r="F167" s="22" t="str">
        <x:v>Capot ouvrable en React/CSS, animation partielle</x:v>
      </x:c>
      <x:c r="G167" s="22" t="n">
        <x:v>4.5</x:v>
      </x:c>
      <x:c r="H167" s="22" t="n">
        <x:v>0</x:v>
      </x:c>
      <x:c r="I167" s="22" t="str">
        <x:v>public/gauntlets/v132/captured-classic/shell-o.png</x:v>
      </x:c>
      <x:c r="J167" s="22" t="str">
        <x:v>https://predator.illfonic.com/</x:v>
      </x:c>
      <x:c r="K167" s="24" t="str">
        <x:v>Preuve technique : public/game/assets/v136/gauntlets/captured-classic/04-lid.svg ; fichier distinct ne vaut pas texture ni proportions 1:1 ; heures non journalisées</x:v>
      </x:c>
    </x:row>
    <x:row r="168" ht="31" customHeight="1">
      <x:c r="A168" s="22" t="str">
        <x:v>captured-classic</x:v>
      </x:c>
      <x:c r="B168" s="22" t="str">
        <x:v>captured-classic-UI-RED</x:v>
      </x:c>
      <x:c r="C168" s="22" t="str">
        <x:v>Contrôle / glyphes</x:v>
      </x:c>
      <x:c r="D168" s="24" t="str">
        <x:v>Texte + segments lumineux</x:v>
      </x:c>
      <x:c r="E168" s="22" t="str">
        <x:v>P1</x:v>
      </x:c>
      <x:c r="F168" s="22" t="str">
        <x:v>Interface distincte en SVG / couleurs non certifiées</x:v>
      </x:c>
      <x:c r="G168" s="22" t="n">
        <x:v>3</x:v>
      </x:c>
      <x:c r="H168" s="22" t="n">
        <x:v>0</x:v>
      </x:c>
      <x:c r="I168" s="22" t="str">
        <x:v>public/gauntlets/v132/captured-classic/ui-red.png</x:v>
      </x:c>
      <x:c r="J168" s="22" t="str">
        <x:v>https://predator.illfonic.com/</x:v>
      </x:c>
      <x:c r="K168" s="24" t="str">
        <x:v>Preuve technique : public/game/assets/v136/gauntlets/captured-classic/03-interface.svg ; fichier distinct ne vaut pas texture ni proportions 1:1 ; heures non journalisées</x:v>
      </x:c>
    </x:row>
    <x:row r="169" ht="31" customHeight="1">
      <x:c r="A169" s="22" t="str">
        <x:v>captured-classic</x:v>
      </x:c>
      <x:c r="B169" s="22" t="str">
        <x:v>captured-classic-RIBS</x:v>
      </x:c>
      <x:c r="C169" s="22" t="str">
        <x:v>Ribures et mécanique</x:v>
      </x:c>
      <x:c r="D169" s="24" t="str">
        <x:v>Plaques, vis, tuyaux</x:v>
      </x:c>
      <x:c r="E169" s="22" t="str">
        <x:v>P1</x:v>
      </x:c>
      <x:c r="F169" s="22" t="str">
        <x:v>Détails de coque présents, sous-pièces non séparées</x:v>
      </x:c>
      <x:c r="G169" s="22" t="n">
        <x:v>3.5</x:v>
      </x:c>
      <x:c r="H169" s="22" t="n">
        <x:v>0</x:v>
      </x:c>
      <x:c r="I169" s="22" t="str">
        <x:v>public/gauntlets/v132/captured-classic/ribs.png</x:v>
      </x:c>
      <x:c r="J169" s="22" t="str">
        <x:v>https://predator.illfonic.com/</x:v>
      </x:c>
      <x:c r="K169" s="24" t="str">
        <x:v>Preuve technique : public/game/assets/v136/gauntlets/captured-classic/02-shell.svg ; fichier distinct ne vaut pas texture ni proportions 1:1 ; heures non journalisées</x:v>
      </x:c>
    </x:row>
    <x:row r="170" ht="31" customHeight="1">
      <x:c r="A170" s="22" t="str">
        <x:v>captured-classic</x:v>
      </x:c>
      <x:c r="B170" s="22" t="str">
        <x:v>captured-classic-BEAM</x:v>
      </x:c>
      <x:c r="C170" s="22" t="str">
        <x:v>Émetteur holographique</x:v>
      </x:c>
      <x:c r="D170" s="24" t="str">
        <x:v>Projection originale de jeu</x:v>
      </x:c>
      <x:c r="E170" s="22" t="str">
        <x:v>P1</x:v>
      </x:c>
      <x:c r="F170" s="22" t="str">
        <x:v>Faisceau du projet (JH dédié, autres effet commun)</x:v>
      </x:c>
      <x:c r="G170" s="22" t="n">
        <x:v>2.5</x:v>
      </x:c>
      <x:c r="H170" s="22" t="n">
        <x:v>0</x:v>
      </x:c>
      <x:c r="I170" s="22" t="str">
        <x:v>public/gauntlets/v132/captured-classic/beam.png</x:v>
      </x:c>
      <x:c r="J170" s="22" t="str">
        <x:v>https://predator.illfonic.com/</x:v>
      </x:c>
      <x:c r="K170" s="24" t="str">
        <x:v>Preuve technique : app/game/ClanWarGauntletV131.tsx ; fichier distinct ne vaut pas texture ni proportions 1:1 ; heures non journalisées</x:v>
      </x:c>
    </x:row>
    <x:row r="171" ht="31" customHeight="1">
      <x:c r="A171" s="22" t="str">
        <x:v>captured-classic</x:v>
      </x:c>
      <x:c r="B171" s="22" t="str">
        <x:v>captured-classic-MOVE</x:v>
      </x:c>
      <x:c r="C171" s="22" t="str">
        <x:v>Animations 4 états</x:v>
      </x:c>
      <x:c r="D171" s="24" t="str">
        <x:v>lever, ouvrir, projeter, ranger</x:v>
      </x:c>
      <x:c r="E171" s="22" t="str">
        <x:v>P1</x:v>
      </x:c>
      <x:c r="F171" s="22" t="str">
        <x:v>Capot ouvert/fermé ; 3 gestes complets restent à faire</x:v>
      </x:c>
      <x:c r="G171" s="22" t="n">
        <x:v>5</x:v>
      </x:c>
      <x:c r="H171" s="22" t="n">
        <x:v>0</x:v>
      </x:c>
      <x:c r="I171" s="22" t="str">
        <x:v>public/gauntlets/v132/captured-classic/move.png</x:v>
      </x:c>
      <x:c r="J171" s="22" t="str">
        <x:v>https://predator.illfonic.com/</x:v>
      </x:c>
      <x:c r="K171" s="24" t="str">
        <x:v>Preuve technique : public/game/assets/v136/gauntlets/captured-classic/04-lid.svg ; fichier distinct ne vaut pas texture ni proportions 1:1 ; heures non journalisées</x:v>
      </x:c>
    </x:row>
    <x:row r="172" ht="31" customHeight="1">
      <x:c r="A172" s="22" t="str">
        <x:v>captured-classic</x:v>
      </x:c>
      <x:c r="B172" s="22" t="str">
        <x:v>captured-classic-SFX</x:v>
      </x:c>
      <x:c r="C172" s="22" t="str">
        <x:v>Identité sonore</x:v>
      </x:c>
      <x:c r="D172" s="24" t="str">
        <x:v>4 sources originales non soumises aux droits de film</x:v>
      </x:c>
      <x:c r="E172" s="22" t="str">
        <x:v>P1</x:v>
      </x:c>
      <x:c r="F172" s="22" t="str">
        <x:v>Signature sonore par thème (10 profils), source non cinéma</x:v>
      </x:c>
      <x:c r="G172" s="22" t="n">
        <x:v>2</x:v>
      </x:c>
      <x:c r="H172" s="22" t="n">
        <x:v>0</x:v>
      </x:c>
      <x:c r="I172" s="22" t="str">
        <x:v>public/gauntlets/v132/captured-classic/sfx.png</x:v>
      </x:c>
      <x:c r="J172" s="22" t="str">
        <x:v>https://predator.illfonic.com/</x:v>
      </x:c>
      <x:c r="K172" s="24" t="str">
        <x:v>Preuve technique : app/game/sound.ts ; fichier distinct ne vaut pas texture ni proportions 1:1 ; heures non journalisées</x:v>
      </x:c>
    </x:row>
    <x:row r="173" ht="31" customHeight="1">
      <x:c r="A173" s="22" t="str">
        <x:v>captured-classic</x:v>
      </x:c>
      <x:c r="B173" s="22" t="str">
        <x:v>captured-classic-HUD</x:v>
      </x:c>
      <x:c r="C173" s="22" t="str">
        <x:v>Palette / projection</x:v>
      </x:c>
      <x:c r="D173" s="24" t="str">
        <x:v>UI 2D/3D cohérente avec la carte</x:v>
      </x:c>
      <x:c r="E173" s="22" t="str">
        <x:v>P1</x:v>
      </x:c>
      <x:c r="F173" s="22" t="str">
        <x:v>HUD connecté / simulation intacte ; QA visuelle restante</x:v>
      </x:c>
      <x:c r="G173" s="22" t="n">
        <x:v>3.5</x:v>
      </x:c>
      <x:c r="H173" s="22" t="n">
        <x:v>0</x:v>
      </x:c>
      <x:c r="I173" s="22" t="str">
        <x:v>public/gauntlets/v132/captured-classic/hud.png</x:v>
      </x:c>
      <x:c r="J173" s="22" t="str">
        <x:v>https://predator.illfonic.com/</x:v>
      </x:c>
      <x:c r="K173" s="24" t="str">
        <x:v>Preuve technique : app/game/ClanWarGauntletV131.tsx ; fichier distinct ne vaut pas texture ni proportions 1:1 ; heures non journalisées</x:v>
      </x:c>
    </x:row>
    <x:row r="174" ht="31" customHeight="1">
      <x:c r="A174" s="22" t="str">
        <x:v>captured-classic</x:v>
      </x:c>
      <x:c r="B174" s="22" t="str">
        <x:v>captured-classic-QA</x:v>
      </x:c>
      <x:c r="C174" s="22" t="str">
        <x:v>Comparaisons + tests</x:v>
      </x:c>
      <x:c r="D174" s="24" t="str">
        <x:v>Pivots, alpha, mobile, focus, 3 vues</x:v>
      </x:c>
      <x:c r="E174" s="22" t="str">
        <x:v>P1</x:v>
      </x:c>
      <x:c r="F174" s="22" t="str">
        <x:v>Tests CI source / alpha / type / navigateur autonome ; 1:1 restant</x:v>
      </x:c>
      <x:c r="G174" s="22" t="n">
        <x:v>4</x:v>
      </x:c>
      <x:c r="H174" s="22" t="n">
        <x:v>0</x:v>
      </x:c>
      <x:c r="I174" s="22" t="str">
        <x:v>public/gauntlets/v132/captured-classic/qa.png</x:v>
      </x:c>
      <x:c r="J174" s="22" t="str">
        <x:v>https://predator.illfonic.com/</x:v>
      </x:c>
      <x:c r="K174" s="24" t="str">
        <x:v>Preuve technique : tests/gauntlet-archive-studies-v136.test.mjs ; fichier distinct ne vaut pas texture ni proportions 1:1 ; heures non journalisées</x:v>
      </x:c>
    </x:row>
    <x:row r="175" ht="31" customHeight="1">
      <x:c r="A175" s="22" t="str">
        <x:v>berserker-2010</x:v>
      </x:c>
      <x:c r="B175" s="22" t="str">
        <x:v>berserker-2010-ARM-L</x:v>
      </x:c>
      <x:c r="C175" s="22" t="str">
        <x:v>Bras gauche / poignet</x:v>
      </x:c>
      <x:c r="D175" s="24" t="str">
        <x:v>Pivot &amp; peau / netting</x:v>
      </x:c>
      <x:c r="E175" s="22" t="str">
        <x:v>P2</x:v>
      </x:c>
      <x:c r="F175" s="22" t="str">
        <x:v>Prototype SVG individuel + alpha PNG</x:v>
      </x:c>
      <x:c r="G175" s="22" t="n">
        <x:v>3.5</x:v>
      </x:c>
      <x:c r="H175" s="22" t="n">
        <x:v>0</x:v>
      </x:c>
      <x:c r="I175" s="22" t="str">
        <x:v>public/gauntlets/v132/berserker-2010/arm-l.png</x:v>
      </x:c>
      <x:c r="J175" s="22" t="str">
        <x:v>https://predator.illfonic.com/</x:v>
      </x:c>
      <x:c r="K175" s="24" t="str">
        <x:v>Preuve technique : public/game/assets/v136/gauntlets/berserker-2010/01-arm.svg ; fichier distinct ne vaut pas texture ni proportions 1:1 ; heures non journalisées</x:v>
      </x:c>
    </x:row>
    <x:row r="176" ht="31" customHeight="1">
      <x:c r="A176" s="22" t="str">
        <x:v>berserker-2010</x:v>
      </x:c>
      <x:c r="B176" s="22" t="str">
        <x:v>berserker-2010-SHELL-C</x:v>
      </x:c>
      <x:c r="C176" s="22" t="str">
        <x:v>Coque fermée</x:v>
      </x:c>
      <x:c r="D176" s="24" t="str">
        <x:v>Profil latéral et attaches</x:v>
      </x:c>
      <x:c r="E176" s="22" t="str">
        <x:v>P2</x:v>
      </x:c>
      <x:c r="F176" s="22" t="str">
        <x:v>Coque individuelle SVG + PNG, non 1:1</x:v>
      </x:c>
      <x:c r="G176" s="22" t="n">
        <x:v>4.5</x:v>
      </x:c>
      <x:c r="H176" s="22" t="n">
        <x:v>0</x:v>
      </x:c>
      <x:c r="I176" s="22" t="str">
        <x:v>public/gauntlets/v132/berserker-2010/shell-c.png</x:v>
      </x:c>
      <x:c r="J176" s="22" t="str">
        <x:v>https://predator.illfonic.com/</x:v>
      </x:c>
      <x:c r="K176" s="24" t="str">
        <x:v>Preuve technique : public/game/assets/v136/gauntlets/berserker-2010/02-shell.svg ; fichier distinct ne vaut pas texture ni proportions 1:1 ; heures non journalisées</x:v>
      </x:c>
    </x:row>
    <x:row r="177" ht="31" customHeight="1">
      <x:c r="A177" s="22" t="str">
        <x:v>berserker-2010</x:v>
      </x:c>
      <x:c r="B177" s="22" t="str">
        <x:v>berserker-2010-SHELL-O</x:v>
      </x:c>
      <x:c r="C177" s="22" t="str">
        <x:v>Coque ouverte</x:v>
      </x:c>
      <x:c r="D177" s="24" t="str">
        <x:v>Charnières et trappe</x:v>
      </x:c>
      <x:c r="E177" s="22" t="str">
        <x:v>P2</x:v>
      </x:c>
      <x:c r="F177" s="22" t="str">
        <x:v>Capot ouvrable en React/CSS, animation partielle</x:v>
      </x:c>
      <x:c r="G177" s="22" t="n">
        <x:v>4.5</x:v>
      </x:c>
      <x:c r="H177" s="22" t="n">
        <x:v>0</x:v>
      </x:c>
      <x:c r="I177" s="22" t="str">
        <x:v>public/gauntlets/v132/berserker-2010/shell-o.png</x:v>
      </x:c>
      <x:c r="J177" s="22" t="str">
        <x:v>https://predator.illfonic.com/</x:v>
      </x:c>
      <x:c r="K177" s="24" t="str">
        <x:v>Preuve technique : public/game/assets/v136/gauntlets/berserker-2010/04-lid.svg ; fichier distinct ne vaut pas texture ni proportions 1:1 ; heures non journalisées</x:v>
      </x:c>
    </x:row>
    <x:row r="178" ht="31" customHeight="1">
      <x:c r="A178" s="22" t="str">
        <x:v>berserker-2010</x:v>
      </x:c>
      <x:c r="B178" s="22" t="str">
        <x:v>berserker-2010-UI-RED</x:v>
      </x:c>
      <x:c r="C178" s="22" t="str">
        <x:v>Contrôle / glyphes</x:v>
      </x:c>
      <x:c r="D178" s="24" t="str">
        <x:v>Texte + segments lumineux</x:v>
      </x:c>
      <x:c r="E178" s="22" t="str">
        <x:v>P2</x:v>
      </x:c>
      <x:c r="F178" s="22" t="str">
        <x:v>Interface distincte en SVG / couleurs non certifiées</x:v>
      </x:c>
      <x:c r="G178" s="22" t="n">
        <x:v>3</x:v>
      </x:c>
      <x:c r="H178" s="22" t="n">
        <x:v>0</x:v>
      </x:c>
      <x:c r="I178" s="22" t="str">
        <x:v>public/gauntlets/v132/berserker-2010/ui-red.png</x:v>
      </x:c>
      <x:c r="J178" s="22" t="str">
        <x:v>https://predator.illfonic.com/</x:v>
      </x:c>
      <x:c r="K178" s="24" t="str">
        <x:v>Preuve technique : public/game/assets/v136/gauntlets/berserker-2010/03-interface.svg ; fichier distinct ne vaut pas texture ni proportions 1:1 ; heures non journalisées</x:v>
      </x:c>
    </x:row>
    <x:row r="179" ht="31" customHeight="1">
      <x:c r="A179" s="22" t="str">
        <x:v>berserker-2010</x:v>
      </x:c>
      <x:c r="B179" s="22" t="str">
        <x:v>berserker-2010-RIBS</x:v>
      </x:c>
      <x:c r="C179" s="22" t="str">
        <x:v>Ribures et mécanique</x:v>
      </x:c>
      <x:c r="D179" s="24" t="str">
        <x:v>Plaques, vis, tuyaux</x:v>
      </x:c>
      <x:c r="E179" s="22" t="str">
        <x:v>P2</x:v>
      </x:c>
      <x:c r="F179" s="22" t="str">
        <x:v>Détails de coque présents, sous-pièces non séparées</x:v>
      </x:c>
      <x:c r="G179" s="22" t="n">
        <x:v>3.5</x:v>
      </x:c>
      <x:c r="H179" s="22" t="n">
        <x:v>0</x:v>
      </x:c>
      <x:c r="I179" s="22" t="str">
        <x:v>public/gauntlets/v132/berserker-2010/ribs.png</x:v>
      </x:c>
      <x:c r="J179" s="22" t="str">
        <x:v>https://predator.illfonic.com/</x:v>
      </x:c>
      <x:c r="K179" s="24" t="str">
        <x:v>Preuve technique : public/game/assets/v136/gauntlets/berserker-2010/02-shell.svg ; fichier distinct ne vaut pas texture ni proportions 1:1 ; heures non journalisées</x:v>
      </x:c>
    </x:row>
    <x:row r="180" ht="31" customHeight="1">
      <x:c r="A180" s="22" t="str">
        <x:v>berserker-2010</x:v>
      </x:c>
      <x:c r="B180" s="22" t="str">
        <x:v>berserker-2010-BEAM</x:v>
      </x:c>
      <x:c r="C180" s="22" t="str">
        <x:v>Émetteur holographique</x:v>
      </x:c>
      <x:c r="D180" s="24" t="str">
        <x:v>Projection originale de jeu</x:v>
      </x:c>
      <x:c r="E180" s="22" t="str">
        <x:v>P2</x:v>
      </x:c>
      <x:c r="F180" s="22" t="str">
        <x:v>Faisceau du projet (JH dédié, autres effet commun)</x:v>
      </x:c>
      <x:c r="G180" s="22" t="n">
        <x:v>2.5</x:v>
      </x:c>
      <x:c r="H180" s="22" t="n">
        <x:v>0</x:v>
      </x:c>
      <x:c r="I180" s="22" t="str">
        <x:v>public/gauntlets/v132/berserker-2010/beam.png</x:v>
      </x:c>
      <x:c r="J180" s="22" t="str">
        <x:v>https://predator.illfonic.com/</x:v>
      </x:c>
      <x:c r="K180" s="24" t="str">
        <x:v>Preuve technique : app/game/ClanWarGauntletV131.tsx ; fichier distinct ne vaut pas texture ni proportions 1:1 ; heures non journalisées</x:v>
      </x:c>
    </x:row>
    <x:row r="181" ht="31" customHeight="1">
      <x:c r="A181" s="22" t="str">
        <x:v>berserker-2010</x:v>
      </x:c>
      <x:c r="B181" s="22" t="str">
        <x:v>berserker-2010-MOVE</x:v>
      </x:c>
      <x:c r="C181" s="22" t="str">
        <x:v>Animations 4 états</x:v>
      </x:c>
      <x:c r="D181" s="24" t="str">
        <x:v>lever, ouvrir, projeter, ranger</x:v>
      </x:c>
      <x:c r="E181" s="22" t="str">
        <x:v>P2</x:v>
      </x:c>
      <x:c r="F181" s="22" t="str">
        <x:v>Capot ouvert/fermé ; 3 gestes complets restent à faire</x:v>
      </x:c>
      <x:c r="G181" s="22" t="n">
        <x:v>5</x:v>
      </x:c>
      <x:c r="H181" s="22" t="n">
        <x:v>0</x:v>
      </x:c>
      <x:c r="I181" s="22" t="str">
        <x:v>public/gauntlets/v132/berserker-2010/move.png</x:v>
      </x:c>
      <x:c r="J181" s="22" t="str">
        <x:v>https://predator.illfonic.com/</x:v>
      </x:c>
      <x:c r="K181" s="24" t="str">
        <x:v>Preuve technique : public/game/assets/v136/gauntlets/berserker-2010/04-lid.svg ; fichier distinct ne vaut pas texture ni proportions 1:1 ; heures non journalisées</x:v>
      </x:c>
    </x:row>
    <x:row r="182" ht="31" customHeight="1">
      <x:c r="A182" s="22" t="str">
        <x:v>berserker-2010</x:v>
      </x:c>
      <x:c r="B182" s="22" t="str">
        <x:v>berserker-2010-SFX</x:v>
      </x:c>
      <x:c r="C182" s="22" t="str">
        <x:v>Identité sonore</x:v>
      </x:c>
      <x:c r="D182" s="24" t="str">
        <x:v>4 sources originales non soumises aux droits de film</x:v>
      </x:c>
      <x:c r="E182" s="22" t="str">
        <x:v>P2</x:v>
      </x:c>
      <x:c r="F182" s="22" t="str">
        <x:v>Signature sonore par thème (10 profils), source non cinéma</x:v>
      </x:c>
      <x:c r="G182" s="22" t="n">
        <x:v>2</x:v>
      </x:c>
      <x:c r="H182" s="22" t="n">
        <x:v>0</x:v>
      </x:c>
      <x:c r="I182" s="22" t="str">
        <x:v>public/gauntlets/v132/berserker-2010/sfx.png</x:v>
      </x:c>
      <x:c r="J182" s="22" t="str">
        <x:v>https://predator.illfonic.com/</x:v>
      </x:c>
      <x:c r="K182" s="24" t="str">
        <x:v>Preuve technique : app/game/sound.ts ; fichier distinct ne vaut pas texture ni proportions 1:1 ; heures non journalisées</x:v>
      </x:c>
    </x:row>
    <x:row r="183" ht="31" customHeight="1">
      <x:c r="A183" s="22" t="str">
        <x:v>berserker-2010</x:v>
      </x:c>
      <x:c r="B183" s="22" t="str">
        <x:v>berserker-2010-HUD</x:v>
      </x:c>
      <x:c r="C183" s="22" t="str">
        <x:v>Palette / projection</x:v>
      </x:c>
      <x:c r="D183" s="24" t="str">
        <x:v>UI 2D/3D cohérente avec la carte</x:v>
      </x:c>
      <x:c r="E183" s="22" t="str">
        <x:v>P2</x:v>
      </x:c>
      <x:c r="F183" s="22" t="str">
        <x:v>HUD connecté / simulation intacte ; QA visuelle restante</x:v>
      </x:c>
      <x:c r="G183" s="22" t="n">
        <x:v>3.5</x:v>
      </x:c>
      <x:c r="H183" s="22" t="n">
        <x:v>0</x:v>
      </x:c>
      <x:c r="I183" s="22" t="str">
        <x:v>public/gauntlets/v132/berserker-2010/hud.png</x:v>
      </x:c>
      <x:c r="J183" s="22" t="str">
        <x:v>https://predator.illfonic.com/</x:v>
      </x:c>
      <x:c r="K183" s="24" t="str">
        <x:v>Preuve technique : app/game/ClanWarGauntletV131.tsx ; fichier distinct ne vaut pas texture ni proportions 1:1 ; heures non journalisées</x:v>
      </x:c>
    </x:row>
    <x:row r="184" ht="31" customHeight="1">
      <x:c r="A184" s="22" t="str">
        <x:v>berserker-2010</x:v>
      </x:c>
      <x:c r="B184" s="22" t="str">
        <x:v>berserker-2010-QA</x:v>
      </x:c>
      <x:c r="C184" s="22" t="str">
        <x:v>Comparaisons + tests</x:v>
      </x:c>
      <x:c r="D184" s="24" t="str">
        <x:v>Pivots, alpha, mobile, focus, 3 vues</x:v>
      </x:c>
      <x:c r="E184" s="22" t="str">
        <x:v>P2</x:v>
      </x:c>
      <x:c r="F184" s="22" t="str">
        <x:v>Tests CI source / alpha / type / navigateur autonome ; 1:1 restant</x:v>
      </x:c>
      <x:c r="G184" s="22" t="n">
        <x:v>4</x:v>
      </x:c>
      <x:c r="H184" s="22" t="n">
        <x:v>0</x:v>
      </x:c>
      <x:c r="I184" s="22" t="str">
        <x:v>public/gauntlets/v132/berserker-2010/qa.png</x:v>
      </x:c>
      <x:c r="J184" s="22" t="str">
        <x:v>https://predator.illfonic.com/</x:v>
      </x:c>
      <x:c r="K184" s="24" t="str">
        <x:v>Preuve technique : tests/gauntlet-archive-studies-v136.test.mjs ; fichier distinct ne vaut pas texture ni proportions 1:1 ; heures non journalisées</x:v>
      </x:c>
    </x:row>
    <x:row r="185" ht="31" customHeight="1">
      <x:c r="A185" s="22" t="str">
        <x:v>falconer-2010</x:v>
      </x:c>
      <x:c r="B185" s="22" t="str">
        <x:v>falconer-2010-ARM-L</x:v>
      </x:c>
      <x:c r="C185" s="22" t="str">
        <x:v>Bras gauche / poignet</x:v>
      </x:c>
      <x:c r="D185" s="24" t="str">
        <x:v>Pivot &amp; peau / netting</x:v>
      </x:c>
      <x:c r="E185" s="22" t="str">
        <x:v>P2</x:v>
      </x:c>
      <x:c r="F185" s="22" t="str">
        <x:v>Prototype SVG individuel + alpha PNG</x:v>
      </x:c>
      <x:c r="G185" s="22" t="n">
        <x:v>3.5</x:v>
      </x:c>
      <x:c r="H185" s="22" t="n">
        <x:v>0</x:v>
      </x:c>
      <x:c r="I185" s="22" t="str">
        <x:v>public/gauntlets/v132/falconer-2010/arm-l.png</x:v>
      </x:c>
      <x:c r="J185" s="22" t="str">
        <x:v>https://predator.illfonic.com/</x:v>
      </x:c>
      <x:c r="K185" s="24" t="str">
        <x:v>Preuve technique : public/game/assets/v136/gauntlets/falconer-2010/01-arm.svg ; fichier distinct ne vaut pas texture ni proportions 1:1 ; heures non journalisées</x:v>
      </x:c>
    </x:row>
    <x:row r="186" ht="31" customHeight="1">
      <x:c r="A186" s="22" t="str">
        <x:v>falconer-2010</x:v>
      </x:c>
      <x:c r="B186" s="22" t="str">
        <x:v>falconer-2010-SHELL-C</x:v>
      </x:c>
      <x:c r="C186" s="22" t="str">
        <x:v>Coque fermée</x:v>
      </x:c>
      <x:c r="D186" s="24" t="str">
        <x:v>Profil latéral et attaches</x:v>
      </x:c>
      <x:c r="E186" s="22" t="str">
        <x:v>P2</x:v>
      </x:c>
      <x:c r="F186" s="22" t="str">
        <x:v>Coque individuelle SVG + PNG, non 1:1</x:v>
      </x:c>
      <x:c r="G186" s="22" t="n">
        <x:v>4.5</x:v>
      </x:c>
      <x:c r="H186" s="22" t="n">
        <x:v>0</x:v>
      </x:c>
      <x:c r="I186" s="22" t="str">
        <x:v>public/gauntlets/v132/falconer-2010/shell-c.png</x:v>
      </x:c>
      <x:c r="J186" s="22" t="str">
        <x:v>https://predator.illfonic.com/</x:v>
      </x:c>
      <x:c r="K186" s="24" t="str">
        <x:v>Preuve technique : public/game/assets/v136/gauntlets/falconer-2010/02-shell.svg ; fichier distinct ne vaut pas texture ni proportions 1:1 ; heures non journalisées</x:v>
      </x:c>
    </x:row>
    <x:row r="187" ht="31" customHeight="1">
      <x:c r="A187" s="22" t="str">
        <x:v>falconer-2010</x:v>
      </x:c>
      <x:c r="B187" s="22" t="str">
        <x:v>falconer-2010-SHELL-O</x:v>
      </x:c>
      <x:c r="C187" s="22" t="str">
        <x:v>Coque ouverte</x:v>
      </x:c>
      <x:c r="D187" s="24" t="str">
        <x:v>Charnières et trappe</x:v>
      </x:c>
      <x:c r="E187" s="22" t="str">
        <x:v>P2</x:v>
      </x:c>
      <x:c r="F187" s="22" t="str">
        <x:v>Capot ouvrable en React/CSS, animation partielle</x:v>
      </x:c>
      <x:c r="G187" s="22" t="n">
        <x:v>4.5</x:v>
      </x:c>
      <x:c r="H187" s="22" t="n">
        <x:v>0</x:v>
      </x:c>
      <x:c r="I187" s="22" t="str">
        <x:v>public/gauntlets/v132/falconer-2010/shell-o.png</x:v>
      </x:c>
      <x:c r="J187" s="22" t="str">
        <x:v>https://predator.illfonic.com/</x:v>
      </x:c>
      <x:c r="K187" s="24" t="str">
        <x:v>Preuve technique : public/game/assets/v136/gauntlets/falconer-2010/04-lid.svg ; fichier distinct ne vaut pas texture ni proportions 1:1 ; heures non journalisées</x:v>
      </x:c>
    </x:row>
    <x:row r="188" ht="31" customHeight="1">
      <x:c r="A188" s="22" t="str">
        <x:v>falconer-2010</x:v>
      </x:c>
      <x:c r="B188" s="22" t="str">
        <x:v>falconer-2010-UI-RED</x:v>
      </x:c>
      <x:c r="C188" s="22" t="str">
        <x:v>Contrôle / glyphes</x:v>
      </x:c>
      <x:c r="D188" s="24" t="str">
        <x:v>Texte + segments lumineux</x:v>
      </x:c>
      <x:c r="E188" s="22" t="str">
        <x:v>P2</x:v>
      </x:c>
      <x:c r="F188" s="22" t="str">
        <x:v>Interface distincte en SVG / couleurs non certifiées</x:v>
      </x:c>
      <x:c r="G188" s="22" t="n">
        <x:v>3</x:v>
      </x:c>
      <x:c r="H188" s="22" t="n">
        <x:v>0</x:v>
      </x:c>
      <x:c r="I188" s="22" t="str">
        <x:v>public/gauntlets/v132/falconer-2010/ui-red.png</x:v>
      </x:c>
      <x:c r="J188" s="22" t="str">
        <x:v>https://predator.illfonic.com/</x:v>
      </x:c>
      <x:c r="K188" s="24" t="str">
        <x:v>Preuve technique : public/game/assets/v136/gauntlets/falconer-2010/03-interface.svg ; fichier distinct ne vaut pas texture ni proportions 1:1 ; heures non journalisées</x:v>
      </x:c>
    </x:row>
    <x:row r="189" ht="31" customHeight="1">
      <x:c r="A189" s="22" t="str">
        <x:v>falconer-2010</x:v>
      </x:c>
      <x:c r="B189" s="22" t="str">
        <x:v>falconer-2010-RIBS</x:v>
      </x:c>
      <x:c r="C189" s="22" t="str">
        <x:v>Ribures et mécanique</x:v>
      </x:c>
      <x:c r="D189" s="24" t="str">
        <x:v>Plaques, vis, tuyaux</x:v>
      </x:c>
      <x:c r="E189" s="22" t="str">
        <x:v>P2</x:v>
      </x:c>
      <x:c r="F189" s="22" t="str">
        <x:v>Détails de coque présents, sous-pièces non séparées</x:v>
      </x:c>
      <x:c r="G189" s="22" t="n">
        <x:v>3.5</x:v>
      </x:c>
      <x:c r="H189" s="22" t="n">
        <x:v>0</x:v>
      </x:c>
      <x:c r="I189" s="22" t="str">
        <x:v>public/gauntlets/v132/falconer-2010/ribs.png</x:v>
      </x:c>
      <x:c r="J189" s="22" t="str">
        <x:v>https://predator.illfonic.com/</x:v>
      </x:c>
      <x:c r="K189" s="24" t="str">
        <x:v>Preuve technique : public/game/assets/v136/gauntlets/falconer-2010/02-shell.svg ; fichier distinct ne vaut pas texture ni proportions 1:1 ; heures non journalisées</x:v>
      </x:c>
    </x:row>
    <x:row r="190" ht="31" customHeight="1">
      <x:c r="A190" s="22" t="str">
        <x:v>falconer-2010</x:v>
      </x:c>
      <x:c r="B190" s="22" t="str">
        <x:v>falconer-2010-BEAM</x:v>
      </x:c>
      <x:c r="C190" s="22" t="str">
        <x:v>Émetteur holographique</x:v>
      </x:c>
      <x:c r="D190" s="24" t="str">
        <x:v>Projection originale de jeu</x:v>
      </x:c>
      <x:c r="E190" s="22" t="str">
        <x:v>P2</x:v>
      </x:c>
      <x:c r="F190" s="22" t="str">
        <x:v>Faisceau du projet (JH dédié, autres effet commun)</x:v>
      </x:c>
      <x:c r="G190" s="22" t="n">
        <x:v>2.5</x:v>
      </x:c>
      <x:c r="H190" s="22" t="n">
        <x:v>0</x:v>
      </x:c>
      <x:c r="I190" s="22" t="str">
        <x:v>public/gauntlets/v132/falconer-2010/beam.png</x:v>
      </x:c>
      <x:c r="J190" s="22" t="str">
        <x:v>https://predator.illfonic.com/</x:v>
      </x:c>
      <x:c r="K190" s="24" t="str">
        <x:v>Preuve technique : app/game/ClanWarGauntletV131.tsx ; fichier distinct ne vaut pas texture ni proportions 1:1 ; heures non journalisées</x:v>
      </x:c>
    </x:row>
    <x:row r="191" ht="31" customHeight="1">
      <x:c r="A191" s="22" t="str">
        <x:v>falconer-2010</x:v>
      </x:c>
      <x:c r="B191" s="22" t="str">
        <x:v>falconer-2010-MOVE</x:v>
      </x:c>
      <x:c r="C191" s="22" t="str">
        <x:v>Animations 4 états</x:v>
      </x:c>
      <x:c r="D191" s="24" t="str">
        <x:v>lever, ouvrir, projeter, ranger</x:v>
      </x:c>
      <x:c r="E191" s="22" t="str">
        <x:v>P2</x:v>
      </x:c>
      <x:c r="F191" s="22" t="str">
        <x:v>Capot ouvert/fermé ; 3 gestes complets restent à faire</x:v>
      </x:c>
      <x:c r="G191" s="22" t="n">
        <x:v>5</x:v>
      </x:c>
      <x:c r="H191" s="22" t="n">
        <x:v>0</x:v>
      </x:c>
      <x:c r="I191" s="22" t="str">
        <x:v>public/gauntlets/v132/falconer-2010/move.png</x:v>
      </x:c>
      <x:c r="J191" s="22" t="str">
        <x:v>https://predator.illfonic.com/</x:v>
      </x:c>
      <x:c r="K191" s="24" t="str">
        <x:v>Preuve technique : public/game/assets/v136/gauntlets/falconer-2010/04-lid.svg ; fichier distinct ne vaut pas texture ni proportions 1:1 ; heures non journalisées</x:v>
      </x:c>
    </x:row>
    <x:row r="192" ht="31" customHeight="1">
      <x:c r="A192" s="22" t="str">
        <x:v>falconer-2010</x:v>
      </x:c>
      <x:c r="B192" s="22" t="str">
        <x:v>falconer-2010-SFX</x:v>
      </x:c>
      <x:c r="C192" s="22" t="str">
        <x:v>Identité sonore</x:v>
      </x:c>
      <x:c r="D192" s="24" t="str">
        <x:v>4 sources originales non soumises aux droits de film</x:v>
      </x:c>
      <x:c r="E192" s="22" t="str">
        <x:v>P2</x:v>
      </x:c>
      <x:c r="F192" s="22" t="str">
        <x:v>Signature sonore par thème (10 profils), source non cinéma</x:v>
      </x:c>
      <x:c r="G192" s="22" t="n">
        <x:v>2</x:v>
      </x:c>
      <x:c r="H192" s="22" t="n">
        <x:v>0</x:v>
      </x:c>
      <x:c r="I192" s="22" t="str">
        <x:v>public/gauntlets/v132/falconer-2010/sfx.png</x:v>
      </x:c>
      <x:c r="J192" s="22" t="str">
        <x:v>https://predator.illfonic.com/</x:v>
      </x:c>
      <x:c r="K192" s="24" t="str">
        <x:v>Preuve technique : app/game/sound.ts ; fichier distinct ne vaut pas texture ni proportions 1:1 ; heures non journalisées</x:v>
      </x:c>
    </x:row>
    <x:row r="193" ht="31" customHeight="1">
      <x:c r="A193" s="22" t="str">
        <x:v>falconer-2010</x:v>
      </x:c>
      <x:c r="B193" s="22" t="str">
        <x:v>falconer-2010-HUD</x:v>
      </x:c>
      <x:c r="C193" s="22" t="str">
        <x:v>Palette / projection</x:v>
      </x:c>
      <x:c r="D193" s="24" t="str">
        <x:v>UI 2D/3D cohérente avec la carte</x:v>
      </x:c>
      <x:c r="E193" s="22" t="str">
        <x:v>P2</x:v>
      </x:c>
      <x:c r="F193" s="22" t="str">
        <x:v>HUD connecté / simulation intacte ; QA visuelle restante</x:v>
      </x:c>
      <x:c r="G193" s="22" t="n">
        <x:v>3.5</x:v>
      </x:c>
      <x:c r="H193" s="22" t="n">
        <x:v>0</x:v>
      </x:c>
      <x:c r="I193" s="22" t="str">
        <x:v>public/gauntlets/v132/falconer-2010/hud.png</x:v>
      </x:c>
      <x:c r="J193" s="22" t="str">
        <x:v>https://predator.illfonic.com/</x:v>
      </x:c>
      <x:c r="K193" s="24" t="str">
        <x:v>Preuve technique : app/game/ClanWarGauntletV131.tsx ; fichier distinct ne vaut pas texture ni proportions 1:1 ; heures non journalisées</x:v>
      </x:c>
    </x:row>
    <x:row r="194" ht="31" customHeight="1">
      <x:c r="A194" s="22" t="str">
        <x:v>falconer-2010</x:v>
      </x:c>
      <x:c r="B194" s="22" t="str">
        <x:v>falconer-2010-QA</x:v>
      </x:c>
      <x:c r="C194" s="22" t="str">
        <x:v>Comparaisons + tests</x:v>
      </x:c>
      <x:c r="D194" s="24" t="str">
        <x:v>Pivots, alpha, mobile, focus, 3 vues</x:v>
      </x:c>
      <x:c r="E194" s="22" t="str">
        <x:v>P2</x:v>
      </x:c>
      <x:c r="F194" s="22" t="str">
        <x:v>Tests CI source / alpha / type / navigateur autonome ; 1:1 restant</x:v>
      </x:c>
      <x:c r="G194" s="22" t="n">
        <x:v>4</x:v>
      </x:c>
      <x:c r="H194" s="22" t="n">
        <x:v>0</x:v>
      </x:c>
      <x:c r="I194" s="22" t="str">
        <x:v>public/gauntlets/v132/falconer-2010/qa.png</x:v>
      </x:c>
      <x:c r="J194" s="22" t="str">
        <x:v>https://predator.illfonic.com/</x:v>
      </x:c>
      <x:c r="K194" s="24" t="str">
        <x:v>Preuve technique : tests/gauntlet-archive-studies-v136.test.mjs ; fichier distinct ne vaut pas texture ni proportions 1:1 ; heures non journalisées</x:v>
      </x:c>
    </x:row>
    <x:row r="195" ht="31" customHeight="1">
      <x:c r="A195" s="22" t="str">
        <x:v>tracker-2010</x:v>
      </x:c>
      <x:c r="B195" s="22" t="str">
        <x:v>tracker-2010-ARM-L</x:v>
      </x:c>
      <x:c r="C195" s="22" t="str">
        <x:v>Bras gauche / poignet</x:v>
      </x:c>
      <x:c r="D195" s="24" t="str">
        <x:v>Pivot &amp; peau / netting</x:v>
      </x:c>
      <x:c r="E195" s="22" t="str">
        <x:v>P2</x:v>
      </x:c>
      <x:c r="F195" s="22" t="str">
        <x:v>Prototype SVG individuel + alpha PNG</x:v>
      </x:c>
      <x:c r="G195" s="22" t="n">
        <x:v>3.5</x:v>
      </x:c>
      <x:c r="H195" s="22" t="n">
        <x:v>0</x:v>
      </x:c>
      <x:c r="I195" s="22" t="str">
        <x:v>public/gauntlets/v132/tracker-2010/arm-l.png</x:v>
      </x:c>
      <x:c r="J195" s="22" t="str">
        <x:v>https://predator.illfonic.com/</x:v>
      </x:c>
      <x:c r="K195" s="24" t="str">
        <x:v>Preuve technique : public/game/assets/v136/gauntlets/tracker-2010/01-arm.svg ; fichier distinct ne vaut pas texture ni proportions 1:1 ; heures non journalisées</x:v>
      </x:c>
    </x:row>
    <x:row r="196" ht="31" customHeight="1">
      <x:c r="A196" s="22" t="str">
        <x:v>tracker-2010</x:v>
      </x:c>
      <x:c r="B196" s="22" t="str">
        <x:v>tracker-2010-SHELL-C</x:v>
      </x:c>
      <x:c r="C196" s="22" t="str">
        <x:v>Coque fermée</x:v>
      </x:c>
      <x:c r="D196" s="24" t="str">
        <x:v>Profil latéral et attaches</x:v>
      </x:c>
      <x:c r="E196" s="22" t="str">
        <x:v>P2</x:v>
      </x:c>
      <x:c r="F196" s="22" t="str">
        <x:v>Coque individuelle SVG + PNG, non 1:1</x:v>
      </x:c>
      <x:c r="G196" s="22" t="n">
        <x:v>4.5</x:v>
      </x:c>
      <x:c r="H196" s="22" t="n">
        <x:v>0</x:v>
      </x:c>
      <x:c r="I196" s="22" t="str">
        <x:v>public/gauntlets/v132/tracker-2010/shell-c.png</x:v>
      </x:c>
      <x:c r="J196" s="22" t="str">
        <x:v>https://predator.illfonic.com/</x:v>
      </x:c>
      <x:c r="K196" s="24" t="str">
        <x:v>Preuve technique : public/game/assets/v136/gauntlets/tracker-2010/02-shell.svg ; fichier distinct ne vaut pas texture ni proportions 1:1 ; heures non journalisées</x:v>
      </x:c>
    </x:row>
    <x:row r="197" ht="31" customHeight="1">
      <x:c r="A197" s="22" t="str">
        <x:v>tracker-2010</x:v>
      </x:c>
      <x:c r="B197" s="22" t="str">
        <x:v>tracker-2010-SHELL-O</x:v>
      </x:c>
      <x:c r="C197" s="22" t="str">
        <x:v>Coque ouverte</x:v>
      </x:c>
      <x:c r="D197" s="24" t="str">
        <x:v>Charnières et trappe</x:v>
      </x:c>
      <x:c r="E197" s="22" t="str">
        <x:v>P2</x:v>
      </x:c>
      <x:c r="F197" s="22" t="str">
        <x:v>Capot ouvrable en React/CSS, animation partielle</x:v>
      </x:c>
      <x:c r="G197" s="22" t="n">
        <x:v>4.5</x:v>
      </x:c>
      <x:c r="H197" s="22" t="n">
        <x:v>0</x:v>
      </x:c>
      <x:c r="I197" s="22" t="str">
        <x:v>public/gauntlets/v132/tracker-2010/shell-o.png</x:v>
      </x:c>
      <x:c r="J197" s="22" t="str">
        <x:v>https://predator.illfonic.com/</x:v>
      </x:c>
      <x:c r="K197" s="24" t="str">
        <x:v>Preuve technique : public/game/assets/v136/gauntlets/tracker-2010/04-lid.svg ; fichier distinct ne vaut pas texture ni proportions 1:1 ; heures non journalisées</x:v>
      </x:c>
    </x:row>
    <x:row r="198" ht="31" customHeight="1">
      <x:c r="A198" s="22" t="str">
        <x:v>tracker-2010</x:v>
      </x:c>
      <x:c r="B198" s="22" t="str">
        <x:v>tracker-2010-UI-RED</x:v>
      </x:c>
      <x:c r="C198" s="22" t="str">
        <x:v>Contrôle / glyphes</x:v>
      </x:c>
      <x:c r="D198" s="24" t="str">
        <x:v>Texte + segments lumineux</x:v>
      </x:c>
      <x:c r="E198" s="22" t="str">
        <x:v>P2</x:v>
      </x:c>
      <x:c r="F198" s="22" t="str">
        <x:v>Interface distincte en SVG / couleurs non certifiées</x:v>
      </x:c>
      <x:c r="G198" s="22" t="n">
        <x:v>3</x:v>
      </x:c>
      <x:c r="H198" s="22" t="n">
        <x:v>0</x:v>
      </x:c>
      <x:c r="I198" s="22" t="str">
        <x:v>public/gauntlets/v132/tracker-2010/ui-red.png</x:v>
      </x:c>
      <x:c r="J198" s="22" t="str">
        <x:v>https://predator.illfonic.com/</x:v>
      </x:c>
      <x:c r="K198" s="24" t="str">
        <x:v>Preuve technique : public/game/assets/v136/gauntlets/tracker-2010/03-interface.svg ; fichier distinct ne vaut pas texture ni proportions 1:1 ; heures non journalisées</x:v>
      </x:c>
    </x:row>
    <x:row r="199" ht="31" customHeight="1">
      <x:c r="A199" s="22" t="str">
        <x:v>tracker-2010</x:v>
      </x:c>
      <x:c r="B199" s="22" t="str">
        <x:v>tracker-2010-RIBS</x:v>
      </x:c>
      <x:c r="C199" s="22" t="str">
        <x:v>Ribures et mécanique</x:v>
      </x:c>
      <x:c r="D199" s="24" t="str">
        <x:v>Plaques, vis, tuyaux</x:v>
      </x:c>
      <x:c r="E199" s="22" t="str">
        <x:v>P2</x:v>
      </x:c>
      <x:c r="F199" s="22" t="str">
        <x:v>Détails de coque présents, sous-pièces non séparées</x:v>
      </x:c>
      <x:c r="G199" s="22" t="n">
        <x:v>3.5</x:v>
      </x:c>
      <x:c r="H199" s="22" t="n">
        <x:v>0</x:v>
      </x:c>
      <x:c r="I199" s="22" t="str">
        <x:v>public/gauntlets/v132/tracker-2010/ribs.png</x:v>
      </x:c>
      <x:c r="J199" s="22" t="str">
        <x:v>https://predator.illfonic.com/</x:v>
      </x:c>
      <x:c r="K199" s="24" t="str">
        <x:v>Preuve technique : public/game/assets/v136/gauntlets/tracker-2010/02-shell.svg ; fichier distinct ne vaut pas texture ni proportions 1:1 ; heures non journalisées</x:v>
      </x:c>
    </x:row>
    <x:row r="200" ht="31" customHeight="1">
      <x:c r="A200" s="22" t="str">
        <x:v>tracker-2010</x:v>
      </x:c>
      <x:c r="B200" s="22" t="str">
        <x:v>tracker-2010-BEAM</x:v>
      </x:c>
      <x:c r="C200" s="22" t="str">
        <x:v>Émetteur holographique</x:v>
      </x:c>
      <x:c r="D200" s="24" t="str">
        <x:v>Projection originale de jeu</x:v>
      </x:c>
      <x:c r="E200" s="22" t="str">
        <x:v>P2</x:v>
      </x:c>
      <x:c r="F200" s="22" t="str">
        <x:v>Faisceau du projet (JH dédié, autres effet commun)</x:v>
      </x:c>
      <x:c r="G200" s="22" t="n">
        <x:v>2.5</x:v>
      </x:c>
      <x:c r="H200" s="22" t="n">
        <x:v>0</x:v>
      </x:c>
      <x:c r="I200" s="22" t="str">
        <x:v>public/gauntlets/v132/tracker-2010/beam.png</x:v>
      </x:c>
      <x:c r="J200" s="22" t="str">
        <x:v>https://predator.illfonic.com/</x:v>
      </x:c>
      <x:c r="K200" s="24" t="str">
        <x:v>Preuve technique : app/game/ClanWarGauntletV131.tsx ; fichier distinct ne vaut pas texture ni proportions 1:1 ; heures non journalisées</x:v>
      </x:c>
    </x:row>
    <x:row r="201" ht="31" customHeight="1">
      <x:c r="A201" s="22" t="str">
        <x:v>tracker-2010</x:v>
      </x:c>
      <x:c r="B201" s="22" t="str">
        <x:v>tracker-2010-MOVE</x:v>
      </x:c>
      <x:c r="C201" s="22" t="str">
        <x:v>Animations 4 états</x:v>
      </x:c>
      <x:c r="D201" s="24" t="str">
        <x:v>lever, ouvrir, projeter, ranger</x:v>
      </x:c>
      <x:c r="E201" s="22" t="str">
        <x:v>P2</x:v>
      </x:c>
      <x:c r="F201" s="22" t="str">
        <x:v>Capot ouvert/fermé ; 3 gestes complets restent à faire</x:v>
      </x:c>
      <x:c r="G201" s="22" t="n">
        <x:v>5</x:v>
      </x:c>
      <x:c r="H201" s="22" t="n">
        <x:v>0</x:v>
      </x:c>
      <x:c r="I201" s="22" t="str">
        <x:v>public/gauntlets/v132/tracker-2010/move.png</x:v>
      </x:c>
      <x:c r="J201" s="22" t="str">
        <x:v>https://predator.illfonic.com/</x:v>
      </x:c>
      <x:c r="K201" s="24" t="str">
        <x:v>Preuve technique : public/game/assets/v136/gauntlets/tracker-2010/04-lid.svg ; fichier distinct ne vaut pas texture ni proportions 1:1 ; heures non journalisées</x:v>
      </x:c>
    </x:row>
    <x:row r="202" ht="31" customHeight="1">
      <x:c r="A202" s="22" t="str">
        <x:v>tracker-2010</x:v>
      </x:c>
      <x:c r="B202" s="22" t="str">
        <x:v>tracker-2010-SFX</x:v>
      </x:c>
      <x:c r="C202" s="22" t="str">
        <x:v>Identité sonore</x:v>
      </x:c>
      <x:c r="D202" s="24" t="str">
        <x:v>4 sources originales non soumises aux droits de film</x:v>
      </x:c>
      <x:c r="E202" s="22" t="str">
        <x:v>P2</x:v>
      </x:c>
      <x:c r="F202" s="22" t="str">
        <x:v>Signature sonore par thème (10 profils), source non cinéma</x:v>
      </x:c>
      <x:c r="G202" s="22" t="n">
        <x:v>2</x:v>
      </x:c>
      <x:c r="H202" s="22" t="n">
        <x:v>0</x:v>
      </x:c>
      <x:c r="I202" s="22" t="str">
        <x:v>public/gauntlets/v132/tracker-2010/sfx.png</x:v>
      </x:c>
      <x:c r="J202" s="22" t="str">
        <x:v>https://predator.illfonic.com/</x:v>
      </x:c>
      <x:c r="K202" s="24" t="str">
        <x:v>Preuve technique : app/game/sound.ts ; fichier distinct ne vaut pas texture ni proportions 1:1 ; heures non journalisées</x:v>
      </x:c>
    </x:row>
    <x:row r="203" ht="31" customHeight="1">
      <x:c r="A203" s="22" t="str">
        <x:v>tracker-2010</x:v>
      </x:c>
      <x:c r="B203" s="22" t="str">
        <x:v>tracker-2010-HUD</x:v>
      </x:c>
      <x:c r="C203" s="22" t="str">
        <x:v>Palette / projection</x:v>
      </x:c>
      <x:c r="D203" s="24" t="str">
        <x:v>UI 2D/3D cohérente avec la carte</x:v>
      </x:c>
      <x:c r="E203" s="22" t="str">
        <x:v>P2</x:v>
      </x:c>
      <x:c r="F203" s="22" t="str">
        <x:v>HUD connecté / simulation intacte ; QA visuelle restante</x:v>
      </x:c>
      <x:c r="G203" s="22" t="n">
        <x:v>3.5</x:v>
      </x:c>
      <x:c r="H203" s="22" t="n">
        <x:v>0</x:v>
      </x:c>
      <x:c r="I203" s="22" t="str">
        <x:v>public/gauntlets/v132/tracker-2010/hud.png</x:v>
      </x:c>
      <x:c r="J203" s="22" t="str">
        <x:v>https://predator.illfonic.com/</x:v>
      </x:c>
      <x:c r="K203" s="24" t="str">
        <x:v>Preuve technique : app/game/ClanWarGauntletV131.tsx ; fichier distinct ne vaut pas texture ni proportions 1:1 ; heures non journalisées</x:v>
      </x:c>
    </x:row>
    <x:row r="204" ht="31" customHeight="1">
      <x:c r="A204" s="22" t="str">
        <x:v>tracker-2010</x:v>
      </x:c>
      <x:c r="B204" s="22" t="str">
        <x:v>tracker-2010-QA</x:v>
      </x:c>
      <x:c r="C204" s="22" t="str">
        <x:v>Comparaisons + tests</x:v>
      </x:c>
      <x:c r="D204" s="24" t="str">
        <x:v>Pivots, alpha, mobile, focus, 3 vues</x:v>
      </x:c>
      <x:c r="E204" s="22" t="str">
        <x:v>P2</x:v>
      </x:c>
      <x:c r="F204" s="22" t="str">
        <x:v>Tests CI source / alpha / type / navigateur autonome ; 1:1 restant</x:v>
      </x:c>
      <x:c r="G204" s="22" t="n">
        <x:v>4</x:v>
      </x:c>
      <x:c r="H204" s="22" t="n">
        <x:v>0</x:v>
      </x:c>
      <x:c r="I204" s="22" t="str">
        <x:v>public/gauntlets/v132/tracker-2010/qa.png</x:v>
      </x:c>
      <x:c r="J204" s="22" t="str">
        <x:v>https://predator.illfonic.com/</x:v>
      </x:c>
      <x:c r="K204" s="24" t="str">
        <x:v>Preuve technique : tests/gauntlet-archive-studies-v136.test.mjs ; fichier distinct ne vaut pas texture ni proportions 1:1 ; heures non journalisées</x:v>
      </x:c>
    </x:row>
    <x:row r="205" ht="31" customHeight="1">
      <x:c r="A205" s="22" t="str">
        <x:v>fugitive</x:v>
      </x:c>
      <x:c r="B205" s="22" t="str">
        <x:v>fugitive-ARM-L</x:v>
      </x:c>
      <x:c r="C205" s="22" t="str">
        <x:v>Bras gauche / poignet</x:v>
      </x:c>
      <x:c r="D205" s="24" t="str">
        <x:v>Pivot &amp; peau / netting</x:v>
      </x:c>
      <x:c r="E205" s="22" t="str">
        <x:v>P2</x:v>
      </x:c>
      <x:c r="F205" s="22" t="str">
        <x:v>Prototype SVG individuel + alpha PNG</x:v>
      </x:c>
      <x:c r="G205" s="22" t="n">
        <x:v>3.5</x:v>
      </x:c>
      <x:c r="H205" s="22" t="n">
        <x:v>0</x:v>
      </x:c>
      <x:c r="I205" s="22" t="str">
        <x:v>public/gauntlets/v132/fugitive/arm-l.png</x:v>
      </x:c>
      <x:c r="J205" s="22" t="str">
        <x:v>https://www.avpgalaxy.net/merch/neca/predator/series/</x:v>
      </x:c>
      <x:c r="K205" s="24" t="str">
        <x:v>Preuve technique : public/game/assets/v136/gauntlets/fugitive/01-arm.svg ; fichier distinct ne vaut pas texture ni proportions 1:1 ; heures non journalisées</x:v>
      </x:c>
    </x:row>
    <x:row r="206" ht="31" customHeight="1">
      <x:c r="A206" s="22" t="str">
        <x:v>fugitive</x:v>
      </x:c>
      <x:c r="B206" s="22" t="str">
        <x:v>fugitive-SHELL-C</x:v>
      </x:c>
      <x:c r="C206" s="22" t="str">
        <x:v>Coque fermée</x:v>
      </x:c>
      <x:c r="D206" s="24" t="str">
        <x:v>Profil latéral et attaches</x:v>
      </x:c>
      <x:c r="E206" s="22" t="str">
        <x:v>P2</x:v>
      </x:c>
      <x:c r="F206" s="22" t="str">
        <x:v>Coque individuelle SVG + PNG, non 1:1</x:v>
      </x:c>
      <x:c r="G206" s="22" t="n">
        <x:v>4.5</x:v>
      </x:c>
      <x:c r="H206" s="22" t="n">
        <x:v>0</x:v>
      </x:c>
      <x:c r="I206" s="22" t="str">
        <x:v>public/gauntlets/v132/fugitive/shell-c.png</x:v>
      </x:c>
      <x:c r="J206" s="22" t="str">
        <x:v>https://www.avpgalaxy.net/merch/neca/predator/series/</x:v>
      </x:c>
      <x:c r="K206" s="24" t="str">
        <x:v>Preuve technique : public/game/assets/v136/gauntlets/fugitive/02-shell.svg ; fichier distinct ne vaut pas texture ni proportions 1:1 ; heures non journalisées</x:v>
      </x:c>
    </x:row>
    <x:row r="207" ht="31" customHeight="1">
      <x:c r="A207" s="22" t="str">
        <x:v>fugitive</x:v>
      </x:c>
      <x:c r="B207" s="22" t="str">
        <x:v>fugitive-SHELL-O</x:v>
      </x:c>
      <x:c r="C207" s="22" t="str">
        <x:v>Coque ouverte</x:v>
      </x:c>
      <x:c r="D207" s="24" t="str">
        <x:v>Charnières et trappe</x:v>
      </x:c>
      <x:c r="E207" s="22" t="str">
        <x:v>P2</x:v>
      </x:c>
      <x:c r="F207" s="22" t="str">
        <x:v>Capot ouvrable en React/CSS, animation partielle</x:v>
      </x:c>
      <x:c r="G207" s="22" t="n">
        <x:v>4.5</x:v>
      </x:c>
      <x:c r="H207" s="22" t="n">
        <x:v>0</x:v>
      </x:c>
      <x:c r="I207" s="22" t="str">
        <x:v>public/gauntlets/v132/fugitive/shell-o.png</x:v>
      </x:c>
      <x:c r="J207" s="22" t="str">
        <x:v>https://www.avpgalaxy.net/merch/neca/predator/series/</x:v>
      </x:c>
      <x:c r="K207" s="24" t="str">
        <x:v>Preuve technique : public/game/assets/v136/gauntlets/fugitive/04-lid.svg ; fichier distinct ne vaut pas texture ni proportions 1:1 ; heures non journalisées</x:v>
      </x:c>
    </x:row>
    <x:row r="208" ht="31" customHeight="1">
      <x:c r="A208" s="22" t="str">
        <x:v>fugitive</x:v>
      </x:c>
      <x:c r="B208" s="22" t="str">
        <x:v>fugitive-UI-RED</x:v>
      </x:c>
      <x:c r="C208" s="22" t="str">
        <x:v>Contrôle / glyphes</x:v>
      </x:c>
      <x:c r="D208" s="24" t="str">
        <x:v>Texte + segments lumineux</x:v>
      </x:c>
      <x:c r="E208" s="22" t="str">
        <x:v>P2</x:v>
      </x:c>
      <x:c r="F208" s="22" t="str">
        <x:v>Interface distincte en SVG / couleurs non certifiées</x:v>
      </x:c>
      <x:c r="G208" s="22" t="n">
        <x:v>3</x:v>
      </x:c>
      <x:c r="H208" s="22" t="n">
        <x:v>0</x:v>
      </x:c>
      <x:c r="I208" s="22" t="str">
        <x:v>public/gauntlets/v132/fugitive/ui-red.png</x:v>
      </x:c>
      <x:c r="J208" s="22" t="str">
        <x:v>https://www.avpgalaxy.net/merch/neca/predator/series/</x:v>
      </x:c>
      <x:c r="K208" s="24" t="str">
        <x:v>Preuve technique : public/game/assets/v136/gauntlets/fugitive/03-interface.svg ; fichier distinct ne vaut pas texture ni proportions 1:1 ; heures non journalisées</x:v>
      </x:c>
    </x:row>
    <x:row r="209" ht="31" customHeight="1">
      <x:c r="A209" s="22" t="str">
        <x:v>fugitive</x:v>
      </x:c>
      <x:c r="B209" s="22" t="str">
        <x:v>fugitive-RIBS</x:v>
      </x:c>
      <x:c r="C209" s="22" t="str">
        <x:v>Ribures et mécanique</x:v>
      </x:c>
      <x:c r="D209" s="24" t="str">
        <x:v>Plaques, vis, tuyaux</x:v>
      </x:c>
      <x:c r="E209" s="22" t="str">
        <x:v>P2</x:v>
      </x:c>
      <x:c r="F209" s="22" t="str">
        <x:v>Détails de coque présents, sous-pièces non séparées</x:v>
      </x:c>
      <x:c r="G209" s="22" t="n">
        <x:v>3.5</x:v>
      </x:c>
      <x:c r="H209" s="22" t="n">
        <x:v>0</x:v>
      </x:c>
      <x:c r="I209" s="22" t="str">
        <x:v>public/gauntlets/v132/fugitive/ribs.png</x:v>
      </x:c>
      <x:c r="J209" s="22" t="str">
        <x:v>https://www.avpgalaxy.net/merch/neca/predator/series/</x:v>
      </x:c>
      <x:c r="K209" s="24" t="str">
        <x:v>Preuve technique : public/game/assets/v136/gauntlets/fugitive/02-shell.svg ; fichier distinct ne vaut pas texture ni proportions 1:1 ; heures non journalisées</x:v>
      </x:c>
    </x:row>
    <x:row r="210" ht="31" customHeight="1">
      <x:c r="A210" s="22" t="str">
        <x:v>fugitive</x:v>
      </x:c>
      <x:c r="B210" s="22" t="str">
        <x:v>fugitive-BEAM</x:v>
      </x:c>
      <x:c r="C210" s="22" t="str">
        <x:v>Émetteur holographique</x:v>
      </x:c>
      <x:c r="D210" s="24" t="str">
        <x:v>Projection originale de jeu</x:v>
      </x:c>
      <x:c r="E210" s="22" t="str">
        <x:v>P2</x:v>
      </x:c>
      <x:c r="F210" s="22" t="str">
        <x:v>Faisceau du projet (JH dédié, autres effet commun)</x:v>
      </x:c>
      <x:c r="G210" s="22" t="n">
        <x:v>2.5</x:v>
      </x:c>
      <x:c r="H210" s="22" t="n">
        <x:v>0</x:v>
      </x:c>
      <x:c r="I210" s="22" t="str">
        <x:v>public/gauntlets/v132/fugitive/beam.png</x:v>
      </x:c>
      <x:c r="J210" s="22" t="str">
        <x:v>https://www.avpgalaxy.net/merch/neca/predator/series/</x:v>
      </x:c>
      <x:c r="K210" s="24" t="str">
        <x:v>Preuve technique : app/game/ClanWarGauntletV131.tsx ; fichier distinct ne vaut pas texture ni proportions 1:1 ; heures non journalisées</x:v>
      </x:c>
    </x:row>
    <x:row r="211" ht="31" customHeight="1">
      <x:c r="A211" s="22" t="str">
        <x:v>fugitive</x:v>
      </x:c>
      <x:c r="B211" s="22" t="str">
        <x:v>fugitive-MOVE</x:v>
      </x:c>
      <x:c r="C211" s="22" t="str">
        <x:v>Animations 4 états</x:v>
      </x:c>
      <x:c r="D211" s="24" t="str">
        <x:v>lever, ouvrir, projeter, ranger</x:v>
      </x:c>
      <x:c r="E211" s="22" t="str">
        <x:v>P2</x:v>
      </x:c>
      <x:c r="F211" s="22" t="str">
        <x:v>Capot ouvert/fermé ; 3 gestes complets restent à faire</x:v>
      </x:c>
      <x:c r="G211" s="22" t="n">
        <x:v>5</x:v>
      </x:c>
      <x:c r="H211" s="22" t="n">
        <x:v>0</x:v>
      </x:c>
      <x:c r="I211" s="22" t="str">
        <x:v>public/gauntlets/v132/fugitive/move.png</x:v>
      </x:c>
      <x:c r="J211" s="22" t="str">
        <x:v>https://www.avpgalaxy.net/merch/neca/predator/series/</x:v>
      </x:c>
      <x:c r="K211" s="24" t="str">
        <x:v>Preuve technique : public/game/assets/v136/gauntlets/fugitive/04-lid.svg ; fichier distinct ne vaut pas texture ni proportions 1:1 ; heures non journalisées</x:v>
      </x:c>
    </x:row>
    <x:row r="212" ht="31" customHeight="1">
      <x:c r="A212" s="22" t="str">
        <x:v>fugitive</x:v>
      </x:c>
      <x:c r="B212" s="22" t="str">
        <x:v>fugitive-SFX</x:v>
      </x:c>
      <x:c r="C212" s="22" t="str">
        <x:v>Identité sonore</x:v>
      </x:c>
      <x:c r="D212" s="24" t="str">
        <x:v>4 sources originales non soumises aux droits de film</x:v>
      </x:c>
      <x:c r="E212" s="22" t="str">
        <x:v>P2</x:v>
      </x:c>
      <x:c r="F212" s="22" t="str">
        <x:v>Signature sonore par thème (10 profils), source non cinéma</x:v>
      </x:c>
      <x:c r="G212" s="22" t="n">
        <x:v>2</x:v>
      </x:c>
      <x:c r="H212" s="22" t="n">
        <x:v>0</x:v>
      </x:c>
      <x:c r="I212" s="22" t="str">
        <x:v>public/gauntlets/v132/fugitive/sfx.png</x:v>
      </x:c>
      <x:c r="J212" s="22" t="str">
        <x:v>https://www.avpgalaxy.net/merch/neca/predator/series/</x:v>
      </x:c>
      <x:c r="K212" s="24" t="str">
        <x:v>Preuve technique : app/game/sound.ts ; fichier distinct ne vaut pas texture ni proportions 1:1 ; heures non journalisées</x:v>
      </x:c>
    </x:row>
    <x:row r="213" ht="31" customHeight="1">
      <x:c r="A213" s="22" t="str">
        <x:v>fugitive</x:v>
      </x:c>
      <x:c r="B213" s="22" t="str">
        <x:v>fugitive-HUD</x:v>
      </x:c>
      <x:c r="C213" s="22" t="str">
        <x:v>Palette / projection</x:v>
      </x:c>
      <x:c r="D213" s="24" t="str">
        <x:v>UI 2D/3D cohérente avec la carte</x:v>
      </x:c>
      <x:c r="E213" s="22" t="str">
        <x:v>P2</x:v>
      </x:c>
      <x:c r="F213" s="22" t="str">
        <x:v>HUD connecté / simulation intacte ; QA visuelle restante</x:v>
      </x:c>
      <x:c r="G213" s="22" t="n">
        <x:v>3.5</x:v>
      </x:c>
      <x:c r="H213" s="22" t="n">
        <x:v>0</x:v>
      </x:c>
      <x:c r="I213" s="22" t="str">
        <x:v>public/gauntlets/v132/fugitive/hud.png</x:v>
      </x:c>
      <x:c r="J213" s="22" t="str">
        <x:v>https://www.avpgalaxy.net/merch/neca/predator/series/</x:v>
      </x:c>
      <x:c r="K213" s="24" t="str">
        <x:v>Preuve technique : app/game/ClanWarGauntletV131.tsx ; fichier distinct ne vaut pas texture ni proportions 1:1 ; heures non journalisées</x:v>
      </x:c>
    </x:row>
    <x:row r="214" ht="31" customHeight="1">
      <x:c r="A214" s="22" t="str">
        <x:v>fugitive</x:v>
      </x:c>
      <x:c r="B214" s="22" t="str">
        <x:v>fugitive-QA</x:v>
      </x:c>
      <x:c r="C214" s="22" t="str">
        <x:v>Comparaisons + tests</x:v>
      </x:c>
      <x:c r="D214" s="24" t="str">
        <x:v>Pivots, alpha, mobile, focus, 3 vues</x:v>
      </x:c>
      <x:c r="E214" s="22" t="str">
        <x:v>P2</x:v>
      </x:c>
      <x:c r="F214" s="22" t="str">
        <x:v>Tests CI source / alpha / type / navigateur autonome ; 1:1 restant</x:v>
      </x:c>
      <x:c r="G214" s="22" t="n">
        <x:v>4</x:v>
      </x:c>
      <x:c r="H214" s="22" t="n">
        <x:v>0</x:v>
      </x:c>
      <x:c r="I214" s="22" t="str">
        <x:v>public/gauntlets/v132/fugitive/qa.png</x:v>
      </x:c>
      <x:c r="J214" s="22" t="str">
        <x:v>https://www.avpgalaxy.net/merch/neca/predator/series/</x:v>
      </x:c>
      <x:c r="K214" s="24" t="str">
        <x:v>Preuve technique : tests/gauntlet-archive-studies-v136.test.mjs ; fichier distinct ne vaut pas texture ni proportions 1:1 ; heures non journalisées</x:v>
      </x:c>
    </x:row>
    <x:row r="215" ht="31" customHeight="1">
      <x:c r="A215" s="22" t="str">
        <x:v>assassin</x:v>
      </x:c>
      <x:c r="B215" s="22" t="str">
        <x:v>assassin-ARM-L</x:v>
      </x:c>
      <x:c r="C215" s="22" t="str">
        <x:v>Bras gauche / poignet</x:v>
      </x:c>
      <x:c r="D215" s="24" t="str">
        <x:v>Pivot &amp; peau / netting</x:v>
      </x:c>
      <x:c r="E215" s="22" t="str">
        <x:v>P2</x:v>
      </x:c>
      <x:c r="F215" s="22" t="str">
        <x:v>Prototype SVG individuel + alpha PNG</x:v>
      </x:c>
      <x:c r="G215" s="22" t="n">
        <x:v>3.5</x:v>
      </x:c>
      <x:c r="H215" s="22" t="n">
        <x:v>0</x:v>
      </x:c>
      <x:c r="I215" s="22" t="str">
        <x:v>public/gauntlets/v132/assassin/arm-l.png</x:v>
      </x:c>
      <x:c r="J215" s="22" t="str">
        <x:v>https://www.avpgalaxy.net/merch/neca/predator/series/</x:v>
      </x:c>
      <x:c r="K215" s="24" t="str">
        <x:v>Preuve technique : public/game/assets/v136/gauntlets/assassin/01-arm.svg ; fichier distinct ne vaut pas texture ni proportions 1:1 ; heures non journalisées</x:v>
      </x:c>
    </x:row>
    <x:row r="216" ht="31" customHeight="1">
      <x:c r="A216" s="22" t="str">
        <x:v>assassin</x:v>
      </x:c>
      <x:c r="B216" s="22" t="str">
        <x:v>assassin-SHELL-C</x:v>
      </x:c>
      <x:c r="C216" s="22" t="str">
        <x:v>Coque fermée</x:v>
      </x:c>
      <x:c r="D216" s="24" t="str">
        <x:v>Profil latéral et attaches</x:v>
      </x:c>
      <x:c r="E216" s="22" t="str">
        <x:v>P2</x:v>
      </x:c>
      <x:c r="F216" s="22" t="str">
        <x:v>Coque individuelle SVG + PNG, non 1:1</x:v>
      </x:c>
      <x:c r="G216" s="22" t="n">
        <x:v>4.5</x:v>
      </x:c>
      <x:c r="H216" s="22" t="n">
        <x:v>0</x:v>
      </x:c>
      <x:c r="I216" s="22" t="str">
        <x:v>public/gauntlets/v132/assassin/shell-c.png</x:v>
      </x:c>
      <x:c r="J216" s="22" t="str">
        <x:v>https://www.avpgalaxy.net/merch/neca/predator/series/</x:v>
      </x:c>
      <x:c r="K216" s="24" t="str">
        <x:v>Preuve technique : public/game/assets/v136/gauntlets/assassin/02-shell.svg ; fichier distinct ne vaut pas texture ni proportions 1:1 ; heures non journalisées</x:v>
      </x:c>
    </x:row>
    <x:row r="217" ht="31" customHeight="1">
      <x:c r="A217" s="22" t="str">
        <x:v>assassin</x:v>
      </x:c>
      <x:c r="B217" s="22" t="str">
        <x:v>assassin-SHELL-O</x:v>
      </x:c>
      <x:c r="C217" s="22" t="str">
        <x:v>Coque ouverte</x:v>
      </x:c>
      <x:c r="D217" s="24" t="str">
        <x:v>Charnières et trappe</x:v>
      </x:c>
      <x:c r="E217" s="22" t="str">
        <x:v>P2</x:v>
      </x:c>
      <x:c r="F217" s="22" t="str">
        <x:v>Capot ouvrable en React/CSS, animation partielle</x:v>
      </x:c>
      <x:c r="G217" s="22" t="n">
        <x:v>4.5</x:v>
      </x:c>
      <x:c r="H217" s="22" t="n">
        <x:v>0</x:v>
      </x:c>
      <x:c r="I217" s="22" t="str">
        <x:v>public/gauntlets/v132/assassin/shell-o.png</x:v>
      </x:c>
      <x:c r="J217" s="22" t="str">
        <x:v>https://www.avpgalaxy.net/merch/neca/predator/series/</x:v>
      </x:c>
      <x:c r="K217" s="24" t="str">
        <x:v>Preuve technique : public/game/assets/v136/gauntlets/assassin/04-lid.svg ; fichier distinct ne vaut pas texture ni proportions 1:1 ; heures non journalisées</x:v>
      </x:c>
    </x:row>
    <x:row r="218" ht="31" customHeight="1">
      <x:c r="A218" s="22" t="str">
        <x:v>assassin</x:v>
      </x:c>
      <x:c r="B218" s="22" t="str">
        <x:v>assassin-UI-RED</x:v>
      </x:c>
      <x:c r="C218" s="22" t="str">
        <x:v>Contrôle / glyphes</x:v>
      </x:c>
      <x:c r="D218" s="24" t="str">
        <x:v>Texte + segments lumineux</x:v>
      </x:c>
      <x:c r="E218" s="22" t="str">
        <x:v>P2</x:v>
      </x:c>
      <x:c r="F218" s="22" t="str">
        <x:v>Interface distincte en SVG / couleurs non certifiées</x:v>
      </x:c>
      <x:c r="G218" s="22" t="n">
        <x:v>3</x:v>
      </x:c>
      <x:c r="H218" s="22" t="n">
        <x:v>0</x:v>
      </x:c>
      <x:c r="I218" s="22" t="str">
        <x:v>public/gauntlets/v132/assassin/ui-red.png</x:v>
      </x:c>
      <x:c r="J218" s="22" t="str">
        <x:v>https://www.avpgalaxy.net/merch/neca/predator/series/</x:v>
      </x:c>
      <x:c r="K218" s="24" t="str">
        <x:v>Preuve technique : public/game/assets/v136/gauntlets/assassin/03-interface.svg ; fichier distinct ne vaut pas texture ni proportions 1:1 ; heures non journalisées</x:v>
      </x:c>
    </x:row>
    <x:row r="219" ht="31" customHeight="1">
      <x:c r="A219" s="22" t="str">
        <x:v>assassin</x:v>
      </x:c>
      <x:c r="B219" s="22" t="str">
        <x:v>assassin-RIBS</x:v>
      </x:c>
      <x:c r="C219" s="22" t="str">
        <x:v>Ribures et mécanique</x:v>
      </x:c>
      <x:c r="D219" s="24" t="str">
        <x:v>Plaques, vis, tuyaux</x:v>
      </x:c>
      <x:c r="E219" s="22" t="str">
        <x:v>P2</x:v>
      </x:c>
      <x:c r="F219" s="22" t="str">
        <x:v>Détails de coque présents, sous-pièces non séparées</x:v>
      </x:c>
      <x:c r="G219" s="22" t="n">
        <x:v>3.5</x:v>
      </x:c>
      <x:c r="H219" s="22" t="n">
        <x:v>0</x:v>
      </x:c>
      <x:c r="I219" s="22" t="str">
        <x:v>public/gauntlets/v132/assassin/ribs.png</x:v>
      </x:c>
      <x:c r="J219" s="22" t="str">
        <x:v>https://www.avpgalaxy.net/merch/neca/predator/series/</x:v>
      </x:c>
      <x:c r="K219" s="24" t="str">
        <x:v>Preuve technique : public/game/assets/v136/gauntlets/assassin/02-shell.svg ; fichier distinct ne vaut pas texture ni proportions 1:1 ; heures non journalisées</x:v>
      </x:c>
    </x:row>
    <x:row r="220" ht="31" customHeight="1">
      <x:c r="A220" s="22" t="str">
        <x:v>assassin</x:v>
      </x:c>
      <x:c r="B220" s="22" t="str">
        <x:v>assassin-BEAM</x:v>
      </x:c>
      <x:c r="C220" s="22" t="str">
        <x:v>Émetteur holographique</x:v>
      </x:c>
      <x:c r="D220" s="24" t="str">
        <x:v>Projection originale de jeu</x:v>
      </x:c>
      <x:c r="E220" s="22" t="str">
        <x:v>P2</x:v>
      </x:c>
      <x:c r="F220" s="22" t="str">
        <x:v>Faisceau du projet (JH dédié, autres effet commun)</x:v>
      </x:c>
      <x:c r="G220" s="22" t="n">
        <x:v>2.5</x:v>
      </x:c>
      <x:c r="H220" s="22" t="n">
        <x:v>0</x:v>
      </x:c>
      <x:c r="I220" s="22" t="str">
        <x:v>public/gauntlets/v132/assassin/beam.png</x:v>
      </x:c>
      <x:c r="J220" s="22" t="str">
        <x:v>https://www.avpgalaxy.net/merch/neca/predator/series/</x:v>
      </x:c>
      <x:c r="K220" s="24" t="str">
        <x:v>Preuve technique : app/game/ClanWarGauntletV131.tsx ; fichier distinct ne vaut pas texture ni proportions 1:1 ; heures non journalisées</x:v>
      </x:c>
    </x:row>
    <x:row r="221" ht="31" customHeight="1">
      <x:c r="A221" s="22" t="str">
        <x:v>assassin</x:v>
      </x:c>
      <x:c r="B221" s="22" t="str">
        <x:v>assassin-MOVE</x:v>
      </x:c>
      <x:c r="C221" s="22" t="str">
        <x:v>Animations 4 états</x:v>
      </x:c>
      <x:c r="D221" s="24" t="str">
        <x:v>lever, ouvrir, projeter, ranger</x:v>
      </x:c>
      <x:c r="E221" s="22" t="str">
        <x:v>P2</x:v>
      </x:c>
      <x:c r="F221" s="22" t="str">
        <x:v>Capot ouvert/fermé ; 3 gestes complets restent à faire</x:v>
      </x:c>
      <x:c r="G221" s="22" t="n">
        <x:v>5</x:v>
      </x:c>
      <x:c r="H221" s="22" t="n">
        <x:v>0</x:v>
      </x:c>
      <x:c r="I221" s="22" t="str">
        <x:v>public/gauntlets/v132/assassin/move.png</x:v>
      </x:c>
      <x:c r="J221" s="22" t="str">
        <x:v>https://www.avpgalaxy.net/merch/neca/predator/series/</x:v>
      </x:c>
      <x:c r="K221" s="24" t="str">
        <x:v>Preuve technique : public/game/assets/v136/gauntlets/assassin/04-lid.svg ; fichier distinct ne vaut pas texture ni proportions 1:1 ; heures non journalisées</x:v>
      </x:c>
    </x:row>
    <x:row r="222" ht="31" customHeight="1">
      <x:c r="A222" s="22" t="str">
        <x:v>assassin</x:v>
      </x:c>
      <x:c r="B222" s="22" t="str">
        <x:v>assassin-SFX</x:v>
      </x:c>
      <x:c r="C222" s="22" t="str">
        <x:v>Identité sonore</x:v>
      </x:c>
      <x:c r="D222" s="24" t="str">
        <x:v>4 sources originales non soumises aux droits de film</x:v>
      </x:c>
      <x:c r="E222" s="22" t="str">
        <x:v>P2</x:v>
      </x:c>
      <x:c r="F222" s="22" t="str">
        <x:v>Signature sonore par thème (10 profils), source non cinéma</x:v>
      </x:c>
      <x:c r="G222" s="22" t="n">
        <x:v>2</x:v>
      </x:c>
      <x:c r="H222" s="22" t="n">
        <x:v>0</x:v>
      </x:c>
      <x:c r="I222" s="22" t="str">
        <x:v>public/gauntlets/v132/assassin/sfx.png</x:v>
      </x:c>
      <x:c r="J222" s="22" t="str">
        <x:v>https://www.avpgalaxy.net/merch/neca/predator/series/</x:v>
      </x:c>
      <x:c r="K222" s="24" t="str">
        <x:v>Preuve technique : app/game/sound.ts ; fichier distinct ne vaut pas texture ni proportions 1:1 ; heures non journalisées</x:v>
      </x:c>
    </x:row>
    <x:row r="223" ht="31" customHeight="1">
      <x:c r="A223" s="22" t="str">
        <x:v>assassin</x:v>
      </x:c>
      <x:c r="B223" s="22" t="str">
        <x:v>assassin-HUD</x:v>
      </x:c>
      <x:c r="C223" s="22" t="str">
        <x:v>Palette / projection</x:v>
      </x:c>
      <x:c r="D223" s="24" t="str">
        <x:v>UI 2D/3D cohérente avec la carte</x:v>
      </x:c>
      <x:c r="E223" s="22" t="str">
        <x:v>P2</x:v>
      </x:c>
      <x:c r="F223" s="22" t="str">
        <x:v>HUD connecté / simulation intacte ; QA visuelle restante</x:v>
      </x:c>
      <x:c r="G223" s="22" t="n">
        <x:v>3.5</x:v>
      </x:c>
      <x:c r="H223" s="22" t="n">
        <x:v>0</x:v>
      </x:c>
      <x:c r="I223" s="22" t="str">
        <x:v>public/gauntlets/v132/assassin/hud.png</x:v>
      </x:c>
      <x:c r="J223" s="22" t="str">
        <x:v>https://www.avpgalaxy.net/merch/neca/predator/series/</x:v>
      </x:c>
      <x:c r="K223" s="24" t="str">
        <x:v>Preuve technique : app/game/ClanWarGauntletV131.tsx ; fichier distinct ne vaut pas texture ni proportions 1:1 ; heures non journalisées</x:v>
      </x:c>
    </x:row>
    <x:row r="224" ht="31" customHeight="1">
      <x:c r="A224" s="22" t="str">
        <x:v>assassin</x:v>
      </x:c>
      <x:c r="B224" s="22" t="str">
        <x:v>assassin-QA</x:v>
      </x:c>
      <x:c r="C224" s="22" t="str">
        <x:v>Comparaisons + tests</x:v>
      </x:c>
      <x:c r="D224" s="24" t="str">
        <x:v>Pivots, alpha, mobile, focus, 3 vues</x:v>
      </x:c>
      <x:c r="E224" s="22" t="str">
        <x:v>P2</x:v>
      </x:c>
      <x:c r="F224" s="22" t="str">
        <x:v>Tests CI source / alpha / type / navigateur autonome ; 1:1 restant</x:v>
      </x:c>
      <x:c r="G224" s="22" t="n">
        <x:v>4</x:v>
      </x:c>
      <x:c r="H224" s="22" t="n">
        <x:v>0</x:v>
      </x:c>
      <x:c r="I224" s="22" t="str">
        <x:v>public/gauntlets/v132/assassin/qa.png</x:v>
      </x:c>
      <x:c r="J224" s="22" t="str">
        <x:v>https://www.avpgalaxy.net/merch/neca/predator/series/</x:v>
      </x:c>
      <x:c r="K224" s="24" t="str">
        <x:v>Preuve technique : tests/gauntlet-archive-studies-v136.test.mjs ; fichier distinct ne vaut pas texture ni proportions 1:1 ; heures non journalisées</x:v>
      </x:c>
    </x:row>
    <x:row r="225" ht="31" customHeight="1">
      <x:c r="A225" s="22" t="str">
        <x:v>feral</x:v>
      </x:c>
      <x:c r="B225" s="22" t="str">
        <x:v>feral-ARM-L</x:v>
      </x:c>
      <x:c r="C225" s="22" t="str">
        <x:v>Bras gauche / poignet</x:v>
      </x:c>
      <x:c r="D225" s="24" t="str">
        <x:v>Pivot &amp; peau / netting</x:v>
      </x:c>
      <x:c r="E225" s="22" t="str">
        <x:v>P1</x:v>
      </x:c>
      <x:c r="F225" s="22" t="str">
        <x:v>Prototype SVG individuel + alpha PNG</x:v>
      </x:c>
      <x:c r="G225" s="22" t="n">
        <x:v>3.5</x:v>
      </x:c>
      <x:c r="H225" s="22" t="n">
        <x:v>0</x:v>
      </x:c>
      <x:c r="I225" s="22" t="str">
        <x:v>public/gauntlets/v132/feral/arm-l.png</x:v>
      </x:c>
      <x:c r="J225" s="22" t="str">
        <x:v>https://www.20thcenturystudios.com/movies/prey</x:v>
      </x:c>
      <x:c r="K225" s="24" t="str">
        <x:v>Preuve technique : public/game/assets/v135/gauntlets/feral/01-forearm.svg ; fichier distinct ne vaut pas texture ni proportions 1:1 ; heures non journalisées</x:v>
      </x:c>
    </x:row>
    <x:row r="226" ht="31" customHeight="1">
      <x:c r="A226" s="22" t="str">
        <x:v>feral</x:v>
      </x:c>
      <x:c r="B226" s="22" t="str">
        <x:v>feral-SHELL-C</x:v>
      </x:c>
      <x:c r="C226" s="22" t="str">
        <x:v>Coque fermée</x:v>
      </x:c>
      <x:c r="D226" s="24" t="str">
        <x:v>Profil latéral et attaches</x:v>
      </x:c>
      <x:c r="E226" s="22" t="str">
        <x:v>P1</x:v>
      </x:c>
      <x:c r="F226" s="22" t="str">
        <x:v>Coque individuelle SVG + PNG, non 1:1</x:v>
      </x:c>
      <x:c r="G226" s="22" t="n">
        <x:v>4.5</x:v>
      </x:c>
      <x:c r="H226" s="22" t="n">
        <x:v>0</x:v>
      </x:c>
      <x:c r="I226" s="22" t="str">
        <x:v>public/gauntlets/v132/feral/shell-c.png</x:v>
      </x:c>
      <x:c r="J226" s="22" t="str">
        <x:v>https://www.20thcenturystudios.com/movies/prey</x:v>
      </x:c>
      <x:c r="K226" s="24" t="str">
        <x:v>Preuve technique : public/game/assets/v135/gauntlets/feral/02-shell.svg ; fichier distinct ne vaut pas texture ni proportions 1:1 ; heures non journalisées</x:v>
      </x:c>
    </x:row>
    <x:row r="227" ht="31" customHeight="1">
      <x:c r="A227" s="22" t="str">
        <x:v>feral</x:v>
      </x:c>
      <x:c r="B227" s="22" t="str">
        <x:v>feral-SHELL-O</x:v>
      </x:c>
      <x:c r="C227" s="22" t="str">
        <x:v>Coque ouverte</x:v>
      </x:c>
      <x:c r="D227" s="24" t="str">
        <x:v>Charnières et trappe</x:v>
      </x:c>
      <x:c r="E227" s="22" t="str">
        <x:v>P1</x:v>
      </x:c>
      <x:c r="F227" s="22" t="str">
        <x:v>Capot ouvrable en React/CSS, animation partielle</x:v>
      </x:c>
      <x:c r="G227" s="22" t="n">
        <x:v>4.5</x:v>
      </x:c>
      <x:c r="H227" s="22" t="n">
        <x:v>0</x:v>
      </x:c>
      <x:c r="I227" s="22" t="str">
        <x:v>public/gauntlets/v132/feral/shell-o.png</x:v>
      </x:c>
      <x:c r="J227" s="22" t="str">
        <x:v>https://www.20thcenturystudios.com/movies/prey</x:v>
      </x:c>
      <x:c r="K227" s="24" t="str">
        <x:v>Preuve technique : public/game/assets/v135/gauntlets/feral/04-cover.svg ; fichier distinct ne vaut pas texture ni proportions 1:1 ; heures non journalisées</x:v>
      </x:c>
    </x:row>
    <x:row r="228" ht="31" customHeight="1">
      <x:c r="A228" s="22" t="str">
        <x:v>feral</x:v>
      </x:c>
      <x:c r="B228" s="22" t="str">
        <x:v>feral-UI-RED</x:v>
      </x:c>
      <x:c r="C228" s="22" t="str">
        <x:v>Contrôle / glyphes</x:v>
      </x:c>
      <x:c r="D228" s="24" t="str">
        <x:v>Texte + segments lumineux</x:v>
      </x:c>
      <x:c r="E228" s="22" t="str">
        <x:v>P1</x:v>
      </x:c>
      <x:c r="F228" s="22" t="str">
        <x:v>Interface distincte en SVG / couleurs non certifiées</x:v>
      </x:c>
      <x:c r="G228" s="22" t="n">
        <x:v>3</x:v>
      </x:c>
      <x:c r="H228" s="22" t="n">
        <x:v>0</x:v>
      </x:c>
      <x:c r="I228" s="22" t="str">
        <x:v>public/gauntlets/v132/feral/ui-red.png</x:v>
      </x:c>
      <x:c r="J228" s="22" t="str">
        <x:v>https://www.20thcenturystudios.com/movies/prey</x:v>
      </x:c>
      <x:c r="K228" s="24" t="str">
        <x:v>Preuve technique : public/game/assets/v135/gauntlets/feral/03-panel.svg ; fichier distinct ne vaut pas texture ni proportions 1:1 ; heures non journalisées</x:v>
      </x:c>
    </x:row>
    <x:row r="229" ht="31" customHeight="1">
      <x:c r="A229" s="22" t="str">
        <x:v>feral</x:v>
      </x:c>
      <x:c r="B229" s="22" t="str">
        <x:v>feral-RIBS</x:v>
      </x:c>
      <x:c r="C229" s="22" t="str">
        <x:v>Ribures et mécanique</x:v>
      </x:c>
      <x:c r="D229" s="24" t="str">
        <x:v>Plaques, vis, tuyaux</x:v>
      </x:c>
      <x:c r="E229" s="22" t="str">
        <x:v>P1</x:v>
      </x:c>
      <x:c r="F229" s="22" t="str">
        <x:v>Détails de coque présents, sous-pièces non séparées</x:v>
      </x:c>
      <x:c r="G229" s="22" t="n">
        <x:v>3.5</x:v>
      </x:c>
      <x:c r="H229" s="22" t="n">
        <x:v>0</x:v>
      </x:c>
      <x:c r="I229" s="22" t="str">
        <x:v>public/gauntlets/v132/feral/ribs.png</x:v>
      </x:c>
      <x:c r="J229" s="22" t="str">
        <x:v>https://www.20thcenturystudios.com/movies/prey</x:v>
      </x:c>
      <x:c r="K229" s="24" t="str">
        <x:v>Preuve technique : public/game/assets/v135/gauntlets/feral/02-shell.svg ; fichier distinct ne vaut pas texture ni proportions 1:1 ; heures non journalisées</x:v>
      </x:c>
    </x:row>
    <x:row r="230" ht="31" customHeight="1">
      <x:c r="A230" s="22" t="str">
        <x:v>feral</x:v>
      </x:c>
      <x:c r="B230" s="22" t="str">
        <x:v>feral-BEAM</x:v>
      </x:c>
      <x:c r="C230" s="22" t="str">
        <x:v>Émetteur holographique</x:v>
      </x:c>
      <x:c r="D230" s="24" t="str">
        <x:v>Projection originale de jeu</x:v>
      </x:c>
      <x:c r="E230" s="22" t="str">
        <x:v>P1</x:v>
      </x:c>
      <x:c r="F230" s="22" t="str">
        <x:v>Faisceau du projet (JH dédié, autres effet commun)</x:v>
      </x:c>
      <x:c r="G230" s="22" t="n">
        <x:v>2.5</x:v>
      </x:c>
      <x:c r="H230" s="22" t="n">
        <x:v>0</x:v>
      </x:c>
      <x:c r="I230" s="22" t="str">
        <x:v>public/gauntlets/v132/feral/beam.png</x:v>
      </x:c>
      <x:c r="J230" s="22" t="str">
        <x:v>https://www.20thcenturystudios.com/movies/prey</x:v>
      </x:c>
      <x:c r="K230" s="24" t="str">
        <x:v>Preuve technique : app/game/ClanWarGauntletV131.tsx ; fichier distinct ne vaut pas texture ni proportions 1:1 ; heures non journalisées</x:v>
      </x:c>
    </x:row>
    <x:row r="231" ht="31" customHeight="1">
      <x:c r="A231" s="22" t="str">
        <x:v>feral</x:v>
      </x:c>
      <x:c r="B231" s="22" t="str">
        <x:v>feral-MOVE</x:v>
      </x:c>
      <x:c r="C231" s="22" t="str">
        <x:v>Animations 4 états</x:v>
      </x:c>
      <x:c r="D231" s="24" t="str">
        <x:v>lever, ouvrir, projeter, ranger</x:v>
      </x:c>
      <x:c r="E231" s="22" t="str">
        <x:v>P1</x:v>
      </x:c>
      <x:c r="F231" s="22" t="str">
        <x:v>Capot ouvert/fermé ; 3 gestes complets restent à faire</x:v>
      </x:c>
      <x:c r="G231" s="22" t="n">
        <x:v>5</x:v>
      </x:c>
      <x:c r="H231" s="22" t="n">
        <x:v>0</x:v>
      </x:c>
      <x:c r="I231" s="22" t="str">
        <x:v>public/gauntlets/v132/feral/move.png</x:v>
      </x:c>
      <x:c r="J231" s="22" t="str">
        <x:v>https://www.20thcenturystudios.com/movies/prey</x:v>
      </x:c>
      <x:c r="K231" s="24" t="str">
        <x:v>Preuve technique : public/game/assets/v135/gauntlets/feral/04-cover.svg ; fichier distinct ne vaut pas texture ni proportions 1:1 ; heures non journalisées</x:v>
      </x:c>
    </x:row>
    <x:row r="232" ht="31" customHeight="1">
      <x:c r="A232" s="22" t="str">
        <x:v>feral</x:v>
      </x:c>
      <x:c r="B232" s="22" t="str">
        <x:v>feral-SFX</x:v>
      </x:c>
      <x:c r="C232" s="22" t="str">
        <x:v>Identité sonore</x:v>
      </x:c>
      <x:c r="D232" s="24" t="str">
        <x:v>4 sources originales non soumises aux droits de film</x:v>
      </x:c>
      <x:c r="E232" s="22" t="str">
        <x:v>P1</x:v>
      </x:c>
      <x:c r="F232" s="22" t="str">
        <x:v>Signature sonore par thème (10 profils), source non cinéma</x:v>
      </x:c>
      <x:c r="G232" s="22" t="n">
        <x:v>2</x:v>
      </x:c>
      <x:c r="H232" s="22" t="n">
        <x:v>0</x:v>
      </x:c>
      <x:c r="I232" s="22" t="str">
        <x:v>public/gauntlets/v132/feral/sfx.png</x:v>
      </x:c>
      <x:c r="J232" s="22" t="str">
        <x:v>https://www.20thcenturystudios.com/movies/prey</x:v>
      </x:c>
      <x:c r="K232" s="24" t="str">
        <x:v>Preuve technique : app/game/sound.ts ; fichier distinct ne vaut pas texture ni proportions 1:1 ; heures non journalisées</x:v>
      </x:c>
    </x:row>
    <x:row r="233" ht="31" customHeight="1">
      <x:c r="A233" s="22" t="str">
        <x:v>feral</x:v>
      </x:c>
      <x:c r="B233" s="22" t="str">
        <x:v>feral-HUD</x:v>
      </x:c>
      <x:c r="C233" s="22" t="str">
        <x:v>Palette / projection</x:v>
      </x:c>
      <x:c r="D233" s="24" t="str">
        <x:v>UI 2D/3D cohérente avec la carte</x:v>
      </x:c>
      <x:c r="E233" s="22" t="str">
        <x:v>P1</x:v>
      </x:c>
      <x:c r="F233" s="22" t="str">
        <x:v>HUD connecté / simulation intacte ; QA visuelle restante</x:v>
      </x:c>
      <x:c r="G233" s="22" t="n">
        <x:v>3.5</x:v>
      </x:c>
      <x:c r="H233" s="22" t="n">
        <x:v>0</x:v>
      </x:c>
      <x:c r="I233" s="22" t="str">
        <x:v>public/gauntlets/v132/feral/hud.png</x:v>
      </x:c>
      <x:c r="J233" s="22" t="str">
        <x:v>https://www.20thcenturystudios.com/movies/prey</x:v>
      </x:c>
      <x:c r="K233" s="24" t="str">
        <x:v>Preuve technique : app/game/ClanWarGauntletV131.tsx ; fichier distinct ne vaut pas texture ni proportions 1:1 ; heures non journalisées</x:v>
      </x:c>
    </x:row>
    <x:row r="234" ht="31" customHeight="1">
      <x:c r="A234" s="22" t="str">
        <x:v>feral</x:v>
      </x:c>
      <x:c r="B234" s="22" t="str">
        <x:v>feral-QA</x:v>
      </x:c>
      <x:c r="C234" s="22" t="str">
        <x:v>Comparaisons + tests</x:v>
      </x:c>
      <x:c r="D234" s="24" t="str">
        <x:v>Pivots, alpha, mobile, focus, 3 vues</x:v>
      </x:c>
      <x:c r="E234" s="22" t="str">
        <x:v>P1</x:v>
      </x:c>
      <x:c r="F234" s="22" t="str">
        <x:v>Tests CI source / alpha / type / navigateur autonome ; 1:1 restant</x:v>
      </x:c>
      <x:c r="G234" s="22" t="n">
        <x:v>4</x:v>
      </x:c>
      <x:c r="H234" s="22" t="n">
        <x:v>0</x:v>
      </x:c>
      <x:c r="I234" s="22" t="str">
        <x:v>public/gauntlets/v132/feral/qa.png</x:v>
      </x:c>
      <x:c r="J234" s="22" t="str">
        <x:v>https://www.20thcenturystudios.com/movies/prey</x:v>
      </x:c>
      <x:c r="K234" s="24" t="str">
        <x:v>Preuve technique : tests/gauntlet-archive-studies-v136.test.mjs ; fichier distinct ne vaut pas texture ni proportions 1:1 ; heures non journalisées</x:v>
      </x:c>
    </x:row>
    <x:row r="235" ht="31" customHeight="1">
      <x:c r="A235" s="22" t="str">
        <x:v>dek</x:v>
      </x:c>
      <x:c r="B235" s="22" t="str">
        <x:v>dek-ARM-L</x:v>
      </x:c>
      <x:c r="C235" s="22" t="str">
        <x:v>Bras gauche / poignet</x:v>
      </x:c>
      <x:c r="D235" s="24" t="str">
        <x:v>Pivot &amp; peau / netting</x:v>
      </x:c>
      <x:c r="E235" s="22" t="str">
        <x:v>P1</x:v>
      </x:c>
      <x:c r="F235" s="22" t="str">
        <x:v>Prototype SVG individuel + alpha PNG</x:v>
      </x:c>
      <x:c r="G235" s="22" t="n">
        <x:v>3.5</x:v>
      </x:c>
      <x:c r="H235" s="22" t="n">
        <x:v>0</x:v>
      </x:c>
      <x:c r="I235" s="22" t="str">
        <x:v>public/gauntlets/v132/dek/arm-l.png</x:v>
      </x:c>
      <x:c r="J235" s="22" t="str">
        <x:v>https://wetaworkshopdesignstudio.artstation.com/projects/rlxRPa</x:v>
      </x:c>
      <x:c r="K235" s="24" t="str">
        <x:v>Preuve technique : public/game/assets/v135/gauntlets/dek/01-forearm.svg ; fichier distinct ne vaut pas texture ni proportions 1:1 ; heures non journalisées</x:v>
      </x:c>
    </x:row>
    <x:row r="236" ht="31" customHeight="1">
      <x:c r="A236" s="22" t="str">
        <x:v>dek</x:v>
      </x:c>
      <x:c r="B236" s="22" t="str">
        <x:v>dek-SHELL-C</x:v>
      </x:c>
      <x:c r="C236" s="22" t="str">
        <x:v>Coque fermée</x:v>
      </x:c>
      <x:c r="D236" s="24" t="str">
        <x:v>Profil latéral et attaches</x:v>
      </x:c>
      <x:c r="E236" s="22" t="str">
        <x:v>P1</x:v>
      </x:c>
      <x:c r="F236" s="22" t="str">
        <x:v>Coque individuelle SVG + PNG, non 1:1</x:v>
      </x:c>
      <x:c r="G236" s="22" t="n">
        <x:v>4.5</x:v>
      </x:c>
      <x:c r="H236" s="22" t="n">
        <x:v>0</x:v>
      </x:c>
      <x:c r="I236" s="22" t="str">
        <x:v>public/gauntlets/v132/dek/shell-c.png</x:v>
      </x:c>
      <x:c r="J236" s="22" t="str">
        <x:v>https://wetaworkshopdesignstudio.artstation.com/projects/rlxRPa</x:v>
      </x:c>
      <x:c r="K236" s="24" t="str">
        <x:v>Preuve technique : public/game/assets/v135/gauntlets/dek/02-shell.svg ; fichier distinct ne vaut pas texture ni proportions 1:1 ; heures non journalisées</x:v>
      </x:c>
    </x:row>
    <x:row r="237" ht="31" customHeight="1">
      <x:c r="A237" s="22" t="str">
        <x:v>dek</x:v>
      </x:c>
      <x:c r="B237" s="22" t="str">
        <x:v>dek-SHELL-O</x:v>
      </x:c>
      <x:c r="C237" s="22" t="str">
        <x:v>Coque ouverte</x:v>
      </x:c>
      <x:c r="D237" s="24" t="str">
        <x:v>Charnières et trappe</x:v>
      </x:c>
      <x:c r="E237" s="22" t="str">
        <x:v>P1</x:v>
      </x:c>
      <x:c r="F237" s="22" t="str">
        <x:v>Capot ouvrable en React/CSS, animation partielle</x:v>
      </x:c>
      <x:c r="G237" s="22" t="n">
        <x:v>4.5</x:v>
      </x:c>
      <x:c r="H237" s="22" t="n">
        <x:v>0</x:v>
      </x:c>
      <x:c r="I237" s="22" t="str">
        <x:v>public/gauntlets/v132/dek/shell-o.png</x:v>
      </x:c>
      <x:c r="J237" s="22" t="str">
        <x:v>https://wetaworkshopdesignstudio.artstation.com/projects/rlxRPa</x:v>
      </x:c>
      <x:c r="K237" s="24" t="str">
        <x:v>Preuve technique : public/game/assets/v135/gauntlets/dek/04-cover.svg ; fichier distinct ne vaut pas texture ni proportions 1:1 ; heures non journalisées</x:v>
      </x:c>
    </x:row>
    <x:row r="238" ht="31" customHeight="1">
      <x:c r="A238" s="22" t="str">
        <x:v>dek</x:v>
      </x:c>
      <x:c r="B238" s="22" t="str">
        <x:v>dek-UI-RED</x:v>
      </x:c>
      <x:c r="C238" s="22" t="str">
        <x:v>Contrôle / glyphes</x:v>
      </x:c>
      <x:c r="D238" s="24" t="str">
        <x:v>Texte + segments lumineux</x:v>
      </x:c>
      <x:c r="E238" s="22" t="str">
        <x:v>P1</x:v>
      </x:c>
      <x:c r="F238" s="22" t="str">
        <x:v>Interface distincte en SVG / couleurs non certifiées</x:v>
      </x:c>
      <x:c r="G238" s="22" t="n">
        <x:v>3</x:v>
      </x:c>
      <x:c r="H238" s="22" t="n">
        <x:v>0</x:v>
      </x:c>
      <x:c r="I238" s="22" t="str">
        <x:v>public/gauntlets/v132/dek/ui-red.png</x:v>
      </x:c>
      <x:c r="J238" s="22" t="str">
        <x:v>https://wetaworkshopdesignstudio.artstation.com/projects/rlxRPa</x:v>
      </x:c>
      <x:c r="K238" s="24" t="str">
        <x:v>Preuve technique : public/game/assets/v135/gauntlets/dek/03-panel.svg ; fichier distinct ne vaut pas texture ni proportions 1:1 ; heures non journalisées</x:v>
      </x:c>
    </x:row>
    <x:row r="239" ht="31" customHeight="1">
      <x:c r="A239" s="22" t="str">
        <x:v>dek</x:v>
      </x:c>
      <x:c r="B239" s="22" t="str">
        <x:v>dek-RIBS</x:v>
      </x:c>
      <x:c r="C239" s="22" t="str">
        <x:v>Ribures et mécanique</x:v>
      </x:c>
      <x:c r="D239" s="24" t="str">
        <x:v>Plaques, vis, tuyaux</x:v>
      </x:c>
      <x:c r="E239" s="22" t="str">
        <x:v>P1</x:v>
      </x:c>
      <x:c r="F239" s="22" t="str">
        <x:v>Détails de coque présents, sous-pièces non séparées</x:v>
      </x:c>
      <x:c r="G239" s="22" t="n">
        <x:v>3.5</x:v>
      </x:c>
      <x:c r="H239" s="22" t="n">
        <x:v>0</x:v>
      </x:c>
      <x:c r="I239" s="22" t="str">
        <x:v>public/gauntlets/v132/dek/ribs.png</x:v>
      </x:c>
      <x:c r="J239" s="22" t="str">
        <x:v>https://wetaworkshopdesignstudio.artstation.com/projects/rlxRPa</x:v>
      </x:c>
      <x:c r="K239" s="24" t="str">
        <x:v>Preuve technique : public/game/assets/v135/gauntlets/dek/02-shell.svg ; fichier distinct ne vaut pas texture ni proportions 1:1 ; heures non journalisées</x:v>
      </x:c>
    </x:row>
    <x:row r="240" ht="31" customHeight="1">
      <x:c r="A240" s="22" t="str">
        <x:v>dek</x:v>
      </x:c>
      <x:c r="B240" s="22" t="str">
        <x:v>dek-BEAM</x:v>
      </x:c>
      <x:c r="C240" s="22" t="str">
        <x:v>Émetteur holographique</x:v>
      </x:c>
      <x:c r="D240" s="24" t="str">
        <x:v>Projection originale de jeu</x:v>
      </x:c>
      <x:c r="E240" s="22" t="str">
        <x:v>P1</x:v>
      </x:c>
      <x:c r="F240" s="22" t="str">
        <x:v>Faisceau du projet (JH dédié, autres effet commun)</x:v>
      </x:c>
      <x:c r="G240" s="22" t="n">
        <x:v>2.5</x:v>
      </x:c>
      <x:c r="H240" s="22" t="n">
        <x:v>0</x:v>
      </x:c>
      <x:c r="I240" s="22" t="str">
        <x:v>public/gauntlets/v132/dek/beam.png</x:v>
      </x:c>
      <x:c r="J240" s="22" t="str">
        <x:v>https://wetaworkshopdesignstudio.artstation.com/projects/rlxRPa</x:v>
      </x:c>
      <x:c r="K240" s="24" t="str">
        <x:v>Preuve technique : app/game/ClanWarGauntletV131.tsx ; fichier distinct ne vaut pas texture ni proportions 1:1 ; heures non journalisées</x:v>
      </x:c>
    </x:row>
    <x:row r="241" ht="31" customHeight="1">
      <x:c r="A241" s="22" t="str">
        <x:v>dek</x:v>
      </x:c>
      <x:c r="B241" s="22" t="str">
        <x:v>dek-MOVE</x:v>
      </x:c>
      <x:c r="C241" s="22" t="str">
        <x:v>Animations 4 états</x:v>
      </x:c>
      <x:c r="D241" s="24" t="str">
        <x:v>lever, ouvrir, projeter, ranger</x:v>
      </x:c>
      <x:c r="E241" s="22" t="str">
        <x:v>P1</x:v>
      </x:c>
      <x:c r="F241" s="22" t="str">
        <x:v>Capot ouvert/fermé ; 3 gestes complets restent à faire</x:v>
      </x:c>
      <x:c r="G241" s="22" t="n">
        <x:v>5</x:v>
      </x:c>
      <x:c r="H241" s="22" t="n">
        <x:v>0</x:v>
      </x:c>
      <x:c r="I241" s="22" t="str">
        <x:v>public/gauntlets/v132/dek/move.png</x:v>
      </x:c>
      <x:c r="J241" s="22" t="str">
        <x:v>https://wetaworkshopdesignstudio.artstation.com/projects/rlxRPa</x:v>
      </x:c>
      <x:c r="K241" s="24" t="str">
        <x:v>Preuve technique : public/game/assets/v135/gauntlets/dek/04-cover.svg ; fichier distinct ne vaut pas texture ni proportions 1:1 ; heures non journalisées</x:v>
      </x:c>
    </x:row>
    <x:row r="242" ht="31" customHeight="1">
      <x:c r="A242" s="22" t="str">
        <x:v>dek</x:v>
      </x:c>
      <x:c r="B242" s="22" t="str">
        <x:v>dek-SFX</x:v>
      </x:c>
      <x:c r="C242" s="22" t="str">
        <x:v>Identité sonore</x:v>
      </x:c>
      <x:c r="D242" s="24" t="str">
        <x:v>4 sources originales non soumises aux droits de film</x:v>
      </x:c>
      <x:c r="E242" s="22" t="str">
        <x:v>P1</x:v>
      </x:c>
      <x:c r="F242" s="22" t="str">
        <x:v>Signature sonore par thème (10 profils), source non cinéma</x:v>
      </x:c>
      <x:c r="G242" s="22" t="n">
        <x:v>2</x:v>
      </x:c>
      <x:c r="H242" s="22" t="n">
        <x:v>0</x:v>
      </x:c>
      <x:c r="I242" s="22" t="str">
        <x:v>public/gauntlets/v132/dek/sfx.png</x:v>
      </x:c>
      <x:c r="J242" s="22" t="str">
        <x:v>https://wetaworkshopdesignstudio.artstation.com/projects/rlxRPa</x:v>
      </x:c>
      <x:c r="K242" s="24" t="str">
        <x:v>Preuve technique : app/game/sound.ts ; fichier distinct ne vaut pas texture ni proportions 1:1 ; heures non journalisées</x:v>
      </x:c>
    </x:row>
    <x:row r="243" ht="31" customHeight="1">
      <x:c r="A243" s="22" t="str">
        <x:v>dek</x:v>
      </x:c>
      <x:c r="B243" s="22" t="str">
        <x:v>dek-HUD</x:v>
      </x:c>
      <x:c r="C243" s="22" t="str">
        <x:v>Palette / projection</x:v>
      </x:c>
      <x:c r="D243" s="24" t="str">
        <x:v>UI 2D/3D cohérente avec la carte</x:v>
      </x:c>
      <x:c r="E243" s="22" t="str">
        <x:v>P1</x:v>
      </x:c>
      <x:c r="F243" s="22" t="str">
        <x:v>HUD connecté / simulation intacte ; QA visuelle restante</x:v>
      </x:c>
      <x:c r="G243" s="22" t="n">
        <x:v>3.5</x:v>
      </x:c>
      <x:c r="H243" s="22" t="n">
        <x:v>0</x:v>
      </x:c>
      <x:c r="I243" s="22" t="str">
        <x:v>public/gauntlets/v132/dek/hud.png</x:v>
      </x:c>
      <x:c r="J243" s="22" t="str">
        <x:v>https://wetaworkshopdesignstudio.artstation.com/projects/rlxRPa</x:v>
      </x:c>
      <x:c r="K243" s="24" t="str">
        <x:v>Preuve technique : app/game/ClanWarGauntletV131.tsx ; fichier distinct ne vaut pas texture ni proportions 1:1 ; heures non journalisées</x:v>
      </x:c>
    </x:row>
    <x:row r="244" ht="31" customHeight="1">
      <x:c r="A244" s="22" t="str">
        <x:v>dek</x:v>
      </x:c>
      <x:c r="B244" s="22" t="str">
        <x:v>dek-QA</x:v>
      </x:c>
      <x:c r="C244" s="22" t="str">
        <x:v>Comparaisons + tests</x:v>
      </x:c>
      <x:c r="D244" s="24" t="str">
        <x:v>Pivots, alpha, mobile, focus, 3 vues</x:v>
      </x:c>
      <x:c r="E244" s="22" t="str">
        <x:v>P1</x:v>
      </x:c>
      <x:c r="F244" s="22" t="str">
        <x:v>Tests CI source / alpha / type / navigateur autonome ; 1:1 restant</x:v>
      </x:c>
      <x:c r="G244" s="22" t="n">
        <x:v>4</x:v>
      </x:c>
      <x:c r="H244" s="22" t="n">
        <x:v>0</x:v>
      </x:c>
      <x:c r="I244" s="22" t="str">
        <x:v>public/gauntlets/v132/dek/qa.png</x:v>
      </x:c>
      <x:c r="J244" s="22" t="str">
        <x:v>https://wetaworkshopdesignstudio.artstation.com/projects/rlxRPa</x:v>
      </x:c>
      <x:c r="K244" s="24" t="str">
        <x:v>Preuve technique : tests/gauntlet-archive-studies-v136.test.mjs ; fichier distinct ne vaut pas texture ni proportions 1:1 ; heures non journalisées</x:v>
      </x:c>
    </x:row>
    <x:row r="245" ht="31" customHeight="1">
      <x:c r="A245" s="22" t="str">
        <x:v>kwei</x:v>
      </x:c>
      <x:c r="B245" s="22" t="str">
        <x:v>kwei-ARM-L</x:v>
      </x:c>
      <x:c r="C245" s="22" t="str">
        <x:v>Bras gauche / poignet</x:v>
      </x:c>
      <x:c r="D245" s="24" t="str">
        <x:v>Pivot &amp; peau / netting</x:v>
      </x:c>
      <x:c r="E245" s="22" t="str">
        <x:v>P2</x:v>
      </x:c>
      <x:c r="F245" s="22" t="str">
        <x:v>Prototype SVG individuel + alpha PNG</x:v>
      </x:c>
      <x:c r="G245" s="22" t="n">
        <x:v>3.5</x:v>
      </x:c>
      <x:c r="H245" s="22" t="n">
        <x:v>0</x:v>
      </x:c>
      <x:c r="I245" s="22" t="str">
        <x:v>public/gauntlets/v132/kwei/arm-l.png</x:v>
      </x:c>
      <x:c r="J245" s="22" t="str">
        <x:v>https://wetaworkshopdesignstudio.artstation.com/projects/rlxRPa</x:v>
      </x:c>
      <x:c r="K245" s="24" t="str">
        <x:v>Preuve technique : public/game/assets/v136/gauntlets/kwei/01-arm.svg ; fichier distinct ne vaut pas texture ni proportions 1:1 ; heures non journalisées</x:v>
      </x:c>
    </x:row>
    <x:row r="246" ht="31" customHeight="1">
      <x:c r="A246" s="22" t="str">
        <x:v>kwei</x:v>
      </x:c>
      <x:c r="B246" s="22" t="str">
        <x:v>kwei-SHELL-C</x:v>
      </x:c>
      <x:c r="C246" s="22" t="str">
        <x:v>Coque fermée</x:v>
      </x:c>
      <x:c r="D246" s="24" t="str">
        <x:v>Profil latéral et attaches</x:v>
      </x:c>
      <x:c r="E246" s="22" t="str">
        <x:v>P2</x:v>
      </x:c>
      <x:c r="F246" s="22" t="str">
        <x:v>Coque individuelle SVG + PNG, non 1:1</x:v>
      </x:c>
      <x:c r="G246" s="22" t="n">
        <x:v>4.5</x:v>
      </x:c>
      <x:c r="H246" s="22" t="n">
        <x:v>0</x:v>
      </x:c>
      <x:c r="I246" s="22" t="str">
        <x:v>public/gauntlets/v132/kwei/shell-c.png</x:v>
      </x:c>
      <x:c r="J246" s="22" t="str">
        <x:v>https://wetaworkshopdesignstudio.artstation.com/projects/rlxRPa</x:v>
      </x:c>
      <x:c r="K246" s="24" t="str">
        <x:v>Preuve technique : public/game/assets/v136/gauntlets/kwei/02-shell.svg ; fichier distinct ne vaut pas texture ni proportions 1:1 ; heures non journalisées</x:v>
      </x:c>
    </x:row>
    <x:row r="247" ht="31" customHeight="1">
      <x:c r="A247" s="22" t="str">
        <x:v>kwei</x:v>
      </x:c>
      <x:c r="B247" s="22" t="str">
        <x:v>kwei-SHELL-O</x:v>
      </x:c>
      <x:c r="C247" s="22" t="str">
        <x:v>Coque ouverte</x:v>
      </x:c>
      <x:c r="D247" s="24" t="str">
        <x:v>Charnières et trappe</x:v>
      </x:c>
      <x:c r="E247" s="22" t="str">
        <x:v>P2</x:v>
      </x:c>
      <x:c r="F247" s="22" t="str">
        <x:v>Capot ouvrable en React/CSS, animation partielle</x:v>
      </x:c>
      <x:c r="G247" s="22" t="n">
        <x:v>4.5</x:v>
      </x:c>
      <x:c r="H247" s="22" t="n">
        <x:v>0</x:v>
      </x:c>
      <x:c r="I247" s="22" t="str">
        <x:v>public/gauntlets/v132/kwei/shell-o.png</x:v>
      </x:c>
      <x:c r="J247" s="22" t="str">
        <x:v>https://wetaworkshopdesignstudio.artstation.com/projects/rlxRPa</x:v>
      </x:c>
      <x:c r="K247" s="24" t="str">
        <x:v>Preuve technique : public/game/assets/v136/gauntlets/kwei/04-lid.svg ; fichier distinct ne vaut pas texture ni proportions 1:1 ; heures non journalisées</x:v>
      </x:c>
    </x:row>
    <x:row r="248" ht="31" customHeight="1">
      <x:c r="A248" s="22" t="str">
        <x:v>kwei</x:v>
      </x:c>
      <x:c r="B248" s="22" t="str">
        <x:v>kwei-UI-RED</x:v>
      </x:c>
      <x:c r="C248" s="22" t="str">
        <x:v>Contrôle / glyphes</x:v>
      </x:c>
      <x:c r="D248" s="24" t="str">
        <x:v>Texte + segments lumineux</x:v>
      </x:c>
      <x:c r="E248" s="22" t="str">
        <x:v>P2</x:v>
      </x:c>
      <x:c r="F248" s="22" t="str">
        <x:v>Interface distincte en SVG / couleurs non certifiées</x:v>
      </x:c>
      <x:c r="G248" s="22" t="n">
        <x:v>3</x:v>
      </x:c>
      <x:c r="H248" s="22" t="n">
        <x:v>0</x:v>
      </x:c>
      <x:c r="I248" s="22" t="str">
        <x:v>public/gauntlets/v132/kwei/ui-red.png</x:v>
      </x:c>
      <x:c r="J248" s="22" t="str">
        <x:v>https://wetaworkshopdesignstudio.artstation.com/projects/rlxRPa</x:v>
      </x:c>
      <x:c r="K248" s="24" t="str">
        <x:v>Preuve technique : public/game/assets/v136/gauntlets/kwei/03-interface.svg ; fichier distinct ne vaut pas texture ni proportions 1:1 ; heures non journalisées</x:v>
      </x:c>
    </x:row>
    <x:row r="249" ht="31" customHeight="1">
      <x:c r="A249" s="22" t="str">
        <x:v>kwei</x:v>
      </x:c>
      <x:c r="B249" s="22" t="str">
        <x:v>kwei-RIBS</x:v>
      </x:c>
      <x:c r="C249" s="22" t="str">
        <x:v>Ribures et mécanique</x:v>
      </x:c>
      <x:c r="D249" s="24" t="str">
        <x:v>Plaques, vis, tuyaux</x:v>
      </x:c>
      <x:c r="E249" s="22" t="str">
        <x:v>P2</x:v>
      </x:c>
      <x:c r="F249" s="22" t="str">
        <x:v>Détails de coque présents, sous-pièces non séparées</x:v>
      </x:c>
      <x:c r="G249" s="22" t="n">
        <x:v>3.5</x:v>
      </x:c>
      <x:c r="H249" s="22" t="n">
        <x:v>0</x:v>
      </x:c>
      <x:c r="I249" s="22" t="str">
        <x:v>public/gauntlets/v132/kwei/ribs.png</x:v>
      </x:c>
      <x:c r="J249" s="22" t="str">
        <x:v>https://wetaworkshopdesignstudio.artstation.com/projects/rlxRPa</x:v>
      </x:c>
      <x:c r="K249" s="24" t="str">
        <x:v>Preuve technique : public/game/assets/v136/gauntlets/kwei/02-shell.svg ; fichier distinct ne vaut pas texture ni proportions 1:1 ; heures non journalisées</x:v>
      </x:c>
    </x:row>
    <x:row r="250" ht="31" customHeight="1">
      <x:c r="A250" s="22" t="str">
        <x:v>kwei</x:v>
      </x:c>
      <x:c r="B250" s="22" t="str">
        <x:v>kwei-BEAM</x:v>
      </x:c>
      <x:c r="C250" s="22" t="str">
        <x:v>Émetteur holographique</x:v>
      </x:c>
      <x:c r="D250" s="24" t="str">
        <x:v>Projection originale de jeu</x:v>
      </x:c>
      <x:c r="E250" s="22" t="str">
        <x:v>P2</x:v>
      </x:c>
      <x:c r="F250" s="22" t="str">
        <x:v>Faisceau du projet (JH dédié, autres effet commun)</x:v>
      </x:c>
      <x:c r="G250" s="22" t="n">
        <x:v>2.5</x:v>
      </x:c>
      <x:c r="H250" s="22" t="n">
        <x:v>0</x:v>
      </x:c>
      <x:c r="I250" s="22" t="str">
        <x:v>public/gauntlets/v132/kwei/beam.png</x:v>
      </x:c>
      <x:c r="J250" s="22" t="str">
        <x:v>https://wetaworkshopdesignstudio.artstation.com/projects/rlxRPa</x:v>
      </x:c>
      <x:c r="K250" s="24" t="str">
        <x:v>Preuve technique : app/game/ClanWarGauntletV131.tsx ; fichier distinct ne vaut pas texture ni proportions 1:1 ; heures non journalisées</x:v>
      </x:c>
    </x:row>
    <x:row r="251" ht="31" customHeight="1">
      <x:c r="A251" s="22" t="str">
        <x:v>kwei</x:v>
      </x:c>
      <x:c r="B251" s="22" t="str">
        <x:v>kwei-MOVE</x:v>
      </x:c>
      <x:c r="C251" s="22" t="str">
        <x:v>Animations 4 états</x:v>
      </x:c>
      <x:c r="D251" s="24" t="str">
        <x:v>lever, ouvrir, projeter, ranger</x:v>
      </x:c>
      <x:c r="E251" s="22" t="str">
        <x:v>P2</x:v>
      </x:c>
      <x:c r="F251" s="22" t="str">
        <x:v>Capot ouvert/fermé ; 3 gestes complets restent à faire</x:v>
      </x:c>
      <x:c r="G251" s="22" t="n">
        <x:v>5</x:v>
      </x:c>
      <x:c r="H251" s="22" t="n">
        <x:v>0</x:v>
      </x:c>
      <x:c r="I251" s="22" t="str">
        <x:v>public/gauntlets/v132/kwei/move.png</x:v>
      </x:c>
      <x:c r="J251" s="22" t="str">
        <x:v>https://wetaworkshopdesignstudio.artstation.com/projects/rlxRPa</x:v>
      </x:c>
      <x:c r="K251" s="24" t="str">
        <x:v>Preuve technique : public/game/assets/v136/gauntlets/kwei/04-lid.svg ; fichier distinct ne vaut pas texture ni proportions 1:1 ; heures non journalisées</x:v>
      </x:c>
    </x:row>
    <x:row r="252" ht="31" customHeight="1">
      <x:c r="A252" s="22" t="str">
        <x:v>kwei</x:v>
      </x:c>
      <x:c r="B252" s="22" t="str">
        <x:v>kwei-SFX</x:v>
      </x:c>
      <x:c r="C252" s="22" t="str">
        <x:v>Identité sonore</x:v>
      </x:c>
      <x:c r="D252" s="24" t="str">
        <x:v>4 sources originales non soumises aux droits de film</x:v>
      </x:c>
      <x:c r="E252" s="22" t="str">
        <x:v>P2</x:v>
      </x:c>
      <x:c r="F252" s="22" t="str">
        <x:v>Signature sonore par thème (10 profils), source non cinéma</x:v>
      </x:c>
      <x:c r="G252" s="22" t="n">
        <x:v>2</x:v>
      </x:c>
      <x:c r="H252" s="22" t="n">
        <x:v>0</x:v>
      </x:c>
      <x:c r="I252" s="22" t="str">
        <x:v>public/gauntlets/v132/kwei/sfx.png</x:v>
      </x:c>
      <x:c r="J252" s="22" t="str">
        <x:v>https://wetaworkshopdesignstudio.artstation.com/projects/rlxRPa</x:v>
      </x:c>
      <x:c r="K252" s="24" t="str">
        <x:v>Preuve technique : app/game/sound.ts ; fichier distinct ne vaut pas texture ni proportions 1:1 ; heures non journalisées</x:v>
      </x:c>
    </x:row>
    <x:row r="253" ht="31" customHeight="1">
      <x:c r="A253" s="22" t="str">
        <x:v>kwei</x:v>
      </x:c>
      <x:c r="B253" s="22" t="str">
        <x:v>kwei-HUD</x:v>
      </x:c>
      <x:c r="C253" s="22" t="str">
        <x:v>Palette / projection</x:v>
      </x:c>
      <x:c r="D253" s="24" t="str">
        <x:v>UI 2D/3D cohérente avec la carte</x:v>
      </x:c>
      <x:c r="E253" s="22" t="str">
        <x:v>P2</x:v>
      </x:c>
      <x:c r="F253" s="22" t="str">
        <x:v>HUD connecté / simulation intacte ; QA visuelle restante</x:v>
      </x:c>
      <x:c r="G253" s="22" t="n">
        <x:v>3.5</x:v>
      </x:c>
      <x:c r="H253" s="22" t="n">
        <x:v>0</x:v>
      </x:c>
      <x:c r="I253" s="22" t="str">
        <x:v>public/gauntlets/v132/kwei/hud.png</x:v>
      </x:c>
      <x:c r="J253" s="22" t="str">
        <x:v>https://wetaworkshopdesignstudio.artstation.com/projects/rlxRPa</x:v>
      </x:c>
      <x:c r="K253" s="24" t="str">
        <x:v>Preuve technique : app/game/ClanWarGauntletV131.tsx ; fichier distinct ne vaut pas texture ni proportions 1:1 ; heures non journalisées</x:v>
      </x:c>
    </x:row>
    <x:row r="254" ht="31" customHeight="1">
      <x:c r="A254" s="22" t="str">
        <x:v>kwei</x:v>
      </x:c>
      <x:c r="B254" s="22" t="str">
        <x:v>kwei-QA</x:v>
      </x:c>
      <x:c r="C254" s="22" t="str">
        <x:v>Comparaisons + tests</x:v>
      </x:c>
      <x:c r="D254" s="24" t="str">
        <x:v>Pivots, alpha, mobile, focus, 3 vues</x:v>
      </x:c>
      <x:c r="E254" s="22" t="str">
        <x:v>P2</x:v>
      </x:c>
      <x:c r="F254" s="22" t="str">
        <x:v>Tests CI source / alpha / type / navigateur autonome ; 1:1 restant</x:v>
      </x:c>
      <x:c r="G254" s="22" t="n">
        <x:v>4</x:v>
      </x:c>
      <x:c r="H254" s="22" t="n">
        <x:v>0</x:v>
      </x:c>
      <x:c r="I254" s="22" t="str">
        <x:v>public/gauntlets/v132/kwei/qa.png</x:v>
      </x:c>
      <x:c r="J254" s="22" t="str">
        <x:v>https://wetaworkshopdesignstudio.artstation.com/projects/rlxRPa</x:v>
      </x:c>
      <x:c r="K254" s="24" t="str">
        <x:v>Preuve technique : tests/gauntlet-archive-studies-v136.test.mjs ; fichier distinct ne vaut pas texture ni proportions 1:1 ; heures non journalisées</x:v>
      </x:c>
    </x:row>
    <x:row r="255" ht="31" customHeight="1">
      <x:c r="A255" s="22" t="str">
        <x:v>njohrr</x:v>
      </x:c>
      <x:c r="B255" s="22" t="str">
        <x:v>njohrr-ARM-L</x:v>
      </x:c>
      <x:c r="C255" s="22" t="str">
        <x:v>Bras gauche / poignet</x:v>
      </x:c>
      <x:c r="D255" s="24" t="str">
        <x:v>Pivot &amp; peau / netting</x:v>
      </x:c>
      <x:c r="E255" s="22" t="str">
        <x:v>P2</x:v>
      </x:c>
      <x:c r="F255" s="22" t="str">
        <x:v>Prototype SVG individuel + alpha PNG</x:v>
      </x:c>
      <x:c r="G255" s="22" t="n">
        <x:v>3.5</x:v>
      </x:c>
      <x:c r="H255" s="22" t="n">
        <x:v>0</x:v>
      </x:c>
      <x:c r="I255" s="22" t="str">
        <x:v>public/gauntlets/v132/njohrr/arm-l.png</x:v>
      </x:c>
      <x:c r="J255" s="22" t="str">
        <x:v>https://wetaworkshopdesignstudio.artstation.com/projects/rlxRPa</x:v>
      </x:c>
      <x:c r="K255" s="24" t="str">
        <x:v>Preuve technique : public/game/assets/v136/gauntlets/njohrr/01-arm.svg ; fichier distinct ne vaut pas texture ni proportions 1:1 ; heures non journalisées</x:v>
      </x:c>
    </x:row>
    <x:row r="256" ht="31" customHeight="1">
      <x:c r="A256" s="22" t="str">
        <x:v>njohrr</x:v>
      </x:c>
      <x:c r="B256" s="22" t="str">
        <x:v>njohrr-SHELL-C</x:v>
      </x:c>
      <x:c r="C256" s="22" t="str">
        <x:v>Coque fermée</x:v>
      </x:c>
      <x:c r="D256" s="24" t="str">
        <x:v>Profil latéral et attaches</x:v>
      </x:c>
      <x:c r="E256" s="22" t="str">
        <x:v>P2</x:v>
      </x:c>
      <x:c r="F256" s="22" t="str">
        <x:v>Coque individuelle SVG + PNG, non 1:1</x:v>
      </x:c>
      <x:c r="G256" s="22" t="n">
        <x:v>4.5</x:v>
      </x:c>
      <x:c r="H256" s="22" t="n">
        <x:v>0</x:v>
      </x:c>
      <x:c r="I256" s="22" t="str">
        <x:v>public/gauntlets/v132/njohrr/shell-c.png</x:v>
      </x:c>
      <x:c r="J256" s="22" t="str">
        <x:v>https://wetaworkshopdesignstudio.artstation.com/projects/rlxRPa</x:v>
      </x:c>
      <x:c r="K256" s="24" t="str">
        <x:v>Preuve technique : public/game/assets/v136/gauntlets/njohrr/02-shell.svg ; fichier distinct ne vaut pas texture ni proportions 1:1 ; heures non journalisées</x:v>
      </x:c>
    </x:row>
    <x:row r="257" ht="31" customHeight="1">
      <x:c r="A257" s="22" t="str">
        <x:v>njohrr</x:v>
      </x:c>
      <x:c r="B257" s="22" t="str">
        <x:v>njohrr-SHELL-O</x:v>
      </x:c>
      <x:c r="C257" s="22" t="str">
        <x:v>Coque ouverte</x:v>
      </x:c>
      <x:c r="D257" s="24" t="str">
        <x:v>Charnières et trappe</x:v>
      </x:c>
      <x:c r="E257" s="22" t="str">
        <x:v>P2</x:v>
      </x:c>
      <x:c r="F257" s="22" t="str">
        <x:v>Capot ouvrable en React/CSS, animation partielle</x:v>
      </x:c>
      <x:c r="G257" s="22" t="n">
        <x:v>4.5</x:v>
      </x:c>
      <x:c r="H257" s="22" t="n">
        <x:v>0</x:v>
      </x:c>
      <x:c r="I257" s="22" t="str">
        <x:v>public/gauntlets/v132/njohrr/shell-o.png</x:v>
      </x:c>
      <x:c r="J257" s="22" t="str">
        <x:v>https://wetaworkshopdesignstudio.artstation.com/projects/rlxRPa</x:v>
      </x:c>
      <x:c r="K257" s="24" t="str">
        <x:v>Preuve technique : public/game/assets/v136/gauntlets/njohrr/04-lid.svg ; fichier distinct ne vaut pas texture ni proportions 1:1 ; heures non journalisées</x:v>
      </x:c>
    </x:row>
    <x:row r="258" ht="31" customHeight="1">
      <x:c r="A258" s="22" t="str">
        <x:v>njohrr</x:v>
      </x:c>
      <x:c r="B258" s="22" t="str">
        <x:v>njohrr-UI-RED</x:v>
      </x:c>
      <x:c r="C258" s="22" t="str">
        <x:v>Contrôle / glyphes</x:v>
      </x:c>
      <x:c r="D258" s="24" t="str">
        <x:v>Texte + segments lumineux</x:v>
      </x:c>
      <x:c r="E258" s="22" t="str">
        <x:v>P2</x:v>
      </x:c>
      <x:c r="F258" s="22" t="str">
        <x:v>Interface distincte en SVG / couleurs non certifiées</x:v>
      </x:c>
      <x:c r="G258" s="22" t="n">
        <x:v>3</x:v>
      </x:c>
      <x:c r="H258" s="22" t="n">
        <x:v>0</x:v>
      </x:c>
      <x:c r="I258" s="22" t="str">
        <x:v>public/gauntlets/v132/njohrr/ui-red.png</x:v>
      </x:c>
      <x:c r="J258" s="22" t="str">
        <x:v>https://wetaworkshopdesignstudio.artstation.com/projects/rlxRPa</x:v>
      </x:c>
      <x:c r="K258" s="24" t="str">
        <x:v>Preuve technique : public/game/assets/v136/gauntlets/njohrr/03-interface.svg ; fichier distinct ne vaut pas texture ni proportions 1:1 ; heures non journalisées</x:v>
      </x:c>
    </x:row>
    <x:row r="259" ht="31" customHeight="1">
      <x:c r="A259" s="22" t="str">
        <x:v>njohrr</x:v>
      </x:c>
      <x:c r="B259" s="22" t="str">
        <x:v>njohrr-RIBS</x:v>
      </x:c>
      <x:c r="C259" s="22" t="str">
        <x:v>Ribures et mécanique</x:v>
      </x:c>
      <x:c r="D259" s="24" t="str">
        <x:v>Plaques, vis, tuyaux</x:v>
      </x:c>
      <x:c r="E259" s="22" t="str">
        <x:v>P2</x:v>
      </x:c>
      <x:c r="F259" s="22" t="str">
        <x:v>Détails de coque présents, sous-pièces non séparées</x:v>
      </x:c>
      <x:c r="G259" s="22" t="n">
        <x:v>3.5</x:v>
      </x:c>
      <x:c r="H259" s="22" t="n">
        <x:v>0</x:v>
      </x:c>
      <x:c r="I259" s="22" t="str">
        <x:v>public/gauntlets/v132/njohrr/ribs.png</x:v>
      </x:c>
      <x:c r="J259" s="22" t="str">
        <x:v>https://wetaworkshopdesignstudio.artstation.com/projects/rlxRPa</x:v>
      </x:c>
      <x:c r="K259" s="24" t="str">
        <x:v>Preuve technique : public/game/assets/v136/gauntlets/njohrr/02-shell.svg ; fichier distinct ne vaut pas texture ni proportions 1:1 ; heures non journalisées</x:v>
      </x:c>
    </x:row>
    <x:row r="260" ht="31" customHeight="1">
      <x:c r="A260" s="22" t="str">
        <x:v>njohrr</x:v>
      </x:c>
      <x:c r="B260" s="22" t="str">
        <x:v>njohrr-BEAM</x:v>
      </x:c>
      <x:c r="C260" s="22" t="str">
        <x:v>Émetteur holographique</x:v>
      </x:c>
      <x:c r="D260" s="24" t="str">
        <x:v>Projection originale de jeu</x:v>
      </x:c>
      <x:c r="E260" s="22" t="str">
        <x:v>P2</x:v>
      </x:c>
      <x:c r="F260" s="22" t="str">
        <x:v>Faisceau du projet (JH dédié, autres effet commun)</x:v>
      </x:c>
      <x:c r="G260" s="22" t="n">
        <x:v>2.5</x:v>
      </x:c>
      <x:c r="H260" s="22" t="n">
        <x:v>0</x:v>
      </x:c>
      <x:c r="I260" s="22" t="str">
        <x:v>public/gauntlets/v132/njohrr/beam.png</x:v>
      </x:c>
      <x:c r="J260" s="22" t="str">
        <x:v>https://wetaworkshopdesignstudio.artstation.com/projects/rlxRPa</x:v>
      </x:c>
      <x:c r="K260" s="24" t="str">
        <x:v>Preuve technique : app/game/ClanWarGauntletV131.tsx ; fichier distinct ne vaut pas texture ni proportions 1:1 ; heures non journalisées</x:v>
      </x:c>
    </x:row>
    <x:row r="261" ht="31" customHeight="1">
      <x:c r="A261" s="22" t="str">
        <x:v>njohrr</x:v>
      </x:c>
      <x:c r="B261" s="22" t="str">
        <x:v>njohrr-MOVE</x:v>
      </x:c>
      <x:c r="C261" s="22" t="str">
        <x:v>Animations 4 états</x:v>
      </x:c>
      <x:c r="D261" s="24" t="str">
        <x:v>lever, ouvrir, projeter, ranger</x:v>
      </x:c>
      <x:c r="E261" s="22" t="str">
        <x:v>P2</x:v>
      </x:c>
      <x:c r="F261" s="22" t="str">
        <x:v>Capot ouvert/fermé ; 3 gestes complets restent à faire</x:v>
      </x:c>
      <x:c r="G261" s="22" t="n">
        <x:v>5</x:v>
      </x:c>
      <x:c r="H261" s="22" t="n">
        <x:v>0</x:v>
      </x:c>
      <x:c r="I261" s="22" t="str">
        <x:v>public/gauntlets/v132/njohrr/move.png</x:v>
      </x:c>
      <x:c r="J261" s="22" t="str">
        <x:v>https://wetaworkshopdesignstudio.artstation.com/projects/rlxRPa</x:v>
      </x:c>
      <x:c r="K261" s="24" t="str">
        <x:v>Preuve technique : public/game/assets/v136/gauntlets/njohrr/04-lid.svg ; fichier distinct ne vaut pas texture ni proportions 1:1 ; heures non journalisées</x:v>
      </x:c>
    </x:row>
    <x:row r="262" ht="31" customHeight="1">
      <x:c r="A262" s="22" t="str">
        <x:v>njohrr</x:v>
      </x:c>
      <x:c r="B262" s="22" t="str">
        <x:v>njohrr-SFX</x:v>
      </x:c>
      <x:c r="C262" s="22" t="str">
        <x:v>Identité sonore</x:v>
      </x:c>
      <x:c r="D262" s="24" t="str">
        <x:v>4 sources originales non soumises aux droits de film</x:v>
      </x:c>
      <x:c r="E262" s="22" t="str">
        <x:v>P2</x:v>
      </x:c>
      <x:c r="F262" s="22" t="str">
        <x:v>Signature sonore par thème (10 profils), source non cinéma</x:v>
      </x:c>
      <x:c r="G262" s="22" t="n">
        <x:v>2</x:v>
      </x:c>
      <x:c r="H262" s="22" t="n">
        <x:v>0</x:v>
      </x:c>
      <x:c r="I262" s="22" t="str">
        <x:v>public/gauntlets/v132/njohrr/sfx.png</x:v>
      </x:c>
      <x:c r="J262" s="22" t="str">
        <x:v>https://wetaworkshopdesignstudio.artstation.com/projects/rlxRPa</x:v>
      </x:c>
      <x:c r="K262" s="24" t="str">
        <x:v>Preuve technique : app/game/sound.ts ; fichier distinct ne vaut pas texture ni proportions 1:1 ; heures non journalisées</x:v>
      </x:c>
    </x:row>
    <x:row r="263" ht="31" customHeight="1">
      <x:c r="A263" s="22" t="str">
        <x:v>njohrr</x:v>
      </x:c>
      <x:c r="B263" s="22" t="str">
        <x:v>njohrr-HUD</x:v>
      </x:c>
      <x:c r="C263" s="22" t="str">
        <x:v>Palette / projection</x:v>
      </x:c>
      <x:c r="D263" s="24" t="str">
        <x:v>UI 2D/3D cohérente avec la carte</x:v>
      </x:c>
      <x:c r="E263" s="22" t="str">
        <x:v>P2</x:v>
      </x:c>
      <x:c r="F263" s="22" t="str">
        <x:v>HUD connecté / simulation intacte ; QA visuelle restante</x:v>
      </x:c>
      <x:c r="G263" s="22" t="n">
        <x:v>3.5</x:v>
      </x:c>
      <x:c r="H263" s="22" t="n">
        <x:v>0</x:v>
      </x:c>
      <x:c r="I263" s="22" t="str">
        <x:v>public/gauntlets/v132/njohrr/hud.png</x:v>
      </x:c>
      <x:c r="J263" s="22" t="str">
        <x:v>https://wetaworkshopdesignstudio.artstation.com/projects/rlxRPa</x:v>
      </x:c>
      <x:c r="K263" s="24" t="str">
        <x:v>Preuve technique : app/game/ClanWarGauntletV131.tsx ; fichier distinct ne vaut pas texture ni proportions 1:1 ; heures non journalisées</x:v>
      </x:c>
    </x:row>
    <x:row r="264" ht="31" customHeight="1">
      <x:c r="A264" s="22" t="str">
        <x:v>njohrr</x:v>
      </x:c>
      <x:c r="B264" s="22" t="str">
        <x:v>njohrr-QA</x:v>
      </x:c>
      <x:c r="C264" s="22" t="str">
        <x:v>Comparaisons + tests</x:v>
      </x:c>
      <x:c r="D264" s="24" t="str">
        <x:v>Pivots, alpha, mobile, focus, 3 vues</x:v>
      </x:c>
      <x:c r="E264" s="22" t="str">
        <x:v>P2</x:v>
      </x:c>
      <x:c r="F264" s="22" t="str">
        <x:v>Tests CI source / alpha / type / navigateur autonome ; 1:1 restant</x:v>
      </x:c>
      <x:c r="G264" s="22" t="n">
        <x:v>4</x:v>
      </x:c>
      <x:c r="H264" s="22" t="n">
        <x:v>0</x:v>
      </x:c>
      <x:c r="I264" s="22" t="str">
        <x:v>public/gauntlets/v132/njohrr/qa.png</x:v>
      </x:c>
      <x:c r="J264" s="22" t="str">
        <x:v>https://wetaworkshopdesignstudio.artstation.com/projects/rlxRPa</x:v>
      </x:c>
      <x:c r="K264" s="24" t="str">
        <x:v>Preuve technique : tests/gauntlet-archive-studies-v136.test.mjs ; fichier distinct ne vaut pas texture ni proportions 1:1 ; heures non journalisées</x:v>
      </x:c>
    </x:row>
    <x:row r="265" ht="31" customHeight="1">
      <x:c r="A265" s="22" t="str">
        <x:v>kok-viking</x:v>
      </x:c>
      <x:c r="B265" s="22" t="str">
        <x:v>kok-viking-ARM-L</x:v>
      </x:c>
      <x:c r="C265" s="22" t="str">
        <x:v>Bras gauche / poignet</x:v>
      </x:c>
      <x:c r="D265" s="24" t="str">
        <x:v>Pivot &amp; peau / netting</x:v>
      </x:c>
      <x:c r="E265" s="22" t="str">
        <x:v>P2</x:v>
      </x:c>
      <x:c r="F265" s="22" t="str">
        <x:v>Prototype SVG individuel + alpha PNG</x:v>
      </x:c>
      <x:c r="G265" s="22" t="n">
        <x:v>3.5</x:v>
      </x:c>
      <x:c r="H265" s="22" t="n">
        <x:v>0</x:v>
      </x:c>
      <x:c r="I265" s="22" t="str">
        <x:v>public/gauntlets/v132/kok-viking/arm-l.png</x:v>
      </x:c>
      <x:c r="J265" s="22" t="str">
        <x:v>https://www.20thcenturystudios.com/movies/predator-killer-of-killers</x:v>
      </x:c>
      <x:c r="K265" s="24" t="str">
        <x:v>Preuve technique : public/game/assets/v136/gauntlets/kok-viking/01-arm.svg ; fichier distinct ne vaut pas texture ni proportions 1:1 ; heures non journalisées</x:v>
      </x:c>
    </x:row>
    <x:row r="266" ht="31" customHeight="1">
      <x:c r="A266" s="22" t="str">
        <x:v>kok-viking</x:v>
      </x:c>
      <x:c r="B266" s="22" t="str">
        <x:v>kok-viking-SHELL-C</x:v>
      </x:c>
      <x:c r="C266" s="22" t="str">
        <x:v>Coque fermée</x:v>
      </x:c>
      <x:c r="D266" s="24" t="str">
        <x:v>Profil latéral et attaches</x:v>
      </x:c>
      <x:c r="E266" s="22" t="str">
        <x:v>P2</x:v>
      </x:c>
      <x:c r="F266" s="22" t="str">
        <x:v>Coque individuelle SVG + PNG, non 1:1</x:v>
      </x:c>
      <x:c r="G266" s="22" t="n">
        <x:v>4.5</x:v>
      </x:c>
      <x:c r="H266" s="22" t="n">
        <x:v>0</x:v>
      </x:c>
      <x:c r="I266" s="22" t="str">
        <x:v>public/gauntlets/v132/kok-viking/shell-c.png</x:v>
      </x:c>
      <x:c r="J266" s="22" t="str">
        <x:v>https://www.20thcenturystudios.com/movies/predator-killer-of-killers</x:v>
      </x:c>
      <x:c r="K266" s="24" t="str">
        <x:v>Preuve technique : public/game/assets/v136/gauntlets/kok-viking/02-shell.svg ; fichier distinct ne vaut pas texture ni proportions 1:1 ; heures non journalisées</x:v>
      </x:c>
    </x:row>
    <x:row r="267" ht="31" customHeight="1">
      <x:c r="A267" s="22" t="str">
        <x:v>kok-viking</x:v>
      </x:c>
      <x:c r="B267" s="22" t="str">
        <x:v>kok-viking-SHELL-O</x:v>
      </x:c>
      <x:c r="C267" s="22" t="str">
        <x:v>Coque ouverte</x:v>
      </x:c>
      <x:c r="D267" s="24" t="str">
        <x:v>Charnières et trappe</x:v>
      </x:c>
      <x:c r="E267" s="22" t="str">
        <x:v>P2</x:v>
      </x:c>
      <x:c r="F267" s="22" t="str">
        <x:v>Capot ouvrable en React/CSS, animation partielle</x:v>
      </x:c>
      <x:c r="G267" s="22" t="n">
        <x:v>4.5</x:v>
      </x:c>
      <x:c r="H267" s="22" t="n">
        <x:v>0</x:v>
      </x:c>
      <x:c r="I267" s="22" t="str">
        <x:v>public/gauntlets/v132/kok-viking/shell-o.png</x:v>
      </x:c>
      <x:c r="J267" s="22" t="str">
        <x:v>https://www.20thcenturystudios.com/movies/predator-killer-of-killers</x:v>
      </x:c>
      <x:c r="K267" s="24" t="str">
        <x:v>Preuve technique : public/game/assets/v136/gauntlets/kok-viking/04-lid.svg ; fichier distinct ne vaut pas texture ni proportions 1:1 ; heures non journalisées</x:v>
      </x:c>
    </x:row>
    <x:row r="268" ht="31" customHeight="1">
      <x:c r="A268" s="22" t="str">
        <x:v>kok-viking</x:v>
      </x:c>
      <x:c r="B268" s="22" t="str">
        <x:v>kok-viking-UI-RED</x:v>
      </x:c>
      <x:c r="C268" s="22" t="str">
        <x:v>Contrôle / glyphes</x:v>
      </x:c>
      <x:c r="D268" s="24" t="str">
        <x:v>Texte + segments lumineux</x:v>
      </x:c>
      <x:c r="E268" s="22" t="str">
        <x:v>P2</x:v>
      </x:c>
      <x:c r="F268" s="22" t="str">
        <x:v>Interface distincte en SVG / couleurs non certifiées</x:v>
      </x:c>
      <x:c r="G268" s="22" t="n">
        <x:v>3</x:v>
      </x:c>
      <x:c r="H268" s="22" t="n">
        <x:v>0</x:v>
      </x:c>
      <x:c r="I268" s="22" t="str">
        <x:v>public/gauntlets/v132/kok-viking/ui-red.png</x:v>
      </x:c>
      <x:c r="J268" s="22" t="str">
        <x:v>https://www.20thcenturystudios.com/movies/predator-killer-of-killers</x:v>
      </x:c>
      <x:c r="K268" s="24" t="str">
        <x:v>Preuve technique : public/game/assets/v136/gauntlets/kok-viking/03-interface.svg ; fichier distinct ne vaut pas texture ni proportions 1:1 ; heures non journalisées</x:v>
      </x:c>
    </x:row>
    <x:row r="269" ht="31" customHeight="1">
      <x:c r="A269" s="22" t="str">
        <x:v>kok-viking</x:v>
      </x:c>
      <x:c r="B269" s="22" t="str">
        <x:v>kok-viking-RIBS</x:v>
      </x:c>
      <x:c r="C269" s="22" t="str">
        <x:v>Ribures et mécanique</x:v>
      </x:c>
      <x:c r="D269" s="24" t="str">
        <x:v>Plaques, vis, tuyaux</x:v>
      </x:c>
      <x:c r="E269" s="22" t="str">
        <x:v>P2</x:v>
      </x:c>
      <x:c r="F269" s="22" t="str">
        <x:v>Détails de coque présents, sous-pièces non séparées</x:v>
      </x:c>
      <x:c r="G269" s="22" t="n">
        <x:v>3.5</x:v>
      </x:c>
      <x:c r="H269" s="22" t="n">
        <x:v>0</x:v>
      </x:c>
      <x:c r="I269" s="22" t="str">
        <x:v>public/gauntlets/v132/kok-viking/ribs.png</x:v>
      </x:c>
      <x:c r="J269" s="22" t="str">
        <x:v>https://www.20thcenturystudios.com/movies/predator-killer-of-killers</x:v>
      </x:c>
      <x:c r="K269" s="24" t="str">
        <x:v>Preuve technique : public/game/assets/v136/gauntlets/kok-viking/02-shell.svg ; fichier distinct ne vaut pas texture ni proportions 1:1 ; heures non journalisées</x:v>
      </x:c>
    </x:row>
    <x:row r="270" ht="31" customHeight="1">
      <x:c r="A270" s="22" t="str">
        <x:v>kok-viking</x:v>
      </x:c>
      <x:c r="B270" s="22" t="str">
        <x:v>kok-viking-BEAM</x:v>
      </x:c>
      <x:c r="C270" s="22" t="str">
        <x:v>Émetteur holographique</x:v>
      </x:c>
      <x:c r="D270" s="24" t="str">
        <x:v>Projection originale de jeu</x:v>
      </x:c>
      <x:c r="E270" s="22" t="str">
        <x:v>P2</x:v>
      </x:c>
      <x:c r="F270" s="22" t="str">
        <x:v>Faisceau du projet (JH dédié, autres effet commun)</x:v>
      </x:c>
      <x:c r="G270" s="22" t="n">
        <x:v>2.5</x:v>
      </x:c>
      <x:c r="H270" s="22" t="n">
        <x:v>0</x:v>
      </x:c>
      <x:c r="I270" s="22" t="str">
        <x:v>public/gauntlets/v132/kok-viking/beam.png</x:v>
      </x:c>
      <x:c r="J270" s="22" t="str">
        <x:v>https://www.20thcenturystudios.com/movies/predator-killer-of-killers</x:v>
      </x:c>
      <x:c r="K270" s="24" t="str">
        <x:v>Preuve technique : app/game/ClanWarGauntletV131.tsx ; fichier distinct ne vaut pas texture ni proportions 1:1 ; heures non journalisées</x:v>
      </x:c>
    </x:row>
    <x:row r="271" ht="31" customHeight="1">
      <x:c r="A271" s="22" t="str">
        <x:v>kok-viking</x:v>
      </x:c>
      <x:c r="B271" s="22" t="str">
        <x:v>kok-viking-MOVE</x:v>
      </x:c>
      <x:c r="C271" s="22" t="str">
        <x:v>Animations 4 états</x:v>
      </x:c>
      <x:c r="D271" s="24" t="str">
        <x:v>lever, ouvrir, projeter, ranger</x:v>
      </x:c>
      <x:c r="E271" s="22" t="str">
        <x:v>P2</x:v>
      </x:c>
      <x:c r="F271" s="22" t="str">
        <x:v>Capot ouvert/fermé ; 3 gestes complets restent à faire</x:v>
      </x:c>
      <x:c r="G271" s="22" t="n">
        <x:v>5</x:v>
      </x:c>
      <x:c r="H271" s="22" t="n">
        <x:v>0</x:v>
      </x:c>
      <x:c r="I271" s="22" t="str">
        <x:v>public/gauntlets/v132/kok-viking/move.png</x:v>
      </x:c>
      <x:c r="J271" s="22" t="str">
        <x:v>https://www.20thcenturystudios.com/movies/predator-killer-of-killers</x:v>
      </x:c>
      <x:c r="K271" s="24" t="str">
        <x:v>Preuve technique : public/game/assets/v136/gauntlets/kok-viking/04-lid.svg ; fichier distinct ne vaut pas texture ni proportions 1:1 ; heures non journalisées</x:v>
      </x:c>
    </x:row>
    <x:row r="272" ht="31" customHeight="1">
      <x:c r="A272" s="22" t="str">
        <x:v>kok-viking</x:v>
      </x:c>
      <x:c r="B272" s="22" t="str">
        <x:v>kok-viking-SFX</x:v>
      </x:c>
      <x:c r="C272" s="22" t="str">
        <x:v>Identité sonore</x:v>
      </x:c>
      <x:c r="D272" s="24" t="str">
        <x:v>4 sources originales non soumises aux droits de film</x:v>
      </x:c>
      <x:c r="E272" s="22" t="str">
        <x:v>P2</x:v>
      </x:c>
      <x:c r="F272" s="22" t="str">
        <x:v>Signature sonore par thème (10 profils), source non cinéma</x:v>
      </x:c>
      <x:c r="G272" s="22" t="n">
        <x:v>2</x:v>
      </x:c>
      <x:c r="H272" s="22" t="n">
        <x:v>0</x:v>
      </x:c>
      <x:c r="I272" s="22" t="str">
        <x:v>public/gauntlets/v132/kok-viking/sfx.png</x:v>
      </x:c>
      <x:c r="J272" s="22" t="str">
        <x:v>https://www.20thcenturystudios.com/movies/predator-killer-of-killers</x:v>
      </x:c>
      <x:c r="K272" s="24" t="str">
        <x:v>Preuve technique : app/game/sound.ts ; fichier distinct ne vaut pas texture ni proportions 1:1 ; heures non journalisées</x:v>
      </x:c>
    </x:row>
    <x:row r="273" ht="31" customHeight="1">
      <x:c r="A273" s="22" t="str">
        <x:v>kok-viking</x:v>
      </x:c>
      <x:c r="B273" s="22" t="str">
        <x:v>kok-viking-HUD</x:v>
      </x:c>
      <x:c r="C273" s="22" t="str">
        <x:v>Palette / projection</x:v>
      </x:c>
      <x:c r="D273" s="24" t="str">
        <x:v>UI 2D/3D cohérente avec la carte</x:v>
      </x:c>
      <x:c r="E273" s="22" t="str">
        <x:v>P2</x:v>
      </x:c>
      <x:c r="F273" s="22" t="str">
        <x:v>HUD connecté / simulation intacte ; QA visuelle restante</x:v>
      </x:c>
      <x:c r="G273" s="22" t="n">
        <x:v>3.5</x:v>
      </x:c>
      <x:c r="H273" s="22" t="n">
        <x:v>0</x:v>
      </x:c>
      <x:c r="I273" s="22" t="str">
        <x:v>public/gauntlets/v132/kok-viking/hud.png</x:v>
      </x:c>
      <x:c r="J273" s="22" t="str">
        <x:v>https://www.20thcenturystudios.com/movies/predator-killer-of-killers</x:v>
      </x:c>
      <x:c r="K273" s="24" t="str">
        <x:v>Preuve technique : app/game/ClanWarGauntletV131.tsx ; fichier distinct ne vaut pas texture ni proportions 1:1 ; heures non journalisées</x:v>
      </x:c>
    </x:row>
    <x:row r="274" ht="31" customHeight="1">
      <x:c r="A274" s="22" t="str">
        <x:v>kok-viking</x:v>
      </x:c>
      <x:c r="B274" s="22" t="str">
        <x:v>kok-viking-QA</x:v>
      </x:c>
      <x:c r="C274" s="22" t="str">
        <x:v>Comparaisons + tests</x:v>
      </x:c>
      <x:c r="D274" s="24" t="str">
        <x:v>Pivots, alpha, mobile, focus, 3 vues</x:v>
      </x:c>
      <x:c r="E274" s="22" t="str">
        <x:v>P2</x:v>
      </x:c>
      <x:c r="F274" s="22" t="str">
        <x:v>Tests CI source / alpha / type / navigateur autonome ; 1:1 restant</x:v>
      </x:c>
      <x:c r="G274" s="22" t="n">
        <x:v>4</x:v>
      </x:c>
      <x:c r="H274" s="22" t="n">
        <x:v>0</x:v>
      </x:c>
      <x:c r="I274" s="22" t="str">
        <x:v>public/gauntlets/v132/kok-viking/qa.png</x:v>
      </x:c>
      <x:c r="J274" s="22" t="str">
        <x:v>https://www.20thcenturystudios.com/movies/predator-killer-of-killers</x:v>
      </x:c>
      <x:c r="K274" s="24" t="str">
        <x:v>Preuve technique : tests/gauntlet-archive-studies-v136.test.mjs ; fichier distinct ne vaut pas texture ni proportions 1:1 ; heures non journalisées</x:v>
      </x:c>
    </x:row>
    <x:row r="275" ht="31" customHeight="1">
      <x:c r="A275" s="22" t="str">
        <x:v>kok-ninja</x:v>
      </x:c>
      <x:c r="B275" s="22" t="str">
        <x:v>kok-ninja-ARM-L</x:v>
      </x:c>
      <x:c r="C275" s="22" t="str">
        <x:v>Bras gauche / poignet</x:v>
      </x:c>
      <x:c r="D275" s="24" t="str">
        <x:v>Pivot &amp; peau / netting</x:v>
      </x:c>
      <x:c r="E275" s="22" t="str">
        <x:v>P2</x:v>
      </x:c>
      <x:c r="F275" s="22" t="str">
        <x:v>Prototype SVG individuel + alpha PNG</x:v>
      </x:c>
      <x:c r="G275" s="22" t="n">
        <x:v>3.5</x:v>
      </x:c>
      <x:c r="H275" s="22" t="n">
        <x:v>0</x:v>
      </x:c>
      <x:c r="I275" s="22" t="str">
        <x:v>public/gauntlets/v132/kok-ninja/arm-l.png</x:v>
      </x:c>
      <x:c r="J275" s="22" t="str">
        <x:v>https://www.20thcenturystudios.com/movies/predator-killer-of-killers</x:v>
      </x:c>
      <x:c r="K275" s="24" t="str">
        <x:v>Preuve technique : public/game/assets/v136/gauntlets/kok-ninja/01-arm.svg ; fichier distinct ne vaut pas texture ni proportions 1:1 ; heures non journalisées</x:v>
      </x:c>
    </x:row>
    <x:row r="276" ht="31" customHeight="1">
      <x:c r="A276" s="22" t="str">
        <x:v>kok-ninja</x:v>
      </x:c>
      <x:c r="B276" s="22" t="str">
        <x:v>kok-ninja-SHELL-C</x:v>
      </x:c>
      <x:c r="C276" s="22" t="str">
        <x:v>Coque fermée</x:v>
      </x:c>
      <x:c r="D276" s="24" t="str">
        <x:v>Profil latéral et attaches</x:v>
      </x:c>
      <x:c r="E276" s="22" t="str">
        <x:v>P2</x:v>
      </x:c>
      <x:c r="F276" s="22" t="str">
        <x:v>Coque individuelle SVG + PNG, non 1:1</x:v>
      </x:c>
      <x:c r="G276" s="22" t="n">
        <x:v>4.5</x:v>
      </x:c>
      <x:c r="H276" s="22" t="n">
        <x:v>0</x:v>
      </x:c>
      <x:c r="I276" s="22" t="str">
        <x:v>public/gauntlets/v132/kok-ninja/shell-c.png</x:v>
      </x:c>
      <x:c r="J276" s="22" t="str">
        <x:v>https://www.20thcenturystudios.com/movies/predator-killer-of-killers</x:v>
      </x:c>
      <x:c r="K276" s="24" t="str">
        <x:v>Preuve technique : public/game/assets/v136/gauntlets/kok-ninja/02-shell.svg ; fichier distinct ne vaut pas texture ni proportions 1:1 ; heures non journalisées</x:v>
      </x:c>
    </x:row>
    <x:row r="277" ht="31" customHeight="1">
      <x:c r="A277" s="22" t="str">
        <x:v>kok-ninja</x:v>
      </x:c>
      <x:c r="B277" s="22" t="str">
        <x:v>kok-ninja-SHELL-O</x:v>
      </x:c>
      <x:c r="C277" s="22" t="str">
        <x:v>Coque ouverte</x:v>
      </x:c>
      <x:c r="D277" s="24" t="str">
        <x:v>Charnières et trappe</x:v>
      </x:c>
      <x:c r="E277" s="22" t="str">
        <x:v>P2</x:v>
      </x:c>
      <x:c r="F277" s="22" t="str">
        <x:v>Capot ouvrable en React/CSS, animation partielle</x:v>
      </x:c>
      <x:c r="G277" s="22" t="n">
        <x:v>4.5</x:v>
      </x:c>
      <x:c r="H277" s="22" t="n">
        <x:v>0</x:v>
      </x:c>
      <x:c r="I277" s="22" t="str">
        <x:v>public/gauntlets/v132/kok-ninja/shell-o.png</x:v>
      </x:c>
      <x:c r="J277" s="22" t="str">
        <x:v>https://www.20thcenturystudios.com/movies/predator-killer-of-killers</x:v>
      </x:c>
      <x:c r="K277" s="24" t="str">
        <x:v>Preuve technique : public/game/assets/v136/gauntlets/kok-ninja/04-lid.svg ; fichier distinct ne vaut pas texture ni proportions 1:1 ; heures non journalisées</x:v>
      </x:c>
    </x:row>
    <x:row r="278" ht="31" customHeight="1">
      <x:c r="A278" s="22" t="str">
        <x:v>kok-ninja</x:v>
      </x:c>
      <x:c r="B278" s="22" t="str">
        <x:v>kok-ninja-UI-RED</x:v>
      </x:c>
      <x:c r="C278" s="22" t="str">
        <x:v>Contrôle / glyphes</x:v>
      </x:c>
      <x:c r="D278" s="24" t="str">
        <x:v>Texte + segments lumineux</x:v>
      </x:c>
      <x:c r="E278" s="22" t="str">
        <x:v>P2</x:v>
      </x:c>
      <x:c r="F278" s="22" t="str">
        <x:v>Interface distincte en SVG / couleurs non certifiées</x:v>
      </x:c>
      <x:c r="G278" s="22" t="n">
        <x:v>3</x:v>
      </x:c>
      <x:c r="H278" s="22" t="n">
        <x:v>0</x:v>
      </x:c>
      <x:c r="I278" s="22" t="str">
        <x:v>public/gauntlets/v132/kok-ninja/ui-red.png</x:v>
      </x:c>
      <x:c r="J278" s="22" t="str">
        <x:v>https://www.20thcenturystudios.com/movies/predator-killer-of-killers</x:v>
      </x:c>
      <x:c r="K278" s="24" t="str">
        <x:v>Preuve technique : public/game/assets/v136/gauntlets/kok-ninja/03-interface.svg ; fichier distinct ne vaut pas texture ni proportions 1:1 ; heures non journalisées</x:v>
      </x:c>
    </x:row>
    <x:row r="279" ht="31" customHeight="1">
      <x:c r="A279" s="22" t="str">
        <x:v>kok-ninja</x:v>
      </x:c>
      <x:c r="B279" s="22" t="str">
        <x:v>kok-ninja-RIBS</x:v>
      </x:c>
      <x:c r="C279" s="22" t="str">
        <x:v>Ribures et mécanique</x:v>
      </x:c>
      <x:c r="D279" s="24" t="str">
        <x:v>Plaques, vis, tuyaux</x:v>
      </x:c>
      <x:c r="E279" s="22" t="str">
        <x:v>P2</x:v>
      </x:c>
      <x:c r="F279" s="22" t="str">
        <x:v>Détails de coque présents, sous-pièces non séparées</x:v>
      </x:c>
      <x:c r="G279" s="22" t="n">
        <x:v>3.5</x:v>
      </x:c>
      <x:c r="H279" s="22" t="n">
        <x:v>0</x:v>
      </x:c>
      <x:c r="I279" s="22" t="str">
        <x:v>public/gauntlets/v132/kok-ninja/ribs.png</x:v>
      </x:c>
      <x:c r="J279" s="22" t="str">
        <x:v>https://www.20thcenturystudios.com/movies/predator-killer-of-killers</x:v>
      </x:c>
      <x:c r="K279" s="24" t="str">
        <x:v>Preuve technique : public/game/assets/v136/gauntlets/kok-ninja/02-shell.svg ; fichier distinct ne vaut pas texture ni proportions 1:1 ; heures non journalisées</x:v>
      </x:c>
    </x:row>
    <x:row r="280" ht="31" customHeight="1">
      <x:c r="A280" s="22" t="str">
        <x:v>kok-ninja</x:v>
      </x:c>
      <x:c r="B280" s="22" t="str">
        <x:v>kok-ninja-BEAM</x:v>
      </x:c>
      <x:c r="C280" s="22" t="str">
        <x:v>Émetteur holographique</x:v>
      </x:c>
      <x:c r="D280" s="24" t="str">
        <x:v>Projection originale de jeu</x:v>
      </x:c>
      <x:c r="E280" s="22" t="str">
        <x:v>P2</x:v>
      </x:c>
      <x:c r="F280" s="22" t="str">
        <x:v>Faisceau du projet (JH dédié, autres effet commun)</x:v>
      </x:c>
      <x:c r="G280" s="22" t="n">
        <x:v>2.5</x:v>
      </x:c>
      <x:c r="H280" s="22" t="n">
        <x:v>0</x:v>
      </x:c>
      <x:c r="I280" s="22" t="str">
        <x:v>public/gauntlets/v132/kok-ninja/beam.png</x:v>
      </x:c>
      <x:c r="J280" s="22" t="str">
        <x:v>https://www.20thcenturystudios.com/movies/predator-killer-of-killers</x:v>
      </x:c>
      <x:c r="K280" s="24" t="str">
        <x:v>Preuve technique : app/game/ClanWarGauntletV131.tsx ; fichier distinct ne vaut pas texture ni proportions 1:1 ; heures non journalisées</x:v>
      </x:c>
    </x:row>
    <x:row r="281" ht="31" customHeight="1">
      <x:c r="A281" s="22" t="str">
        <x:v>kok-ninja</x:v>
      </x:c>
      <x:c r="B281" s="22" t="str">
        <x:v>kok-ninja-MOVE</x:v>
      </x:c>
      <x:c r="C281" s="22" t="str">
        <x:v>Animations 4 états</x:v>
      </x:c>
      <x:c r="D281" s="24" t="str">
        <x:v>lever, ouvrir, projeter, ranger</x:v>
      </x:c>
      <x:c r="E281" s="22" t="str">
        <x:v>P2</x:v>
      </x:c>
      <x:c r="F281" s="22" t="str">
        <x:v>Capot ouvert/fermé ; 3 gestes complets restent à faire</x:v>
      </x:c>
      <x:c r="G281" s="22" t="n">
        <x:v>5</x:v>
      </x:c>
      <x:c r="H281" s="22" t="n">
        <x:v>0</x:v>
      </x:c>
      <x:c r="I281" s="22" t="str">
        <x:v>public/gauntlets/v132/kok-ninja/move.png</x:v>
      </x:c>
      <x:c r="J281" s="22" t="str">
        <x:v>https://www.20thcenturystudios.com/movies/predator-killer-of-killers</x:v>
      </x:c>
      <x:c r="K281" s="24" t="str">
        <x:v>Preuve technique : public/game/assets/v136/gauntlets/kok-ninja/04-lid.svg ; fichier distinct ne vaut pas texture ni proportions 1:1 ; heures non journalisées</x:v>
      </x:c>
    </x:row>
    <x:row r="282" ht="31" customHeight="1">
      <x:c r="A282" s="22" t="str">
        <x:v>kok-ninja</x:v>
      </x:c>
      <x:c r="B282" s="22" t="str">
        <x:v>kok-ninja-SFX</x:v>
      </x:c>
      <x:c r="C282" s="22" t="str">
        <x:v>Identité sonore</x:v>
      </x:c>
      <x:c r="D282" s="24" t="str">
        <x:v>4 sources originales non soumises aux droits de film</x:v>
      </x:c>
      <x:c r="E282" s="22" t="str">
        <x:v>P2</x:v>
      </x:c>
      <x:c r="F282" s="22" t="str">
        <x:v>Signature sonore par thème (10 profils), source non cinéma</x:v>
      </x:c>
      <x:c r="G282" s="22" t="n">
        <x:v>2</x:v>
      </x:c>
      <x:c r="H282" s="22" t="n">
        <x:v>0</x:v>
      </x:c>
      <x:c r="I282" s="22" t="str">
        <x:v>public/gauntlets/v132/kok-ninja/sfx.png</x:v>
      </x:c>
      <x:c r="J282" s="22" t="str">
        <x:v>https://www.20thcenturystudios.com/movies/predator-killer-of-killers</x:v>
      </x:c>
      <x:c r="K282" s="24" t="str">
        <x:v>Preuve technique : app/game/sound.ts ; fichier distinct ne vaut pas texture ni proportions 1:1 ; heures non journalisées</x:v>
      </x:c>
    </x:row>
    <x:row r="283" ht="31" customHeight="1">
      <x:c r="A283" s="22" t="str">
        <x:v>kok-ninja</x:v>
      </x:c>
      <x:c r="B283" s="22" t="str">
        <x:v>kok-ninja-HUD</x:v>
      </x:c>
      <x:c r="C283" s="22" t="str">
        <x:v>Palette / projection</x:v>
      </x:c>
      <x:c r="D283" s="24" t="str">
        <x:v>UI 2D/3D cohérente avec la carte</x:v>
      </x:c>
      <x:c r="E283" s="22" t="str">
        <x:v>P2</x:v>
      </x:c>
      <x:c r="F283" s="22" t="str">
        <x:v>HUD connecté / simulation intacte ; QA visuelle restante</x:v>
      </x:c>
      <x:c r="G283" s="22" t="n">
        <x:v>3.5</x:v>
      </x:c>
      <x:c r="H283" s="22" t="n">
        <x:v>0</x:v>
      </x:c>
      <x:c r="I283" s="22" t="str">
        <x:v>public/gauntlets/v132/kok-ninja/hud.png</x:v>
      </x:c>
      <x:c r="J283" s="22" t="str">
        <x:v>https://www.20thcenturystudios.com/movies/predator-killer-of-killers</x:v>
      </x:c>
      <x:c r="K283" s="24" t="str">
        <x:v>Preuve technique : app/game/ClanWarGauntletV131.tsx ; fichier distinct ne vaut pas texture ni proportions 1:1 ; heures non journalisées</x:v>
      </x:c>
    </x:row>
    <x:row r="284" ht="31" customHeight="1">
      <x:c r="A284" s="22" t="str">
        <x:v>kok-ninja</x:v>
      </x:c>
      <x:c r="B284" s="22" t="str">
        <x:v>kok-ninja-QA</x:v>
      </x:c>
      <x:c r="C284" s="22" t="str">
        <x:v>Comparaisons + tests</x:v>
      </x:c>
      <x:c r="D284" s="24" t="str">
        <x:v>Pivots, alpha, mobile, focus, 3 vues</x:v>
      </x:c>
      <x:c r="E284" s="22" t="str">
        <x:v>P2</x:v>
      </x:c>
      <x:c r="F284" s="22" t="str">
        <x:v>Tests CI source / alpha / type / navigateur autonome ; 1:1 restant</x:v>
      </x:c>
      <x:c r="G284" s="22" t="n">
        <x:v>4</x:v>
      </x:c>
      <x:c r="H284" s="22" t="n">
        <x:v>0</x:v>
      </x:c>
      <x:c r="I284" s="22" t="str">
        <x:v>public/gauntlets/v132/kok-ninja/qa.png</x:v>
      </x:c>
      <x:c r="J284" s="22" t="str">
        <x:v>https://www.20thcenturystudios.com/movies/predator-killer-of-killers</x:v>
      </x:c>
      <x:c r="K284" s="24" t="str">
        <x:v>Preuve technique : tests/gauntlet-archive-studies-v136.test.mjs ; fichier distinct ne vaut pas texture ni proportions 1:1 ; heures non journalisées</x:v>
      </x:c>
    </x:row>
    <x:row r="285" ht="31" customHeight="1">
      <x:c r="A285" s="22" t="str">
        <x:v>kok-pilot</x:v>
      </x:c>
      <x:c r="B285" s="22" t="str">
        <x:v>kok-pilot-ARM-L</x:v>
      </x:c>
      <x:c r="C285" s="22" t="str">
        <x:v>Bras gauche / poignet</x:v>
      </x:c>
      <x:c r="D285" s="24" t="str">
        <x:v>Pivot &amp; peau / netting</x:v>
      </x:c>
      <x:c r="E285" s="22" t="str">
        <x:v>P2</x:v>
      </x:c>
      <x:c r="F285" s="22" t="str">
        <x:v>Prototype SVG individuel + alpha PNG</x:v>
      </x:c>
      <x:c r="G285" s="22" t="n">
        <x:v>3.5</x:v>
      </x:c>
      <x:c r="H285" s="22" t="n">
        <x:v>0</x:v>
      </x:c>
      <x:c r="I285" s="22" t="str">
        <x:v>public/gauntlets/v132/kok-pilot/arm-l.png</x:v>
      </x:c>
      <x:c r="J285" s="22" t="str">
        <x:v>https://www.20thcenturystudios.com/movies/predator-killer-of-killers</x:v>
      </x:c>
      <x:c r="K285" s="24" t="str">
        <x:v>Preuve technique : public/game/assets/v136/gauntlets/kok-pilot/01-arm.svg ; fichier distinct ne vaut pas texture ni proportions 1:1 ; heures non journalisées</x:v>
      </x:c>
    </x:row>
    <x:row r="286" ht="31" customHeight="1">
      <x:c r="A286" s="22" t="str">
        <x:v>kok-pilot</x:v>
      </x:c>
      <x:c r="B286" s="22" t="str">
        <x:v>kok-pilot-SHELL-C</x:v>
      </x:c>
      <x:c r="C286" s="22" t="str">
        <x:v>Coque fermée</x:v>
      </x:c>
      <x:c r="D286" s="24" t="str">
        <x:v>Profil latéral et attaches</x:v>
      </x:c>
      <x:c r="E286" s="22" t="str">
        <x:v>P2</x:v>
      </x:c>
      <x:c r="F286" s="22" t="str">
        <x:v>Coque individuelle SVG + PNG, non 1:1</x:v>
      </x:c>
      <x:c r="G286" s="22" t="n">
        <x:v>4.5</x:v>
      </x:c>
      <x:c r="H286" s="22" t="n">
        <x:v>0</x:v>
      </x:c>
      <x:c r="I286" s="22" t="str">
        <x:v>public/gauntlets/v132/kok-pilot/shell-c.png</x:v>
      </x:c>
      <x:c r="J286" s="22" t="str">
        <x:v>https://www.20thcenturystudios.com/movies/predator-killer-of-killers</x:v>
      </x:c>
      <x:c r="K286" s="24" t="str">
        <x:v>Preuve technique : public/game/assets/v136/gauntlets/kok-pilot/02-shell.svg ; fichier distinct ne vaut pas texture ni proportions 1:1 ; heures non journalisées</x:v>
      </x:c>
    </x:row>
    <x:row r="287" ht="31" customHeight="1">
      <x:c r="A287" s="22" t="str">
        <x:v>kok-pilot</x:v>
      </x:c>
      <x:c r="B287" s="22" t="str">
        <x:v>kok-pilot-SHELL-O</x:v>
      </x:c>
      <x:c r="C287" s="22" t="str">
        <x:v>Coque ouverte</x:v>
      </x:c>
      <x:c r="D287" s="24" t="str">
        <x:v>Charnières et trappe</x:v>
      </x:c>
      <x:c r="E287" s="22" t="str">
        <x:v>P2</x:v>
      </x:c>
      <x:c r="F287" s="22" t="str">
        <x:v>Capot ouvrable en React/CSS, animation partielle</x:v>
      </x:c>
      <x:c r="G287" s="22" t="n">
        <x:v>4.5</x:v>
      </x:c>
      <x:c r="H287" s="22" t="n">
        <x:v>0</x:v>
      </x:c>
      <x:c r="I287" s="22" t="str">
        <x:v>public/gauntlets/v132/kok-pilot/shell-o.png</x:v>
      </x:c>
      <x:c r="J287" s="22" t="str">
        <x:v>https://www.20thcenturystudios.com/movies/predator-killer-of-killers</x:v>
      </x:c>
      <x:c r="K287" s="24" t="str">
        <x:v>Preuve technique : public/game/assets/v136/gauntlets/kok-pilot/04-lid.svg ; fichier distinct ne vaut pas texture ni proportions 1:1 ; heures non journalisées</x:v>
      </x:c>
    </x:row>
    <x:row r="288" ht="31" customHeight="1">
      <x:c r="A288" s="22" t="str">
        <x:v>kok-pilot</x:v>
      </x:c>
      <x:c r="B288" s="22" t="str">
        <x:v>kok-pilot-UI-RED</x:v>
      </x:c>
      <x:c r="C288" s="22" t="str">
        <x:v>Contrôle / glyphes</x:v>
      </x:c>
      <x:c r="D288" s="24" t="str">
        <x:v>Texte + segments lumineux</x:v>
      </x:c>
      <x:c r="E288" s="22" t="str">
        <x:v>P2</x:v>
      </x:c>
      <x:c r="F288" s="22" t="str">
        <x:v>Interface distincte en SVG / couleurs non certifiées</x:v>
      </x:c>
      <x:c r="G288" s="22" t="n">
        <x:v>3</x:v>
      </x:c>
      <x:c r="H288" s="22" t="n">
        <x:v>0</x:v>
      </x:c>
      <x:c r="I288" s="22" t="str">
        <x:v>public/gauntlets/v132/kok-pilot/ui-red.png</x:v>
      </x:c>
      <x:c r="J288" s="22" t="str">
        <x:v>https://www.20thcenturystudios.com/movies/predator-killer-of-killers</x:v>
      </x:c>
      <x:c r="K288" s="24" t="str">
        <x:v>Preuve technique : public/game/assets/v136/gauntlets/kok-pilot/03-interface.svg ; fichier distinct ne vaut pas texture ni proportions 1:1 ; heures non journalisées</x:v>
      </x:c>
    </x:row>
    <x:row r="289" ht="31" customHeight="1">
      <x:c r="A289" s="22" t="str">
        <x:v>kok-pilot</x:v>
      </x:c>
      <x:c r="B289" s="22" t="str">
        <x:v>kok-pilot-RIBS</x:v>
      </x:c>
      <x:c r="C289" s="22" t="str">
        <x:v>Ribures et mécanique</x:v>
      </x:c>
      <x:c r="D289" s="24" t="str">
        <x:v>Plaques, vis, tuyaux</x:v>
      </x:c>
      <x:c r="E289" s="22" t="str">
        <x:v>P2</x:v>
      </x:c>
      <x:c r="F289" s="22" t="str">
        <x:v>Détails de coque présents, sous-pièces non séparées</x:v>
      </x:c>
      <x:c r="G289" s="22" t="n">
        <x:v>3.5</x:v>
      </x:c>
      <x:c r="H289" s="22" t="n">
        <x:v>0</x:v>
      </x:c>
      <x:c r="I289" s="22" t="str">
        <x:v>public/gauntlets/v132/kok-pilot/ribs.png</x:v>
      </x:c>
      <x:c r="J289" s="22" t="str">
        <x:v>https://www.20thcenturystudios.com/movies/predator-killer-of-killers</x:v>
      </x:c>
      <x:c r="K289" s="24" t="str">
        <x:v>Preuve technique : public/game/assets/v136/gauntlets/kok-pilot/02-shell.svg ; fichier distinct ne vaut pas texture ni proportions 1:1 ; heures non journalisées</x:v>
      </x:c>
    </x:row>
    <x:row r="290" ht="31" customHeight="1">
      <x:c r="A290" s="22" t="str">
        <x:v>kok-pilot</x:v>
      </x:c>
      <x:c r="B290" s="22" t="str">
        <x:v>kok-pilot-BEAM</x:v>
      </x:c>
      <x:c r="C290" s="22" t="str">
        <x:v>Émetteur holographique</x:v>
      </x:c>
      <x:c r="D290" s="24" t="str">
        <x:v>Projection originale de jeu</x:v>
      </x:c>
      <x:c r="E290" s="22" t="str">
        <x:v>P2</x:v>
      </x:c>
      <x:c r="F290" s="22" t="str">
        <x:v>Faisceau du projet (JH dédié, autres effet commun)</x:v>
      </x:c>
      <x:c r="G290" s="22" t="n">
        <x:v>2.5</x:v>
      </x:c>
      <x:c r="H290" s="22" t="n">
        <x:v>0</x:v>
      </x:c>
      <x:c r="I290" s="22" t="str">
        <x:v>public/gauntlets/v132/kok-pilot/beam.png</x:v>
      </x:c>
      <x:c r="J290" s="22" t="str">
        <x:v>https://www.20thcenturystudios.com/movies/predator-killer-of-killers</x:v>
      </x:c>
      <x:c r="K290" s="24" t="str">
        <x:v>Preuve technique : app/game/ClanWarGauntletV131.tsx ; fichier distinct ne vaut pas texture ni proportions 1:1 ; heures non journalisées</x:v>
      </x:c>
    </x:row>
    <x:row r="291" ht="31" customHeight="1">
      <x:c r="A291" s="22" t="str">
        <x:v>kok-pilot</x:v>
      </x:c>
      <x:c r="B291" s="22" t="str">
        <x:v>kok-pilot-MOVE</x:v>
      </x:c>
      <x:c r="C291" s="22" t="str">
        <x:v>Animations 4 états</x:v>
      </x:c>
      <x:c r="D291" s="24" t="str">
        <x:v>lever, ouvrir, projeter, ranger</x:v>
      </x:c>
      <x:c r="E291" s="22" t="str">
        <x:v>P2</x:v>
      </x:c>
      <x:c r="F291" s="22" t="str">
        <x:v>Capot ouvert/fermé ; 3 gestes complets restent à faire</x:v>
      </x:c>
      <x:c r="G291" s="22" t="n">
        <x:v>5</x:v>
      </x:c>
      <x:c r="H291" s="22" t="n">
        <x:v>0</x:v>
      </x:c>
      <x:c r="I291" s="22" t="str">
        <x:v>public/gauntlets/v132/kok-pilot/move.png</x:v>
      </x:c>
      <x:c r="J291" s="22" t="str">
        <x:v>https://www.20thcenturystudios.com/movies/predator-killer-of-killers</x:v>
      </x:c>
      <x:c r="K291" s="24" t="str">
        <x:v>Preuve technique : public/game/assets/v136/gauntlets/kok-pilot/04-lid.svg ; fichier distinct ne vaut pas texture ni proportions 1:1 ; heures non journalisées</x:v>
      </x:c>
    </x:row>
    <x:row r="292" ht="31" customHeight="1">
      <x:c r="A292" s="22" t="str">
        <x:v>kok-pilot</x:v>
      </x:c>
      <x:c r="B292" s="22" t="str">
        <x:v>kok-pilot-SFX</x:v>
      </x:c>
      <x:c r="C292" s="22" t="str">
        <x:v>Identité sonore</x:v>
      </x:c>
      <x:c r="D292" s="24" t="str">
        <x:v>4 sources originales non soumises aux droits de film</x:v>
      </x:c>
      <x:c r="E292" s="22" t="str">
        <x:v>P2</x:v>
      </x:c>
      <x:c r="F292" s="22" t="str">
        <x:v>Signature sonore par thème (10 profils), source non cinéma</x:v>
      </x:c>
      <x:c r="G292" s="22" t="n">
        <x:v>2</x:v>
      </x:c>
      <x:c r="H292" s="22" t="n">
        <x:v>0</x:v>
      </x:c>
      <x:c r="I292" s="22" t="str">
        <x:v>public/gauntlets/v132/kok-pilot/sfx.png</x:v>
      </x:c>
      <x:c r="J292" s="22" t="str">
        <x:v>https://www.20thcenturystudios.com/movies/predator-killer-of-killers</x:v>
      </x:c>
      <x:c r="K292" s="24" t="str">
        <x:v>Preuve technique : app/game/sound.ts ; fichier distinct ne vaut pas texture ni proportions 1:1 ; heures non journalisées</x:v>
      </x:c>
    </x:row>
    <x:row r="293" ht="31" customHeight="1">
      <x:c r="A293" s="22" t="str">
        <x:v>kok-pilot</x:v>
      </x:c>
      <x:c r="B293" s="22" t="str">
        <x:v>kok-pilot-HUD</x:v>
      </x:c>
      <x:c r="C293" s="22" t="str">
        <x:v>Palette / projection</x:v>
      </x:c>
      <x:c r="D293" s="24" t="str">
        <x:v>UI 2D/3D cohérente avec la carte</x:v>
      </x:c>
      <x:c r="E293" s="22" t="str">
        <x:v>P2</x:v>
      </x:c>
      <x:c r="F293" s="22" t="str">
        <x:v>HUD connecté / simulation intacte ; QA visuelle restante</x:v>
      </x:c>
      <x:c r="G293" s="22" t="n">
        <x:v>3.5</x:v>
      </x:c>
      <x:c r="H293" s="22" t="n">
        <x:v>0</x:v>
      </x:c>
      <x:c r="I293" s="22" t="str">
        <x:v>public/gauntlets/v132/kok-pilot/hud.png</x:v>
      </x:c>
      <x:c r="J293" s="22" t="str">
        <x:v>https://www.20thcenturystudios.com/movies/predator-killer-of-killers</x:v>
      </x:c>
      <x:c r="K293" s="24" t="str">
        <x:v>Preuve technique : app/game/ClanWarGauntletV131.tsx ; fichier distinct ne vaut pas texture ni proportions 1:1 ; heures non journalisées</x:v>
      </x:c>
    </x:row>
    <x:row r="294" ht="31" customHeight="1">
      <x:c r="A294" s="22" t="str">
        <x:v>kok-pilot</x:v>
      </x:c>
      <x:c r="B294" s="22" t="str">
        <x:v>kok-pilot-QA</x:v>
      </x:c>
      <x:c r="C294" s="22" t="str">
        <x:v>Comparaisons + tests</x:v>
      </x:c>
      <x:c r="D294" s="24" t="str">
        <x:v>Pivots, alpha, mobile, focus, 3 vues</x:v>
      </x:c>
      <x:c r="E294" s="22" t="str">
        <x:v>P2</x:v>
      </x:c>
      <x:c r="F294" s="22" t="str">
        <x:v>Tests CI source / alpha / type / navigateur autonome ; 1:1 restant</x:v>
      </x:c>
      <x:c r="G294" s="22" t="n">
        <x:v>4</x:v>
      </x:c>
      <x:c r="H294" s="22" t="n">
        <x:v>0</x:v>
      </x:c>
      <x:c r="I294" s="22" t="str">
        <x:v>public/gauntlets/v132/kok-pilot/qa.png</x:v>
      </x:c>
      <x:c r="J294" s="22" t="str">
        <x:v>https://www.20thcenturystudios.com/movies/predator-killer-of-killers</x:v>
      </x:c>
      <x:c r="K294" s="24" t="str">
        <x:v>Preuve technique : tests/gauntlet-archive-studies-v136.test.mjs ; fichier distinct ne vaut pas texture ni proportions 1:1 ; heures non journalisées</x:v>
      </x:c>
    </x:row>
    <x:row r="295" ht="31" customHeight="1">
      <x:c r="A295" s="22" t="str">
        <x:v>kok-grendel</x:v>
      </x:c>
      <x:c r="B295" s="22" t="str">
        <x:v>kok-grendel-ARM-L</x:v>
      </x:c>
      <x:c r="C295" s="22" t="str">
        <x:v>Bras gauche / poignet</x:v>
      </x:c>
      <x:c r="D295" s="24" t="str">
        <x:v>Pivot &amp; peau / netting</x:v>
      </x:c>
      <x:c r="E295" s="22" t="str">
        <x:v>P2</x:v>
      </x:c>
      <x:c r="F295" s="22" t="str">
        <x:v>Prototype SVG individuel + alpha PNG</x:v>
      </x:c>
      <x:c r="G295" s="22" t="n">
        <x:v>3.5</x:v>
      </x:c>
      <x:c r="H295" s="22" t="n">
        <x:v>0</x:v>
      </x:c>
      <x:c r="I295" s="22" t="str">
        <x:v>public/gauntlets/v132/kok-grendel/arm-l.png</x:v>
      </x:c>
      <x:c r="J295" s="22" t="str">
        <x:v>https://www.20thcenturystudios.com/movies/predator-killer-of-killers</x:v>
      </x:c>
      <x:c r="K295" s="24" t="str">
        <x:v>Preuve technique : public/game/assets/v136/gauntlets/kok-grendel/01-arm.svg ; fichier distinct ne vaut pas texture ni proportions 1:1 ; heures non journalisées</x:v>
      </x:c>
    </x:row>
    <x:row r="296" ht="31" customHeight="1">
      <x:c r="A296" s="22" t="str">
        <x:v>kok-grendel</x:v>
      </x:c>
      <x:c r="B296" s="22" t="str">
        <x:v>kok-grendel-SHELL-C</x:v>
      </x:c>
      <x:c r="C296" s="22" t="str">
        <x:v>Coque fermée</x:v>
      </x:c>
      <x:c r="D296" s="24" t="str">
        <x:v>Profil latéral et attaches</x:v>
      </x:c>
      <x:c r="E296" s="22" t="str">
        <x:v>P2</x:v>
      </x:c>
      <x:c r="F296" s="22" t="str">
        <x:v>Coque individuelle SVG + PNG, non 1:1</x:v>
      </x:c>
      <x:c r="G296" s="22" t="n">
        <x:v>4.5</x:v>
      </x:c>
      <x:c r="H296" s="22" t="n">
        <x:v>0</x:v>
      </x:c>
      <x:c r="I296" s="22" t="str">
        <x:v>public/gauntlets/v132/kok-grendel/shell-c.png</x:v>
      </x:c>
      <x:c r="J296" s="22" t="str">
        <x:v>https://www.20thcenturystudios.com/movies/predator-killer-of-killers</x:v>
      </x:c>
      <x:c r="K296" s="24" t="str">
        <x:v>Preuve technique : public/game/assets/v136/gauntlets/kok-grendel/02-shell.svg ; fichier distinct ne vaut pas texture ni proportions 1:1 ; heures non journalisées</x:v>
      </x:c>
    </x:row>
    <x:row r="297" ht="31" customHeight="1">
      <x:c r="A297" s="22" t="str">
        <x:v>kok-grendel</x:v>
      </x:c>
      <x:c r="B297" s="22" t="str">
        <x:v>kok-grendel-SHELL-O</x:v>
      </x:c>
      <x:c r="C297" s="22" t="str">
        <x:v>Coque ouverte</x:v>
      </x:c>
      <x:c r="D297" s="24" t="str">
        <x:v>Charnières et trappe</x:v>
      </x:c>
      <x:c r="E297" s="22" t="str">
        <x:v>P2</x:v>
      </x:c>
      <x:c r="F297" s="22" t="str">
        <x:v>Capot ouvrable en React/CSS, animation partielle</x:v>
      </x:c>
      <x:c r="G297" s="22" t="n">
        <x:v>4.5</x:v>
      </x:c>
      <x:c r="H297" s="22" t="n">
        <x:v>0</x:v>
      </x:c>
      <x:c r="I297" s="22" t="str">
        <x:v>public/gauntlets/v132/kok-grendel/shell-o.png</x:v>
      </x:c>
      <x:c r="J297" s="22" t="str">
        <x:v>https://www.20thcenturystudios.com/movies/predator-killer-of-killers</x:v>
      </x:c>
      <x:c r="K297" s="24" t="str">
        <x:v>Preuve technique : public/game/assets/v136/gauntlets/kok-grendel/04-lid.svg ; fichier distinct ne vaut pas texture ni proportions 1:1 ; heures non journalisées</x:v>
      </x:c>
    </x:row>
    <x:row r="298" ht="31" customHeight="1">
      <x:c r="A298" s="22" t="str">
        <x:v>kok-grendel</x:v>
      </x:c>
      <x:c r="B298" s="22" t="str">
        <x:v>kok-grendel-UI-RED</x:v>
      </x:c>
      <x:c r="C298" s="22" t="str">
        <x:v>Contrôle / glyphes</x:v>
      </x:c>
      <x:c r="D298" s="24" t="str">
        <x:v>Texte + segments lumineux</x:v>
      </x:c>
      <x:c r="E298" s="22" t="str">
        <x:v>P2</x:v>
      </x:c>
      <x:c r="F298" s="22" t="str">
        <x:v>Interface distincte en SVG / couleurs non certifiées</x:v>
      </x:c>
      <x:c r="G298" s="22" t="n">
        <x:v>3</x:v>
      </x:c>
      <x:c r="H298" s="22" t="n">
        <x:v>0</x:v>
      </x:c>
      <x:c r="I298" s="22" t="str">
        <x:v>public/gauntlets/v132/kok-grendel/ui-red.png</x:v>
      </x:c>
      <x:c r="J298" s="22" t="str">
        <x:v>https://www.20thcenturystudios.com/movies/predator-killer-of-killers</x:v>
      </x:c>
      <x:c r="K298" s="24" t="str">
        <x:v>Preuve technique : public/game/assets/v136/gauntlets/kok-grendel/03-interface.svg ; fichier distinct ne vaut pas texture ni proportions 1:1 ; heures non journalisées</x:v>
      </x:c>
    </x:row>
    <x:row r="299" ht="31" customHeight="1">
      <x:c r="A299" s="22" t="str">
        <x:v>kok-grendel</x:v>
      </x:c>
      <x:c r="B299" s="22" t="str">
        <x:v>kok-grendel-RIBS</x:v>
      </x:c>
      <x:c r="C299" s="22" t="str">
        <x:v>Ribures et mécanique</x:v>
      </x:c>
      <x:c r="D299" s="24" t="str">
        <x:v>Plaques, vis, tuyaux</x:v>
      </x:c>
      <x:c r="E299" s="22" t="str">
        <x:v>P2</x:v>
      </x:c>
      <x:c r="F299" s="22" t="str">
        <x:v>Détails de coque présents, sous-pièces non séparées</x:v>
      </x:c>
      <x:c r="G299" s="22" t="n">
        <x:v>3.5</x:v>
      </x:c>
      <x:c r="H299" s="22" t="n">
        <x:v>0</x:v>
      </x:c>
      <x:c r="I299" s="22" t="str">
        <x:v>public/gauntlets/v132/kok-grendel/ribs.png</x:v>
      </x:c>
      <x:c r="J299" s="22" t="str">
        <x:v>https://www.20thcenturystudios.com/movies/predator-killer-of-killers</x:v>
      </x:c>
      <x:c r="K299" s="24" t="str">
        <x:v>Preuve technique : public/game/assets/v136/gauntlets/kok-grendel/02-shell.svg ; fichier distinct ne vaut pas texture ni proportions 1:1 ; heures non journalisées</x:v>
      </x:c>
    </x:row>
    <x:row r="300" ht="31" customHeight="1">
      <x:c r="A300" s="22" t="str">
        <x:v>kok-grendel</x:v>
      </x:c>
      <x:c r="B300" s="22" t="str">
        <x:v>kok-grendel-BEAM</x:v>
      </x:c>
      <x:c r="C300" s="22" t="str">
        <x:v>Émetteur holographique</x:v>
      </x:c>
      <x:c r="D300" s="24" t="str">
        <x:v>Projection originale de jeu</x:v>
      </x:c>
      <x:c r="E300" s="22" t="str">
        <x:v>P2</x:v>
      </x:c>
      <x:c r="F300" s="22" t="str">
        <x:v>Faisceau du projet (JH dédié, autres effet commun)</x:v>
      </x:c>
      <x:c r="G300" s="22" t="n">
        <x:v>2.5</x:v>
      </x:c>
      <x:c r="H300" s="22" t="n">
        <x:v>0</x:v>
      </x:c>
      <x:c r="I300" s="22" t="str">
        <x:v>public/gauntlets/v132/kok-grendel/beam.png</x:v>
      </x:c>
      <x:c r="J300" s="22" t="str">
        <x:v>https://www.20thcenturystudios.com/movies/predator-killer-of-killers</x:v>
      </x:c>
      <x:c r="K300" s="24" t="str">
        <x:v>Preuve technique : app/game/ClanWarGauntletV131.tsx ; fichier distinct ne vaut pas texture ni proportions 1:1 ; heures non journalisées</x:v>
      </x:c>
    </x:row>
    <x:row r="301" ht="31" customHeight="1">
      <x:c r="A301" s="22" t="str">
        <x:v>kok-grendel</x:v>
      </x:c>
      <x:c r="B301" s="22" t="str">
        <x:v>kok-grendel-MOVE</x:v>
      </x:c>
      <x:c r="C301" s="22" t="str">
        <x:v>Animations 4 états</x:v>
      </x:c>
      <x:c r="D301" s="24" t="str">
        <x:v>lever, ouvrir, projeter, ranger</x:v>
      </x:c>
      <x:c r="E301" s="22" t="str">
        <x:v>P2</x:v>
      </x:c>
      <x:c r="F301" s="22" t="str">
        <x:v>Capot ouvert/fermé ; 3 gestes complets restent à faire</x:v>
      </x:c>
      <x:c r="G301" s="22" t="n">
        <x:v>5</x:v>
      </x:c>
      <x:c r="H301" s="22" t="n">
        <x:v>0</x:v>
      </x:c>
      <x:c r="I301" s="22" t="str">
        <x:v>public/gauntlets/v132/kok-grendel/move.png</x:v>
      </x:c>
      <x:c r="J301" s="22" t="str">
        <x:v>https://www.20thcenturystudios.com/movies/predator-killer-of-killers</x:v>
      </x:c>
      <x:c r="K301" s="24" t="str">
        <x:v>Preuve technique : public/game/assets/v136/gauntlets/kok-grendel/04-lid.svg ; fichier distinct ne vaut pas texture ni proportions 1:1 ; heures non journalisées</x:v>
      </x:c>
    </x:row>
    <x:row r="302" ht="31" customHeight="1">
      <x:c r="A302" s="22" t="str">
        <x:v>kok-grendel</x:v>
      </x:c>
      <x:c r="B302" s="22" t="str">
        <x:v>kok-grendel-SFX</x:v>
      </x:c>
      <x:c r="C302" s="22" t="str">
        <x:v>Identité sonore</x:v>
      </x:c>
      <x:c r="D302" s="24" t="str">
        <x:v>4 sources originales non soumises aux droits de film</x:v>
      </x:c>
      <x:c r="E302" s="22" t="str">
        <x:v>P2</x:v>
      </x:c>
      <x:c r="F302" s="22" t="str">
        <x:v>Signature sonore par thème (10 profils), source non cinéma</x:v>
      </x:c>
      <x:c r="G302" s="22" t="n">
        <x:v>2</x:v>
      </x:c>
      <x:c r="H302" s="22" t="n">
        <x:v>0</x:v>
      </x:c>
      <x:c r="I302" s="22" t="str">
        <x:v>public/gauntlets/v132/kok-grendel/sfx.png</x:v>
      </x:c>
      <x:c r="J302" s="22" t="str">
        <x:v>https://www.20thcenturystudios.com/movies/predator-killer-of-killers</x:v>
      </x:c>
      <x:c r="K302" s="24" t="str">
        <x:v>Preuve technique : app/game/sound.ts ; fichier distinct ne vaut pas texture ni proportions 1:1 ; heures non journalisées</x:v>
      </x:c>
    </x:row>
    <x:row r="303" ht="31" customHeight="1">
      <x:c r="A303" s="22" t="str">
        <x:v>kok-grendel</x:v>
      </x:c>
      <x:c r="B303" s="22" t="str">
        <x:v>kok-grendel-HUD</x:v>
      </x:c>
      <x:c r="C303" s="22" t="str">
        <x:v>Palette / projection</x:v>
      </x:c>
      <x:c r="D303" s="24" t="str">
        <x:v>UI 2D/3D cohérente avec la carte</x:v>
      </x:c>
      <x:c r="E303" s="22" t="str">
        <x:v>P2</x:v>
      </x:c>
      <x:c r="F303" s="22" t="str">
        <x:v>HUD connecté / simulation intacte ; QA visuelle restante</x:v>
      </x:c>
      <x:c r="G303" s="22" t="n">
        <x:v>3.5</x:v>
      </x:c>
      <x:c r="H303" s="22" t="n">
        <x:v>0</x:v>
      </x:c>
      <x:c r="I303" s="22" t="str">
        <x:v>public/gauntlets/v132/kok-grendel/hud.png</x:v>
      </x:c>
      <x:c r="J303" s="22" t="str">
        <x:v>https://www.20thcenturystudios.com/movies/predator-killer-of-killers</x:v>
      </x:c>
      <x:c r="K303" s="24" t="str">
        <x:v>Preuve technique : app/game/ClanWarGauntletV131.tsx ; fichier distinct ne vaut pas texture ni proportions 1:1 ; heures non journalisées</x:v>
      </x:c>
    </x:row>
    <x:row r="304" ht="31" customHeight="1">
      <x:c r="A304" s="22" t="str">
        <x:v>kok-grendel</x:v>
      </x:c>
      <x:c r="B304" s="22" t="str">
        <x:v>kok-grendel-QA</x:v>
      </x:c>
      <x:c r="C304" s="22" t="str">
        <x:v>Comparaisons + tests</x:v>
      </x:c>
      <x:c r="D304" s="24" t="str">
        <x:v>Pivots, alpha, mobile, focus, 3 vues</x:v>
      </x:c>
      <x:c r="E304" s="22" t="str">
        <x:v>P2</x:v>
      </x:c>
      <x:c r="F304" s="22" t="str">
        <x:v>Tests CI source / alpha / type / navigateur autonome ; 1:1 restant</x:v>
      </x:c>
      <x:c r="G304" s="22" t="n">
        <x:v>4</x:v>
      </x:c>
      <x:c r="H304" s="22" t="n">
        <x:v>0</x:v>
      </x:c>
      <x:c r="I304" s="22" t="str">
        <x:v>public/gauntlets/v132/kok-grendel/qa.png</x:v>
      </x:c>
      <x:c r="J304" s="22" t="str">
        <x:v>https://www.20thcenturystudios.com/movies/predator-killer-of-killers</x:v>
      </x:c>
      <x:c r="K304" s="24" t="str">
        <x:v>Preuve technique : tests/gauntlet-archive-studies-v136.test.mjs ; fichier distinct ne vaut pas texture ni proportions 1:1 ; heures non journalisées</x:v>
      </x:c>
    </x:row>
    <x:row r="305" ht="31" customHeight="1">
      <x:c r="A305" s="22" t="str">
        <x:v>phg-hunter</x:v>
      </x:c>
      <x:c r="B305" s="22" t="str">
        <x:v>phg-hunter-ARM-L</x:v>
      </x:c>
      <x:c r="C305" s="22" t="str">
        <x:v>Bras gauche / poignet</x:v>
      </x:c>
      <x:c r="D305" s="24" t="str">
        <x:v>Pivot &amp; peau / netting</x:v>
      </x:c>
      <x:c r="E305" s="22" t="str">
        <x:v>P2</x:v>
      </x:c>
      <x:c r="F305" s="22" t="str">
        <x:v>Prototype SVG individuel + alpha PNG</x:v>
      </x:c>
      <x:c r="G305" s="22" t="n">
        <x:v>3.5</x:v>
      </x:c>
      <x:c r="H305" s="22" t="n">
        <x:v>0</x:v>
      </x:c>
      <x:c r="I305" s="22" t="str">
        <x:v>public/gauntlets/v132/phg-hunter/arm-l.png</x:v>
      </x:c>
      <x:c r="J305" s="22" t="str">
        <x:v>https://predator.illfonic.com/</x:v>
      </x:c>
      <x:c r="K305" s="24" t="str">
        <x:v>Preuve technique : public/game/assets/v136/gauntlets/phg-hunter/01-arm.svg ; fichier distinct ne vaut pas texture ni proportions 1:1 ; heures non journalisées</x:v>
      </x:c>
    </x:row>
    <x:row r="306" ht="31" customHeight="1">
      <x:c r="A306" s="22" t="str">
        <x:v>phg-hunter</x:v>
      </x:c>
      <x:c r="B306" s="22" t="str">
        <x:v>phg-hunter-SHELL-C</x:v>
      </x:c>
      <x:c r="C306" s="22" t="str">
        <x:v>Coque fermée</x:v>
      </x:c>
      <x:c r="D306" s="24" t="str">
        <x:v>Profil latéral et attaches</x:v>
      </x:c>
      <x:c r="E306" s="22" t="str">
        <x:v>P2</x:v>
      </x:c>
      <x:c r="F306" s="22" t="str">
        <x:v>Coque individuelle SVG + PNG, non 1:1</x:v>
      </x:c>
      <x:c r="G306" s="22" t="n">
        <x:v>4.5</x:v>
      </x:c>
      <x:c r="H306" s="22" t="n">
        <x:v>0</x:v>
      </x:c>
      <x:c r="I306" s="22" t="str">
        <x:v>public/gauntlets/v132/phg-hunter/shell-c.png</x:v>
      </x:c>
      <x:c r="J306" s="22" t="str">
        <x:v>https://predator.illfonic.com/</x:v>
      </x:c>
      <x:c r="K306" s="24" t="str">
        <x:v>Preuve technique : public/game/assets/v136/gauntlets/phg-hunter/02-shell.svg ; fichier distinct ne vaut pas texture ni proportions 1:1 ; heures non journalisées</x:v>
      </x:c>
    </x:row>
    <x:row r="307" ht="31" customHeight="1">
      <x:c r="A307" s="22" t="str">
        <x:v>phg-hunter</x:v>
      </x:c>
      <x:c r="B307" s="22" t="str">
        <x:v>phg-hunter-SHELL-O</x:v>
      </x:c>
      <x:c r="C307" s="22" t="str">
        <x:v>Coque ouverte</x:v>
      </x:c>
      <x:c r="D307" s="24" t="str">
        <x:v>Charnières et trappe</x:v>
      </x:c>
      <x:c r="E307" s="22" t="str">
        <x:v>P2</x:v>
      </x:c>
      <x:c r="F307" s="22" t="str">
        <x:v>Capot ouvrable en React/CSS, animation partielle</x:v>
      </x:c>
      <x:c r="G307" s="22" t="n">
        <x:v>4.5</x:v>
      </x:c>
      <x:c r="H307" s="22" t="n">
        <x:v>0</x:v>
      </x:c>
      <x:c r="I307" s="22" t="str">
        <x:v>public/gauntlets/v132/phg-hunter/shell-o.png</x:v>
      </x:c>
      <x:c r="J307" s="22" t="str">
        <x:v>https://predator.illfonic.com/</x:v>
      </x:c>
      <x:c r="K307" s="24" t="str">
        <x:v>Preuve technique : public/game/assets/v136/gauntlets/phg-hunter/04-lid.svg ; fichier distinct ne vaut pas texture ni proportions 1:1 ; heures non journalisées</x:v>
      </x:c>
    </x:row>
    <x:row r="308" ht="31" customHeight="1">
      <x:c r="A308" s="22" t="str">
        <x:v>phg-hunter</x:v>
      </x:c>
      <x:c r="B308" s="22" t="str">
        <x:v>phg-hunter-UI-RED</x:v>
      </x:c>
      <x:c r="C308" s="22" t="str">
        <x:v>Contrôle / glyphes</x:v>
      </x:c>
      <x:c r="D308" s="24" t="str">
        <x:v>Texte + segments lumineux</x:v>
      </x:c>
      <x:c r="E308" s="22" t="str">
        <x:v>P2</x:v>
      </x:c>
      <x:c r="F308" s="22" t="str">
        <x:v>Interface distincte en SVG / couleurs non certifiées</x:v>
      </x:c>
      <x:c r="G308" s="22" t="n">
        <x:v>3</x:v>
      </x:c>
      <x:c r="H308" s="22" t="n">
        <x:v>0</x:v>
      </x:c>
      <x:c r="I308" s="22" t="str">
        <x:v>public/gauntlets/v132/phg-hunter/ui-red.png</x:v>
      </x:c>
      <x:c r="J308" s="22" t="str">
        <x:v>https://predator.illfonic.com/</x:v>
      </x:c>
      <x:c r="K308" s="24" t="str">
        <x:v>Preuve technique : public/game/assets/v136/gauntlets/phg-hunter/03-interface.svg ; fichier distinct ne vaut pas texture ni proportions 1:1 ; heures non journalisées</x:v>
      </x:c>
    </x:row>
    <x:row r="309" ht="31" customHeight="1">
      <x:c r="A309" s="22" t="str">
        <x:v>phg-hunter</x:v>
      </x:c>
      <x:c r="B309" s="22" t="str">
        <x:v>phg-hunter-RIBS</x:v>
      </x:c>
      <x:c r="C309" s="22" t="str">
        <x:v>Ribures et mécanique</x:v>
      </x:c>
      <x:c r="D309" s="24" t="str">
        <x:v>Plaques, vis, tuyaux</x:v>
      </x:c>
      <x:c r="E309" s="22" t="str">
        <x:v>P2</x:v>
      </x:c>
      <x:c r="F309" s="22" t="str">
        <x:v>Détails de coque présents, sous-pièces non séparées</x:v>
      </x:c>
      <x:c r="G309" s="22" t="n">
        <x:v>3.5</x:v>
      </x:c>
      <x:c r="H309" s="22" t="n">
        <x:v>0</x:v>
      </x:c>
      <x:c r="I309" s="22" t="str">
        <x:v>public/gauntlets/v132/phg-hunter/ribs.png</x:v>
      </x:c>
      <x:c r="J309" s="22" t="str">
        <x:v>https://predator.illfonic.com/</x:v>
      </x:c>
      <x:c r="K309" s="24" t="str">
        <x:v>Preuve technique : public/game/assets/v136/gauntlets/phg-hunter/02-shell.svg ; fichier distinct ne vaut pas texture ni proportions 1:1 ; heures non journalisées</x:v>
      </x:c>
    </x:row>
    <x:row r="310" ht="31" customHeight="1">
      <x:c r="A310" s="22" t="str">
        <x:v>phg-hunter</x:v>
      </x:c>
      <x:c r="B310" s="22" t="str">
        <x:v>phg-hunter-BEAM</x:v>
      </x:c>
      <x:c r="C310" s="22" t="str">
        <x:v>Émetteur holographique</x:v>
      </x:c>
      <x:c r="D310" s="24" t="str">
        <x:v>Projection originale de jeu</x:v>
      </x:c>
      <x:c r="E310" s="22" t="str">
        <x:v>P2</x:v>
      </x:c>
      <x:c r="F310" s="22" t="str">
        <x:v>Faisceau du projet (JH dédié, autres effet commun)</x:v>
      </x:c>
      <x:c r="G310" s="22" t="n">
        <x:v>2.5</x:v>
      </x:c>
      <x:c r="H310" s="22" t="n">
        <x:v>0</x:v>
      </x:c>
      <x:c r="I310" s="22" t="str">
        <x:v>public/gauntlets/v132/phg-hunter/beam.png</x:v>
      </x:c>
      <x:c r="J310" s="22" t="str">
        <x:v>https://predator.illfonic.com/</x:v>
      </x:c>
      <x:c r="K310" s="24" t="str">
        <x:v>Preuve technique : app/game/ClanWarGauntletV131.tsx ; fichier distinct ne vaut pas texture ni proportions 1:1 ; heures non journalisées</x:v>
      </x:c>
    </x:row>
    <x:row r="311" ht="31" customHeight="1">
      <x:c r="A311" s="22" t="str">
        <x:v>phg-hunter</x:v>
      </x:c>
      <x:c r="B311" s="22" t="str">
        <x:v>phg-hunter-MOVE</x:v>
      </x:c>
      <x:c r="C311" s="22" t="str">
        <x:v>Animations 4 états</x:v>
      </x:c>
      <x:c r="D311" s="24" t="str">
        <x:v>lever, ouvrir, projeter, ranger</x:v>
      </x:c>
      <x:c r="E311" s="22" t="str">
        <x:v>P2</x:v>
      </x:c>
      <x:c r="F311" s="22" t="str">
        <x:v>Capot ouvert/fermé ; 3 gestes complets restent à faire</x:v>
      </x:c>
      <x:c r="G311" s="22" t="n">
        <x:v>5</x:v>
      </x:c>
      <x:c r="H311" s="22" t="n">
        <x:v>0</x:v>
      </x:c>
      <x:c r="I311" s="22" t="str">
        <x:v>public/gauntlets/v132/phg-hunter/move.png</x:v>
      </x:c>
      <x:c r="J311" s="22" t="str">
        <x:v>https://predator.illfonic.com/</x:v>
      </x:c>
      <x:c r="K311" s="24" t="str">
        <x:v>Preuve technique : public/game/assets/v136/gauntlets/phg-hunter/04-lid.svg ; fichier distinct ne vaut pas texture ni proportions 1:1 ; heures non journalisées</x:v>
      </x:c>
    </x:row>
    <x:row r="312" ht="31" customHeight="1">
      <x:c r="A312" s="22" t="str">
        <x:v>phg-hunter</x:v>
      </x:c>
      <x:c r="B312" s="22" t="str">
        <x:v>phg-hunter-SFX</x:v>
      </x:c>
      <x:c r="C312" s="22" t="str">
        <x:v>Identité sonore</x:v>
      </x:c>
      <x:c r="D312" s="24" t="str">
        <x:v>4 sources originales non soumises aux droits de film</x:v>
      </x:c>
      <x:c r="E312" s="22" t="str">
        <x:v>P2</x:v>
      </x:c>
      <x:c r="F312" s="22" t="str">
        <x:v>Signature sonore par thème (10 profils), source non cinéma</x:v>
      </x:c>
      <x:c r="G312" s="22" t="n">
        <x:v>2</x:v>
      </x:c>
      <x:c r="H312" s="22" t="n">
        <x:v>0</x:v>
      </x:c>
      <x:c r="I312" s="22" t="str">
        <x:v>public/gauntlets/v132/phg-hunter/sfx.png</x:v>
      </x:c>
      <x:c r="J312" s="22" t="str">
        <x:v>https://predator.illfonic.com/</x:v>
      </x:c>
      <x:c r="K312" s="24" t="str">
        <x:v>Preuve technique : app/game/sound.ts ; fichier distinct ne vaut pas texture ni proportions 1:1 ; heures non journalisées</x:v>
      </x:c>
    </x:row>
    <x:row r="313" ht="31" customHeight="1">
      <x:c r="A313" s="22" t="str">
        <x:v>phg-hunter</x:v>
      </x:c>
      <x:c r="B313" s="22" t="str">
        <x:v>phg-hunter-HUD</x:v>
      </x:c>
      <x:c r="C313" s="22" t="str">
        <x:v>Palette / projection</x:v>
      </x:c>
      <x:c r="D313" s="24" t="str">
        <x:v>UI 2D/3D cohérente avec la carte</x:v>
      </x:c>
      <x:c r="E313" s="22" t="str">
        <x:v>P2</x:v>
      </x:c>
      <x:c r="F313" s="22" t="str">
        <x:v>HUD connecté / simulation intacte ; QA visuelle restante</x:v>
      </x:c>
      <x:c r="G313" s="22" t="n">
        <x:v>3.5</x:v>
      </x:c>
      <x:c r="H313" s="22" t="n">
        <x:v>0</x:v>
      </x:c>
      <x:c r="I313" s="22" t="str">
        <x:v>public/gauntlets/v132/phg-hunter/hud.png</x:v>
      </x:c>
      <x:c r="J313" s="22" t="str">
        <x:v>https://predator.illfonic.com/</x:v>
      </x:c>
      <x:c r="K313" s="24" t="str">
        <x:v>Preuve technique : app/game/ClanWarGauntletV131.tsx ; fichier distinct ne vaut pas texture ni proportions 1:1 ; heures non journalisées</x:v>
      </x:c>
    </x:row>
    <x:row r="314" ht="31" customHeight="1">
      <x:c r="A314" s="22" t="str">
        <x:v>phg-hunter</x:v>
      </x:c>
      <x:c r="B314" s="22" t="str">
        <x:v>phg-hunter-QA</x:v>
      </x:c>
      <x:c r="C314" s="22" t="str">
        <x:v>Comparaisons + tests</x:v>
      </x:c>
      <x:c r="D314" s="24" t="str">
        <x:v>Pivots, alpha, mobile, focus, 3 vues</x:v>
      </x:c>
      <x:c r="E314" s="22" t="str">
        <x:v>P2</x:v>
      </x:c>
      <x:c r="F314" s="22" t="str">
        <x:v>Tests CI source / alpha / type / navigateur autonome ; 1:1 restant</x:v>
      </x:c>
      <x:c r="G314" s="22" t="n">
        <x:v>4</x:v>
      </x:c>
      <x:c r="H314" s="22" t="n">
        <x:v>0</x:v>
      </x:c>
      <x:c r="I314" s="22" t="str">
        <x:v>public/gauntlets/v132/phg-hunter/qa.png</x:v>
      </x:c>
      <x:c r="J314" s="22" t="str">
        <x:v>https://predator.illfonic.com/</x:v>
      </x:c>
      <x:c r="K314" s="24" t="str">
        <x:v>Preuve technique : tests/gauntlet-archive-studies-v136.test.mjs ; fichier distinct ne vaut pas texture ni proportions 1:1 ; heures non journalisées</x:v>
      </x:c>
    </x:row>
    <x:row r="315" ht="31" customHeight="1">
      <x:c r="A315" s="22" t="str">
        <x:v>phg-scout</x:v>
      </x:c>
      <x:c r="B315" s="22" t="str">
        <x:v>phg-scout-ARM-L</x:v>
      </x:c>
      <x:c r="C315" s="22" t="str">
        <x:v>Bras gauche / poignet</x:v>
      </x:c>
      <x:c r="D315" s="24" t="str">
        <x:v>Pivot &amp; peau / netting</x:v>
      </x:c>
      <x:c r="E315" s="22" t="str">
        <x:v>P2</x:v>
      </x:c>
      <x:c r="F315" s="22" t="str">
        <x:v>Prototype SVG individuel + alpha PNG</x:v>
      </x:c>
      <x:c r="G315" s="22" t="n">
        <x:v>3.5</x:v>
      </x:c>
      <x:c r="H315" s="22" t="n">
        <x:v>0</x:v>
      </x:c>
      <x:c r="I315" s="22" t="str">
        <x:v>public/gauntlets/v132/phg-scout/arm-l.png</x:v>
      </x:c>
      <x:c r="J315" s="22" t="str">
        <x:v>https://predator.illfonic.com/</x:v>
      </x:c>
      <x:c r="K315" s="24" t="str">
        <x:v>Preuve technique : public/game/assets/v136/gauntlets/phg-scout/01-arm.svg ; fichier distinct ne vaut pas texture ni proportions 1:1 ; heures non journalisées</x:v>
      </x:c>
    </x:row>
    <x:row r="316" ht="31" customHeight="1">
      <x:c r="A316" s="22" t="str">
        <x:v>phg-scout</x:v>
      </x:c>
      <x:c r="B316" s="22" t="str">
        <x:v>phg-scout-SHELL-C</x:v>
      </x:c>
      <x:c r="C316" s="22" t="str">
        <x:v>Coque fermée</x:v>
      </x:c>
      <x:c r="D316" s="24" t="str">
        <x:v>Profil latéral et attaches</x:v>
      </x:c>
      <x:c r="E316" s="22" t="str">
        <x:v>P2</x:v>
      </x:c>
      <x:c r="F316" s="22" t="str">
        <x:v>Coque individuelle SVG + PNG, non 1:1</x:v>
      </x:c>
      <x:c r="G316" s="22" t="n">
        <x:v>4.5</x:v>
      </x:c>
      <x:c r="H316" s="22" t="n">
        <x:v>0</x:v>
      </x:c>
      <x:c r="I316" s="22" t="str">
        <x:v>public/gauntlets/v132/phg-scout/shell-c.png</x:v>
      </x:c>
      <x:c r="J316" s="22" t="str">
        <x:v>https://predator.illfonic.com/</x:v>
      </x:c>
      <x:c r="K316" s="24" t="str">
        <x:v>Preuve technique : public/game/assets/v136/gauntlets/phg-scout/02-shell.svg ; fichier distinct ne vaut pas texture ni proportions 1:1 ; heures non journalisées</x:v>
      </x:c>
    </x:row>
    <x:row r="317" ht="31" customHeight="1">
      <x:c r="A317" s="22" t="str">
        <x:v>phg-scout</x:v>
      </x:c>
      <x:c r="B317" s="22" t="str">
        <x:v>phg-scout-SHELL-O</x:v>
      </x:c>
      <x:c r="C317" s="22" t="str">
        <x:v>Coque ouverte</x:v>
      </x:c>
      <x:c r="D317" s="24" t="str">
        <x:v>Charnières et trappe</x:v>
      </x:c>
      <x:c r="E317" s="22" t="str">
        <x:v>P2</x:v>
      </x:c>
      <x:c r="F317" s="22" t="str">
        <x:v>Capot ouvrable en React/CSS, animation partielle</x:v>
      </x:c>
      <x:c r="G317" s="22" t="n">
        <x:v>4.5</x:v>
      </x:c>
      <x:c r="H317" s="22" t="n">
        <x:v>0</x:v>
      </x:c>
      <x:c r="I317" s="22" t="str">
        <x:v>public/gauntlets/v132/phg-scout/shell-o.png</x:v>
      </x:c>
      <x:c r="J317" s="22" t="str">
        <x:v>https://predator.illfonic.com/</x:v>
      </x:c>
      <x:c r="K317" s="24" t="str">
        <x:v>Preuve technique : public/game/assets/v136/gauntlets/phg-scout/04-lid.svg ; fichier distinct ne vaut pas texture ni proportions 1:1 ; heures non journalisées</x:v>
      </x:c>
    </x:row>
    <x:row r="318" ht="31" customHeight="1">
      <x:c r="A318" s="22" t="str">
        <x:v>phg-scout</x:v>
      </x:c>
      <x:c r="B318" s="22" t="str">
        <x:v>phg-scout-UI-RED</x:v>
      </x:c>
      <x:c r="C318" s="22" t="str">
        <x:v>Contrôle / glyphes</x:v>
      </x:c>
      <x:c r="D318" s="24" t="str">
        <x:v>Texte + segments lumineux</x:v>
      </x:c>
      <x:c r="E318" s="22" t="str">
        <x:v>P2</x:v>
      </x:c>
      <x:c r="F318" s="22" t="str">
        <x:v>Interface distincte en SVG / couleurs non certifiées</x:v>
      </x:c>
      <x:c r="G318" s="22" t="n">
        <x:v>3</x:v>
      </x:c>
      <x:c r="H318" s="22" t="n">
        <x:v>0</x:v>
      </x:c>
      <x:c r="I318" s="22" t="str">
        <x:v>public/gauntlets/v132/phg-scout/ui-red.png</x:v>
      </x:c>
      <x:c r="J318" s="22" t="str">
        <x:v>https://predator.illfonic.com/</x:v>
      </x:c>
      <x:c r="K318" s="24" t="str">
        <x:v>Preuve technique : public/game/assets/v136/gauntlets/phg-scout/03-interface.svg ; fichier distinct ne vaut pas texture ni proportions 1:1 ; heures non journalisées</x:v>
      </x:c>
    </x:row>
    <x:row r="319" ht="31" customHeight="1">
      <x:c r="A319" s="22" t="str">
        <x:v>phg-scout</x:v>
      </x:c>
      <x:c r="B319" s="22" t="str">
        <x:v>phg-scout-RIBS</x:v>
      </x:c>
      <x:c r="C319" s="22" t="str">
        <x:v>Ribures et mécanique</x:v>
      </x:c>
      <x:c r="D319" s="24" t="str">
        <x:v>Plaques, vis, tuyaux</x:v>
      </x:c>
      <x:c r="E319" s="22" t="str">
        <x:v>P2</x:v>
      </x:c>
      <x:c r="F319" s="22" t="str">
        <x:v>Détails de coque présents, sous-pièces non séparées</x:v>
      </x:c>
      <x:c r="G319" s="22" t="n">
        <x:v>3.5</x:v>
      </x:c>
      <x:c r="H319" s="22" t="n">
        <x:v>0</x:v>
      </x:c>
      <x:c r="I319" s="22" t="str">
        <x:v>public/gauntlets/v132/phg-scout/ribs.png</x:v>
      </x:c>
      <x:c r="J319" s="22" t="str">
        <x:v>https://predator.illfonic.com/</x:v>
      </x:c>
      <x:c r="K319" s="24" t="str">
        <x:v>Preuve technique : public/game/assets/v136/gauntlets/phg-scout/02-shell.svg ; fichier distinct ne vaut pas texture ni proportions 1:1 ; heures non journalisées</x:v>
      </x:c>
    </x:row>
    <x:row r="320" ht="31" customHeight="1">
      <x:c r="A320" s="22" t="str">
        <x:v>phg-scout</x:v>
      </x:c>
      <x:c r="B320" s="22" t="str">
        <x:v>phg-scout-BEAM</x:v>
      </x:c>
      <x:c r="C320" s="22" t="str">
        <x:v>Émetteur holographique</x:v>
      </x:c>
      <x:c r="D320" s="24" t="str">
        <x:v>Projection originale de jeu</x:v>
      </x:c>
      <x:c r="E320" s="22" t="str">
        <x:v>P2</x:v>
      </x:c>
      <x:c r="F320" s="22" t="str">
        <x:v>Faisceau du projet (JH dédié, autres effet commun)</x:v>
      </x:c>
      <x:c r="G320" s="22" t="n">
        <x:v>2.5</x:v>
      </x:c>
      <x:c r="H320" s="22" t="n">
        <x:v>0</x:v>
      </x:c>
      <x:c r="I320" s="22" t="str">
        <x:v>public/gauntlets/v132/phg-scout/beam.png</x:v>
      </x:c>
      <x:c r="J320" s="22" t="str">
        <x:v>https://predator.illfonic.com/</x:v>
      </x:c>
      <x:c r="K320" s="24" t="str">
        <x:v>Preuve technique : app/game/ClanWarGauntletV131.tsx ; fichier distinct ne vaut pas texture ni proportions 1:1 ; heures non journalisées</x:v>
      </x:c>
    </x:row>
    <x:row r="321" ht="31" customHeight="1">
      <x:c r="A321" s="22" t="str">
        <x:v>phg-scout</x:v>
      </x:c>
      <x:c r="B321" s="22" t="str">
        <x:v>phg-scout-MOVE</x:v>
      </x:c>
      <x:c r="C321" s="22" t="str">
        <x:v>Animations 4 états</x:v>
      </x:c>
      <x:c r="D321" s="24" t="str">
        <x:v>lever, ouvrir, projeter, ranger</x:v>
      </x:c>
      <x:c r="E321" s="22" t="str">
        <x:v>P2</x:v>
      </x:c>
      <x:c r="F321" s="22" t="str">
        <x:v>Capot ouvert/fermé ; 3 gestes complets restent à faire</x:v>
      </x:c>
      <x:c r="G321" s="22" t="n">
        <x:v>5</x:v>
      </x:c>
      <x:c r="H321" s="22" t="n">
        <x:v>0</x:v>
      </x:c>
      <x:c r="I321" s="22" t="str">
        <x:v>public/gauntlets/v132/phg-scout/move.png</x:v>
      </x:c>
      <x:c r="J321" s="22" t="str">
        <x:v>https://predator.illfonic.com/</x:v>
      </x:c>
      <x:c r="K321" s="24" t="str">
        <x:v>Preuve technique : public/game/assets/v136/gauntlets/phg-scout/04-lid.svg ; fichier distinct ne vaut pas texture ni proportions 1:1 ; heures non journalisées</x:v>
      </x:c>
    </x:row>
    <x:row r="322" ht="31" customHeight="1">
      <x:c r="A322" s="22" t="str">
        <x:v>phg-scout</x:v>
      </x:c>
      <x:c r="B322" s="22" t="str">
        <x:v>phg-scout-SFX</x:v>
      </x:c>
      <x:c r="C322" s="22" t="str">
        <x:v>Identité sonore</x:v>
      </x:c>
      <x:c r="D322" s="24" t="str">
        <x:v>4 sources originales non soumises aux droits de film</x:v>
      </x:c>
      <x:c r="E322" s="22" t="str">
        <x:v>P2</x:v>
      </x:c>
      <x:c r="F322" s="22" t="str">
        <x:v>Signature sonore par thème (10 profils), source non cinéma</x:v>
      </x:c>
      <x:c r="G322" s="22" t="n">
        <x:v>2</x:v>
      </x:c>
      <x:c r="H322" s="22" t="n">
        <x:v>0</x:v>
      </x:c>
      <x:c r="I322" s="22" t="str">
        <x:v>public/gauntlets/v132/phg-scout/sfx.png</x:v>
      </x:c>
      <x:c r="J322" s="22" t="str">
        <x:v>https://predator.illfonic.com/</x:v>
      </x:c>
      <x:c r="K322" s="24" t="str">
        <x:v>Preuve technique : app/game/sound.ts ; fichier distinct ne vaut pas texture ni proportions 1:1 ; heures non journalisées</x:v>
      </x:c>
    </x:row>
    <x:row r="323" ht="31" customHeight="1">
      <x:c r="A323" s="22" t="str">
        <x:v>phg-scout</x:v>
      </x:c>
      <x:c r="B323" s="22" t="str">
        <x:v>phg-scout-HUD</x:v>
      </x:c>
      <x:c r="C323" s="22" t="str">
        <x:v>Palette / projection</x:v>
      </x:c>
      <x:c r="D323" s="24" t="str">
        <x:v>UI 2D/3D cohérente avec la carte</x:v>
      </x:c>
      <x:c r="E323" s="22" t="str">
        <x:v>P2</x:v>
      </x:c>
      <x:c r="F323" s="22" t="str">
        <x:v>HUD connecté / simulation intacte ; QA visuelle restante</x:v>
      </x:c>
      <x:c r="G323" s="22" t="n">
        <x:v>3.5</x:v>
      </x:c>
      <x:c r="H323" s="22" t="n">
        <x:v>0</x:v>
      </x:c>
      <x:c r="I323" s="22" t="str">
        <x:v>public/gauntlets/v132/phg-scout/hud.png</x:v>
      </x:c>
      <x:c r="J323" s="22" t="str">
        <x:v>https://predator.illfonic.com/</x:v>
      </x:c>
      <x:c r="K323" s="24" t="str">
        <x:v>Preuve technique : app/game/ClanWarGauntletV131.tsx ; fichier distinct ne vaut pas texture ni proportions 1:1 ; heures non journalisées</x:v>
      </x:c>
    </x:row>
    <x:row r="324" ht="31" customHeight="1">
      <x:c r="A324" s="22" t="str">
        <x:v>phg-scout</x:v>
      </x:c>
      <x:c r="B324" s="22" t="str">
        <x:v>phg-scout-QA</x:v>
      </x:c>
      <x:c r="C324" s="22" t="str">
        <x:v>Comparaisons + tests</x:v>
      </x:c>
      <x:c r="D324" s="24" t="str">
        <x:v>Pivots, alpha, mobile, focus, 3 vues</x:v>
      </x:c>
      <x:c r="E324" s="22" t="str">
        <x:v>P2</x:v>
      </x:c>
      <x:c r="F324" s="22" t="str">
        <x:v>Tests CI source / alpha / type / navigateur autonome ; 1:1 restant</x:v>
      </x:c>
      <x:c r="G324" s="22" t="n">
        <x:v>4</x:v>
      </x:c>
      <x:c r="H324" s="22" t="n">
        <x:v>0</x:v>
      </x:c>
      <x:c r="I324" s="22" t="str">
        <x:v>public/gauntlets/v132/phg-scout/qa.png</x:v>
      </x:c>
      <x:c r="J324" s="22" t="str">
        <x:v>https://predator.illfonic.com/</x:v>
      </x:c>
      <x:c r="K324" s="24" t="str">
        <x:v>Preuve technique : tests/gauntlet-archive-studies-v136.test.mjs ; fichier distinct ne vaut pas texture ni proportions 1:1 ; heures non journalisées</x:v>
      </x:c>
    </x:row>
    <x:row r="325" ht="31" customHeight="1">
      <x:c r="A325" s="22" t="str">
        <x:v>phg-berserker</x:v>
      </x:c>
      <x:c r="B325" s="22" t="str">
        <x:v>phg-berserker-ARM-L</x:v>
      </x:c>
      <x:c r="C325" s="22" t="str">
        <x:v>Bras gauche / poignet</x:v>
      </x:c>
      <x:c r="D325" s="24" t="str">
        <x:v>Pivot &amp; peau / netting</x:v>
      </x:c>
      <x:c r="E325" s="22" t="str">
        <x:v>P2</x:v>
      </x:c>
      <x:c r="F325" s="22" t="str">
        <x:v>Prototype SVG individuel + alpha PNG</x:v>
      </x:c>
      <x:c r="G325" s="22" t="n">
        <x:v>3.5</x:v>
      </x:c>
      <x:c r="H325" s="22" t="n">
        <x:v>0</x:v>
      </x:c>
      <x:c r="I325" s="22" t="str">
        <x:v>public/gauntlets/v132/phg-berserker/arm-l.png</x:v>
      </x:c>
      <x:c r="J325" s="22" t="str">
        <x:v>https://predator.illfonic.com/</x:v>
      </x:c>
      <x:c r="K325" s="24" t="str">
        <x:v>Preuve technique : public/game/assets/v136/gauntlets/phg-berserker/01-arm.svg ; fichier distinct ne vaut pas texture ni proportions 1:1 ; heures non journalisées</x:v>
      </x:c>
    </x:row>
    <x:row r="326" ht="31" customHeight="1">
      <x:c r="A326" s="22" t="str">
        <x:v>phg-berserker</x:v>
      </x:c>
      <x:c r="B326" s="22" t="str">
        <x:v>phg-berserker-SHELL-C</x:v>
      </x:c>
      <x:c r="C326" s="22" t="str">
        <x:v>Coque fermée</x:v>
      </x:c>
      <x:c r="D326" s="24" t="str">
        <x:v>Profil latéral et attaches</x:v>
      </x:c>
      <x:c r="E326" s="22" t="str">
        <x:v>P2</x:v>
      </x:c>
      <x:c r="F326" s="22" t="str">
        <x:v>Coque individuelle SVG + PNG, non 1:1</x:v>
      </x:c>
      <x:c r="G326" s="22" t="n">
        <x:v>4.5</x:v>
      </x:c>
      <x:c r="H326" s="22" t="n">
        <x:v>0</x:v>
      </x:c>
      <x:c r="I326" s="22" t="str">
        <x:v>public/gauntlets/v132/phg-berserker/shell-c.png</x:v>
      </x:c>
      <x:c r="J326" s="22" t="str">
        <x:v>https://predator.illfonic.com/</x:v>
      </x:c>
      <x:c r="K326" s="24" t="str">
        <x:v>Preuve technique : public/game/assets/v136/gauntlets/phg-berserker/02-shell.svg ; fichier distinct ne vaut pas texture ni proportions 1:1 ; heures non journalisées</x:v>
      </x:c>
    </x:row>
    <x:row r="327" ht="31" customHeight="1">
      <x:c r="A327" s="22" t="str">
        <x:v>phg-berserker</x:v>
      </x:c>
      <x:c r="B327" s="22" t="str">
        <x:v>phg-berserker-SHELL-O</x:v>
      </x:c>
      <x:c r="C327" s="22" t="str">
        <x:v>Coque ouverte</x:v>
      </x:c>
      <x:c r="D327" s="24" t="str">
        <x:v>Charnières et trappe</x:v>
      </x:c>
      <x:c r="E327" s="22" t="str">
        <x:v>P2</x:v>
      </x:c>
      <x:c r="F327" s="22" t="str">
        <x:v>Capot ouvrable en React/CSS, animation partielle</x:v>
      </x:c>
      <x:c r="G327" s="22" t="n">
        <x:v>4.5</x:v>
      </x:c>
      <x:c r="H327" s="22" t="n">
        <x:v>0</x:v>
      </x:c>
      <x:c r="I327" s="22" t="str">
        <x:v>public/gauntlets/v132/phg-berserker/shell-o.png</x:v>
      </x:c>
      <x:c r="J327" s="22" t="str">
        <x:v>https://predator.illfonic.com/</x:v>
      </x:c>
      <x:c r="K327" s="24" t="str">
        <x:v>Preuve technique : public/game/assets/v136/gauntlets/phg-berserker/04-lid.svg ; fichier distinct ne vaut pas texture ni proportions 1:1 ; heures non journalisées</x:v>
      </x:c>
    </x:row>
    <x:row r="328" ht="31" customHeight="1">
      <x:c r="A328" s="22" t="str">
        <x:v>phg-berserker</x:v>
      </x:c>
      <x:c r="B328" s="22" t="str">
        <x:v>phg-berserker-UI-RED</x:v>
      </x:c>
      <x:c r="C328" s="22" t="str">
        <x:v>Contrôle / glyphes</x:v>
      </x:c>
      <x:c r="D328" s="24" t="str">
        <x:v>Texte + segments lumineux</x:v>
      </x:c>
      <x:c r="E328" s="22" t="str">
        <x:v>P2</x:v>
      </x:c>
      <x:c r="F328" s="22" t="str">
        <x:v>Interface distincte en SVG / couleurs non certifiées</x:v>
      </x:c>
      <x:c r="G328" s="22" t="n">
        <x:v>3</x:v>
      </x:c>
      <x:c r="H328" s="22" t="n">
        <x:v>0</x:v>
      </x:c>
      <x:c r="I328" s="22" t="str">
        <x:v>public/gauntlets/v132/phg-berserker/ui-red.png</x:v>
      </x:c>
      <x:c r="J328" s="22" t="str">
        <x:v>https://predator.illfonic.com/</x:v>
      </x:c>
      <x:c r="K328" s="24" t="str">
        <x:v>Preuve technique : public/game/assets/v136/gauntlets/phg-berserker/03-interface.svg ; fichier distinct ne vaut pas texture ni proportions 1:1 ; heures non journalisées</x:v>
      </x:c>
    </x:row>
    <x:row r="329" ht="31" customHeight="1">
      <x:c r="A329" s="22" t="str">
        <x:v>phg-berserker</x:v>
      </x:c>
      <x:c r="B329" s="22" t="str">
        <x:v>phg-berserker-RIBS</x:v>
      </x:c>
      <x:c r="C329" s="22" t="str">
        <x:v>Ribures et mécanique</x:v>
      </x:c>
      <x:c r="D329" s="24" t="str">
        <x:v>Plaques, vis, tuyaux</x:v>
      </x:c>
      <x:c r="E329" s="22" t="str">
        <x:v>P2</x:v>
      </x:c>
      <x:c r="F329" s="22" t="str">
        <x:v>Détails de coque présents, sous-pièces non séparées</x:v>
      </x:c>
      <x:c r="G329" s="22" t="n">
        <x:v>3.5</x:v>
      </x:c>
      <x:c r="H329" s="22" t="n">
        <x:v>0</x:v>
      </x:c>
      <x:c r="I329" s="22" t="str">
        <x:v>public/gauntlets/v132/phg-berserker/ribs.png</x:v>
      </x:c>
      <x:c r="J329" s="22" t="str">
        <x:v>https://predator.illfonic.com/</x:v>
      </x:c>
      <x:c r="K329" s="24" t="str">
        <x:v>Preuve technique : public/game/assets/v136/gauntlets/phg-berserker/02-shell.svg ; fichier distinct ne vaut pas texture ni proportions 1:1 ; heures non journalisées</x:v>
      </x:c>
    </x:row>
    <x:row r="330" ht="31" customHeight="1">
      <x:c r="A330" s="22" t="str">
        <x:v>phg-berserker</x:v>
      </x:c>
      <x:c r="B330" s="22" t="str">
        <x:v>phg-berserker-BEAM</x:v>
      </x:c>
      <x:c r="C330" s="22" t="str">
        <x:v>Émetteur holographique</x:v>
      </x:c>
      <x:c r="D330" s="24" t="str">
        <x:v>Projection originale de jeu</x:v>
      </x:c>
      <x:c r="E330" s="22" t="str">
        <x:v>P2</x:v>
      </x:c>
      <x:c r="F330" s="22" t="str">
        <x:v>Faisceau du projet (JH dédié, autres effet commun)</x:v>
      </x:c>
      <x:c r="G330" s="22" t="n">
        <x:v>2.5</x:v>
      </x:c>
      <x:c r="H330" s="22" t="n">
        <x:v>0</x:v>
      </x:c>
      <x:c r="I330" s="22" t="str">
        <x:v>public/gauntlets/v132/phg-berserker/beam.png</x:v>
      </x:c>
      <x:c r="J330" s="22" t="str">
        <x:v>https://predator.illfonic.com/</x:v>
      </x:c>
      <x:c r="K330" s="24" t="str">
        <x:v>Preuve technique : app/game/ClanWarGauntletV131.tsx ; fichier distinct ne vaut pas texture ni proportions 1:1 ; heures non journalisées</x:v>
      </x:c>
    </x:row>
    <x:row r="331" ht="31" customHeight="1">
      <x:c r="A331" s="22" t="str">
        <x:v>phg-berserker</x:v>
      </x:c>
      <x:c r="B331" s="22" t="str">
        <x:v>phg-berserker-MOVE</x:v>
      </x:c>
      <x:c r="C331" s="22" t="str">
        <x:v>Animations 4 états</x:v>
      </x:c>
      <x:c r="D331" s="24" t="str">
        <x:v>lever, ouvrir, projeter, ranger</x:v>
      </x:c>
      <x:c r="E331" s="22" t="str">
        <x:v>P2</x:v>
      </x:c>
      <x:c r="F331" s="22" t="str">
        <x:v>Capot ouvert/fermé ; 3 gestes complets restent à faire</x:v>
      </x:c>
      <x:c r="G331" s="22" t="n">
        <x:v>5</x:v>
      </x:c>
      <x:c r="H331" s="22" t="n">
        <x:v>0</x:v>
      </x:c>
      <x:c r="I331" s="22" t="str">
        <x:v>public/gauntlets/v132/phg-berserker/move.png</x:v>
      </x:c>
      <x:c r="J331" s="22" t="str">
        <x:v>https://predator.illfonic.com/</x:v>
      </x:c>
      <x:c r="K331" s="24" t="str">
        <x:v>Preuve technique : public/game/assets/v136/gauntlets/phg-berserker/04-lid.svg ; fichier distinct ne vaut pas texture ni proportions 1:1 ; heures non journalisées</x:v>
      </x:c>
    </x:row>
    <x:row r="332" ht="31" customHeight="1">
      <x:c r="A332" s="22" t="str">
        <x:v>phg-berserker</x:v>
      </x:c>
      <x:c r="B332" s="22" t="str">
        <x:v>phg-berserker-SFX</x:v>
      </x:c>
      <x:c r="C332" s="22" t="str">
        <x:v>Identité sonore</x:v>
      </x:c>
      <x:c r="D332" s="24" t="str">
        <x:v>4 sources originales non soumises aux droits de film</x:v>
      </x:c>
      <x:c r="E332" s="22" t="str">
        <x:v>P2</x:v>
      </x:c>
      <x:c r="F332" s="22" t="str">
        <x:v>Signature sonore par thème (10 profils), source non cinéma</x:v>
      </x:c>
      <x:c r="G332" s="22" t="n">
        <x:v>2</x:v>
      </x:c>
      <x:c r="H332" s="22" t="n">
        <x:v>0</x:v>
      </x:c>
      <x:c r="I332" s="22" t="str">
        <x:v>public/gauntlets/v132/phg-berserker/sfx.png</x:v>
      </x:c>
      <x:c r="J332" s="22" t="str">
        <x:v>https://predator.illfonic.com/</x:v>
      </x:c>
      <x:c r="K332" s="24" t="str">
        <x:v>Preuve technique : app/game/sound.ts ; fichier distinct ne vaut pas texture ni proportions 1:1 ; heures non journalisées</x:v>
      </x:c>
    </x:row>
    <x:row r="333" ht="31" customHeight="1">
      <x:c r="A333" s="22" t="str">
        <x:v>phg-berserker</x:v>
      </x:c>
      <x:c r="B333" s="22" t="str">
        <x:v>phg-berserker-HUD</x:v>
      </x:c>
      <x:c r="C333" s="22" t="str">
        <x:v>Palette / projection</x:v>
      </x:c>
      <x:c r="D333" s="24" t="str">
        <x:v>UI 2D/3D cohérente avec la carte</x:v>
      </x:c>
      <x:c r="E333" s="22" t="str">
        <x:v>P2</x:v>
      </x:c>
      <x:c r="F333" s="22" t="str">
        <x:v>HUD connecté / simulation intacte ; QA visuelle restante</x:v>
      </x:c>
      <x:c r="G333" s="22" t="n">
        <x:v>3.5</x:v>
      </x:c>
      <x:c r="H333" s="22" t="n">
        <x:v>0</x:v>
      </x:c>
      <x:c r="I333" s="22" t="str">
        <x:v>public/gauntlets/v132/phg-berserker/hud.png</x:v>
      </x:c>
      <x:c r="J333" s="22" t="str">
        <x:v>https://predator.illfonic.com/</x:v>
      </x:c>
      <x:c r="K333" s="24" t="str">
        <x:v>Preuve technique : app/game/ClanWarGauntletV131.tsx ; fichier distinct ne vaut pas texture ni proportions 1:1 ; heures non journalisées</x:v>
      </x:c>
    </x:row>
    <x:row r="334" ht="31" customHeight="1">
      <x:c r="A334" s="22" t="str">
        <x:v>phg-berserker</x:v>
      </x:c>
      <x:c r="B334" s="22" t="str">
        <x:v>phg-berserker-QA</x:v>
      </x:c>
      <x:c r="C334" s="22" t="str">
        <x:v>Comparaisons + tests</x:v>
      </x:c>
      <x:c r="D334" s="24" t="str">
        <x:v>Pivots, alpha, mobile, focus, 3 vues</x:v>
      </x:c>
      <x:c r="E334" s="22" t="str">
        <x:v>P2</x:v>
      </x:c>
      <x:c r="F334" s="22" t="str">
        <x:v>Tests CI source / alpha / type / navigateur autonome ; 1:1 restant</x:v>
      </x:c>
      <x:c r="G334" s="22" t="n">
        <x:v>4</x:v>
      </x:c>
      <x:c r="H334" s="22" t="n">
        <x:v>0</x:v>
      </x:c>
      <x:c r="I334" s="22" t="str">
        <x:v>public/gauntlets/v132/phg-berserker/qa.png</x:v>
      </x:c>
      <x:c r="J334" s="22" t="str">
        <x:v>https://predator.illfonic.com/</x:v>
      </x:c>
      <x:c r="K334" s="24" t="str">
        <x:v>Preuve technique : tests/gauntlet-archive-studies-v136.test.mjs ; fichier distinct ne vaut pas texture ni proportions 1:1 ; heures non journalisées</x:v>
      </x:c>
    </x:row>
    <x:row r="335" ht="31" customHeight="1">
      <x:c r="A335" s="22" t="str">
        <x:v>phg-alpha</x:v>
      </x:c>
      <x:c r="B335" s="22" t="str">
        <x:v>phg-alpha-ARM-L</x:v>
      </x:c>
      <x:c r="C335" s="22" t="str">
        <x:v>Bras gauche / poignet</x:v>
      </x:c>
      <x:c r="D335" s="24" t="str">
        <x:v>Pivot &amp; peau / netting</x:v>
      </x:c>
      <x:c r="E335" s="22" t="str">
        <x:v>P2</x:v>
      </x:c>
      <x:c r="F335" s="22" t="str">
        <x:v>Prototype SVG individuel + alpha PNG</x:v>
      </x:c>
      <x:c r="G335" s="22" t="n">
        <x:v>3.5</x:v>
      </x:c>
      <x:c r="H335" s="22" t="n">
        <x:v>0</x:v>
      </x:c>
      <x:c r="I335" s="22" t="str">
        <x:v>public/gauntlets/v132/phg-alpha/arm-l.png</x:v>
      </x:c>
      <x:c r="J335" s="22" t="str">
        <x:v>https://predator.illfonic.com/</x:v>
      </x:c>
      <x:c r="K335" s="24" t="str">
        <x:v>Preuve technique : public/game/assets/v136/gauntlets/phg-alpha/01-arm.svg ; fichier distinct ne vaut pas texture ni proportions 1:1 ; heures non journalisées</x:v>
      </x:c>
    </x:row>
    <x:row r="336" ht="31" customHeight="1">
      <x:c r="A336" s="22" t="str">
        <x:v>phg-alpha</x:v>
      </x:c>
      <x:c r="B336" s="22" t="str">
        <x:v>phg-alpha-SHELL-C</x:v>
      </x:c>
      <x:c r="C336" s="22" t="str">
        <x:v>Coque fermée</x:v>
      </x:c>
      <x:c r="D336" s="24" t="str">
        <x:v>Profil latéral et attaches</x:v>
      </x:c>
      <x:c r="E336" s="22" t="str">
        <x:v>P2</x:v>
      </x:c>
      <x:c r="F336" s="22" t="str">
        <x:v>Coque individuelle SVG + PNG, non 1:1</x:v>
      </x:c>
      <x:c r="G336" s="22" t="n">
        <x:v>4.5</x:v>
      </x:c>
      <x:c r="H336" s="22" t="n">
        <x:v>0</x:v>
      </x:c>
      <x:c r="I336" s="22" t="str">
        <x:v>public/gauntlets/v132/phg-alpha/shell-c.png</x:v>
      </x:c>
      <x:c r="J336" s="22" t="str">
        <x:v>https://predator.illfonic.com/</x:v>
      </x:c>
      <x:c r="K336" s="24" t="str">
        <x:v>Preuve technique : public/game/assets/v136/gauntlets/phg-alpha/02-shell.svg ; fichier distinct ne vaut pas texture ni proportions 1:1 ; heures non journalisées</x:v>
      </x:c>
    </x:row>
    <x:row r="337" ht="31" customHeight="1">
      <x:c r="A337" s="22" t="str">
        <x:v>phg-alpha</x:v>
      </x:c>
      <x:c r="B337" s="22" t="str">
        <x:v>phg-alpha-SHELL-O</x:v>
      </x:c>
      <x:c r="C337" s="22" t="str">
        <x:v>Coque ouverte</x:v>
      </x:c>
      <x:c r="D337" s="24" t="str">
        <x:v>Charnières et trappe</x:v>
      </x:c>
      <x:c r="E337" s="22" t="str">
        <x:v>P2</x:v>
      </x:c>
      <x:c r="F337" s="22" t="str">
        <x:v>Capot ouvrable en React/CSS, animation partielle</x:v>
      </x:c>
      <x:c r="G337" s="22" t="n">
        <x:v>4.5</x:v>
      </x:c>
      <x:c r="H337" s="22" t="n">
        <x:v>0</x:v>
      </x:c>
      <x:c r="I337" s="22" t="str">
        <x:v>public/gauntlets/v132/phg-alpha/shell-o.png</x:v>
      </x:c>
      <x:c r="J337" s="22" t="str">
        <x:v>https://predator.illfonic.com/</x:v>
      </x:c>
      <x:c r="K337" s="24" t="str">
        <x:v>Preuve technique : public/game/assets/v136/gauntlets/phg-alpha/04-lid.svg ; fichier distinct ne vaut pas texture ni proportions 1:1 ; heures non journalisées</x:v>
      </x:c>
    </x:row>
    <x:row r="338" ht="31" customHeight="1">
      <x:c r="A338" s="22" t="str">
        <x:v>phg-alpha</x:v>
      </x:c>
      <x:c r="B338" s="22" t="str">
        <x:v>phg-alpha-UI-RED</x:v>
      </x:c>
      <x:c r="C338" s="22" t="str">
        <x:v>Contrôle / glyphes</x:v>
      </x:c>
      <x:c r="D338" s="24" t="str">
        <x:v>Texte + segments lumineux</x:v>
      </x:c>
      <x:c r="E338" s="22" t="str">
        <x:v>P2</x:v>
      </x:c>
      <x:c r="F338" s="22" t="str">
        <x:v>Interface distincte en SVG / couleurs non certifiées</x:v>
      </x:c>
      <x:c r="G338" s="22" t="n">
        <x:v>3</x:v>
      </x:c>
      <x:c r="H338" s="22" t="n">
        <x:v>0</x:v>
      </x:c>
      <x:c r="I338" s="22" t="str">
        <x:v>public/gauntlets/v132/phg-alpha/ui-red.png</x:v>
      </x:c>
      <x:c r="J338" s="22" t="str">
        <x:v>https://predator.illfonic.com/</x:v>
      </x:c>
      <x:c r="K338" s="24" t="str">
        <x:v>Preuve technique : public/game/assets/v136/gauntlets/phg-alpha/03-interface.svg ; fichier distinct ne vaut pas texture ni proportions 1:1 ; heures non journalisées</x:v>
      </x:c>
    </x:row>
    <x:row r="339" ht="31" customHeight="1">
      <x:c r="A339" s="22" t="str">
        <x:v>phg-alpha</x:v>
      </x:c>
      <x:c r="B339" s="22" t="str">
        <x:v>phg-alpha-RIBS</x:v>
      </x:c>
      <x:c r="C339" s="22" t="str">
        <x:v>Ribures et mécanique</x:v>
      </x:c>
      <x:c r="D339" s="24" t="str">
        <x:v>Plaques, vis, tuyaux</x:v>
      </x:c>
      <x:c r="E339" s="22" t="str">
        <x:v>P2</x:v>
      </x:c>
      <x:c r="F339" s="22" t="str">
        <x:v>Détails de coque présents, sous-pièces non séparées</x:v>
      </x:c>
      <x:c r="G339" s="22" t="n">
        <x:v>3.5</x:v>
      </x:c>
      <x:c r="H339" s="22" t="n">
        <x:v>0</x:v>
      </x:c>
      <x:c r="I339" s="22" t="str">
        <x:v>public/gauntlets/v132/phg-alpha/ribs.png</x:v>
      </x:c>
      <x:c r="J339" s="22" t="str">
        <x:v>https://predator.illfonic.com/</x:v>
      </x:c>
      <x:c r="K339" s="24" t="str">
        <x:v>Preuve technique : public/game/assets/v136/gauntlets/phg-alpha/02-shell.svg ; fichier distinct ne vaut pas texture ni proportions 1:1 ; heures non journalisées</x:v>
      </x:c>
    </x:row>
    <x:row r="340" ht="31" customHeight="1">
      <x:c r="A340" s="22" t="str">
        <x:v>phg-alpha</x:v>
      </x:c>
      <x:c r="B340" s="22" t="str">
        <x:v>phg-alpha-BEAM</x:v>
      </x:c>
      <x:c r="C340" s="22" t="str">
        <x:v>Émetteur holographique</x:v>
      </x:c>
      <x:c r="D340" s="24" t="str">
        <x:v>Projection originale de jeu</x:v>
      </x:c>
      <x:c r="E340" s="22" t="str">
        <x:v>P2</x:v>
      </x:c>
      <x:c r="F340" s="22" t="str">
        <x:v>Faisceau du projet (JH dédié, autres effet commun)</x:v>
      </x:c>
      <x:c r="G340" s="22" t="n">
        <x:v>2.5</x:v>
      </x:c>
      <x:c r="H340" s="22" t="n">
        <x:v>0</x:v>
      </x:c>
      <x:c r="I340" s="22" t="str">
        <x:v>public/gauntlets/v132/phg-alpha/beam.png</x:v>
      </x:c>
      <x:c r="J340" s="22" t="str">
        <x:v>https://predator.illfonic.com/</x:v>
      </x:c>
      <x:c r="K340" s="24" t="str">
        <x:v>Preuve technique : app/game/ClanWarGauntletV131.tsx ; fichier distinct ne vaut pas texture ni proportions 1:1 ; heures non journalisées</x:v>
      </x:c>
    </x:row>
    <x:row r="341" ht="31" customHeight="1">
      <x:c r="A341" s="22" t="str">
        <x:v>phg-alpha</x:v>
      </x:c>
      <x:c r="B341" s="22" t="str">
        <x:v>phg-alpha-MOVE</x:v>
      </x:c>
      <x:c r="C341" s="22" t="str">
        <x:v>Animations 4 états</x:v>
      </x:c>
      <x:c r="D341" s="24" t="str">
        <x:v>lever, ouvrir, projeter, ranger</x:v>
      </x:c>
      <x:c r="E341" s="22" t="str">
        <x:v>P2</x:v>
      </x:c>
      <x:c r="F341" s="22" t="str">
        <x:v>Capot ouvert/fermé ; 3 gestes complets restent à faire</x:v>
      </x:c>
      <x:c r="G341" s="22" t="n">
        <x:v>5</x:v>
      </x:c>
      <x:c r="H341" s="22" t="n">
        <x:v>0</x:v>
      </x:c>
      <x:c r="I341" s="22" t="str">
        <x:v>public/gauntlets/v132/phg-alpha/move.png</x:v>
      </x:c>
      <x:c r="J341" s="22" t="str">
        <x:v>https://predator.illfonic.com/</x:v>
      </x:c>
      <x:c r="K341" s="24" t="str">
        <x:v>Preuve technique : public/game/assets/v136/gauntlets/phg-alpha/04-lid.svg ; fichier distinct ne vaut pas texture ni proportions 1:1 ; heures non journalisées</x:v>
      </x:c>
    </x:row>
    <x:row r="342" ht="31" customHeight="1">
      <x:c r="A342" s="22" t="str">
        <x:v>phg-alpha</x:v>
      </x:c>
      <x:c r="B342" s="22" t="str">
        <x:v>phg-alpha-SFX</x:v>
      </x:c>
      <x:c r="C342" s="22" t="str">
        <x:v>Identité sonore</x:v>
      </x:c>
      <x:c r="D342" s="24" t="str">
        <x:v>4 sources originales non soumises aux droits de film</x:v>
      </x:c>
      <x:c r="E342" s="22" t="str">
        <x:v>P2</x:v>
      </x:c>
      <x:c r="F342" s="22" t="str">
        <x:v>Signature sonore par thème (10 profils), source non cinéma</x:v>
      </x:c>
      <x:c r="G342" s="22" t="n">
        <x:v>2</x:v>
      </x:c>
      <x:c r="H342" s="22" t="n">
        <x:v>0</x:v>
      </x:c>
      <x:c r="I342" s="22" t="str">
        <x:v>public/gauntlets/v132/phg-alpha/sfx.png</x:v>
      </x:c>
      <x:c r="J342" s="22" t="str">
        <x:v>https://predator.illfonic.com/</x:v>
      </x:c>
      <x:c r="K342" s="24" t="str">
        <x:v>Preuve technique : app/game/sound.ts ; fichier distinct ne vaut pas texture ni proportions 1:1 ; heures non journalisées</x:v>
      </x:c>
    </x:row>
    <x:row r="343" ht="31" customHeight="1">
      <x:c r="A343" s="22" t="str">
        <x:v>phg-alpha</x:v>
      </x:c>
      <x:c r="B343" s="22" t="str">
        <x:v>phg-alpha-HUD</x:v>
      </x:c>
      <x:c r="C343" s="22" t="str">
        <x:v>Palette / projection</x:v>
      </x:c>
      <x:c r="D343" s="24" t="str">
        <x:v>UI 2D/3D cohérente avec la carte</x:v>
      </x:c>
      <x:c r="E343" s="22" t="str">
        <x:v>P2</x:v>
      </x:c>
      <x:c r="F343" s="22" t="str">
        <x:v>HUD connecté / simulation intacte ; QA visuelle restante</x:v>
      </x:c>
      <x:c r="G343" s="22" t="n">
        <x:v>3.5</x:v>
      </x:c>
      <x:c r="H343" s="22" t="n">
        <x:v>0</x:v>
      </x:c>
      <x:c r="I343" s="22" t="str">
        <x:v>public/gauntlets/v132/phg-alpha/hud.png</x:v>
      </x:c>
      <x:c r="J343" s="22" t="str">
        <x:v>https://predator.illfonic.com/</x:v>
      </x:c>
      <x:c r="K343" s="24" t="str">
        <x:v>Preuve technique : app/game/ClanWarGauntletV131.tsx ; fichier distinct ne vaut pas texture ni proportions 1:1 ; heures non journalisées</x:v>
      </x:c>
    </x:row>
    <x:row r="344" ht="31" customHeight="1">
      <x:c r="A344" s="22" t="str">
        <x:v>phg-alpha</x:v>
      </x:c>
      <x:c r="B344" s="22" t="str">
        <x:v>phg-alpha-QA</x:v>
      </x:c>
      <x:c r="C344" s="22" t="str">
        <x:v>Comparaisons + tests</x:v>
      </x:c>
      <x:c r="D344" s="24" t="str">
        <x:v>Pivots, alpha, mobile, focus, 3 vues</x:v>
      </x:c>
      <x:c r="E344" s="22" t="str">
        <x:v>P2</x:v>
      </x:c>
      <x:c r="F344" s="22" t="str">
        <x:v>Tests CI source / alpha / type / navigateur autonome ; 1:1 restant</x:v>
      </x:c>
      <x:c r="G344" s="22" t="n">
        <x:v>4</x:v>
      </x:c>
      <x:c r="H344" s="22" t="n">
        <x:v>0</x:v>
      </x:c>
      <x:c r="I344" s="22" t="str">
        <x:v>public/gauntlets/v132/phg-alpha/qa.png</x:v>
      </x:c>
      <x:c r="J344" s="22" t="str">
        <x:v>https://predator.illfonic.com/</x:v>
      </x:c>
      <x:c r="K344" s="24" t="str">
        <x:v>Preuve technique : tests/gauntlet-archive-studies-v136.test.mjs ; fichier distinct ne vaut pas texture ni proportions 1:1 ; heures non journalisées</x:v>
      </x:c>
    </x:row>
    <x:row r="345" ht="31" customHeight="1">
      <x:c r="A345" s="22" t="str">
        <x:v>phg-samurai</x:v>
      </x:c>
      <x:c r="B345" s="22" t="str">
        <x:v>phg-samurai-ARM-L</x:v>
      </x:c>
      <x:c r="C345" s="22" t="str">
        <x:v>Bras gauche / poignet</x:v>
      </x:c>
      <x:c r="D345" s="24" t="str">
        <x:v>Pivot &amp; peau / netting</x:v>
      </x:c>
      <x:c r="E345" s="22" t="str">
        <x:v>P2</x:v>
      </x:c>
      <x:c r="F345" s="22" t="str">
        <x:v>Prototype SVG individuel + alpha PNG</x:v>
      </x:c>
      <x:c r="G345" s="22" t="n">
        <x:v>3.5</x:v>
      </x:c>
      <x:c r="H345" s="22" t="n">
        <x:v>0</x:v>
      </x:c>
      <x:c r="I345" s="22" t="str">
        <x:v>public/gauntlets/v132/phg-samurai/arm-l.png</x:v>
      </x:c>
      <x:c r="J345" s="22" t="str">
        <x:v>https://predator.illfonic.com/</x:v>
      </x:c>
      <x:c r="K345" s="24" t="str">
        <x:v>Preuve technique : public/game/assets/v136/gauntlets/phg-samurai/01-arm.svg ; fichier distinct ne vaut pas texture ni proportions 1:1 ; heures non journalisées</x:v>
      </x:c>
    </x:row>
    <x:row r="346" ht="31" customHeight="1">
      <x:c r="A346" s="22" t="str">
        <x:v>phg-samurai</x:v>
      </x:c>
      <x:c r="B346" s="22" t="str">
        <x:v>phg-samurai-SHELL-C</x:v>
      </x:c>
      <x:c r="C346" s="22" t="str">
        <x:v>Coque fermée</x:v>
      </x:c>
      <x:c r="D346" s="24" t="str">
        <x:v>Profil latéral et attaches</x:v>
      </x:c>
      <x:c r="E346" s="22" t="str">
        <x:v>P2</x:v>
      </x:c>
      <x:c r="F346" s="22" t="str">
        <x:v>Coque individuelle SVG + PNG, non 1:1</x:v>
      </x:c>
      <x:c r="G346" s="22" t="n">
        <x:v>4.5</x:v>
      </x:c>
      <x:c r="H346" s="22" t="n">
        <x:v>0</x:v>
      </x:c>
      <x:c r="I346" s="22" t="str">
        <x:v>public/gauntlets/v132/phg-samurai/shell-c.png</x:v>
      </x:c>
      <x:c r="J346" s="22" t="str">
        <x:v>https://predator.illfonic.com/</x:v>
      </x:c>
      <x:c r="K346" s="24" t="str">
        <x:v>Preuve technique : public/game/assets/v136/gauntlets/phg-samurai/02-shell.svg ; fichier distinct ne vaut pas texture ni proportions 1:1 ; heures non journalisées</x:v>
      </x:c>
    </x:row>
    <x:row r="347" ht="31" customHeight="1">
      <x:c r="A347" s="22" t="str">
        <x:v>phg-samurai</x:v>
      </x:c>
      <x:c r="B347" s="22" t="str">
        <x:v>phg-samurai-SHELL-O</x:v>
      </x:c>
      <x:c r="C347" s="22" t="str">
        <x:v>Coque ouverte</x:v>
      </x:c>
      <x:c r="D347" s="24" t="str">
        <x:v>Charnières et trappe</x:v>
      </x:c>
      <x:c r="E347" s="22" t="str">
        <x:v>P2</x:v>
      </x:c>
      <x:c r="F347" s="22" t="str">
        <x:v>Capot ouvrable en React/CSS, animation partielle</x:v>
      </x:c>
      <x:c r="G347" s="22" t="n">
        <x:v>4.5</x:v>
      </x:c>
      <x:c r="H347" s="22" t="n">
        <x:v>0</x:v>
      </x:c>
      <x:c r="I347" s="22" t="str">
        <x:v>public/gauntlets/v132/phg-samurai/shell-o.png</x:v>
      </x:c>
      <x:c r="J347" s="22" t="str">
        <x:v>https://predator.illfonic.com/</x:v>
      </x:c>
      <x:c r="K347" s="24" t="str">
        <x:v>Preuve technique : public/game/assets/v136/gauntlets/phg-samurai/04-lid.svg ; fichier distinct ne vaut pas texture ni proportions 1:1 ; heures non journalisées</x:v>
      </x:c>
    </x:row>
    <x:row r="348" ht="31" customHeight="1">
      <x:c r="A348" s="22" t="str">
        <x:v>phg-samurai</x:v>
      </x:c>
      <x:c r="B348" s="22" t="str">
        <x:v>phg-samurai-UI-RED</x:v>
      </x:c>
      <x:c r="C348" s="22" t="str">
        <x:v>Contrôle / glyphes</x:v>
      </x:c>
      <x:c r="D348" s="24" t="str">
        <x:v>Texte + segments lumineux</x:v>
      </x:c>
      <x:c r="E348" s="22" t="str">
        <x:v>P2</x:v>
      </x:c>
      <x:c r="F348" s="22" t="str">
        <x:v>Interface distincte en SVG / couleurs non certifiées</x:v>
      </x:c>
      <x:c r="G348" s="22" t="n">
        <x:v>3</x:v>
      </x:c>
      <x:c r="H348" s="22" t="n">
        <x:v>0</x:v>
      </x:c>
      <x:c r="I348" s="22" t="str">
        <x:v>public/gauntlets/v132/phg-samurai/ui-red.png</x:v>
      </x:c>
      <x:c r="J348" s="22" t="str">
        <x:v>https://predator.illfonic.com/</x:v>
      </x:c>
      <x:c r="K348" s="24" t="str">
        <x:v>Preuve technique : public/game/assets/v136/gauntlets/phg-samurai/03-interface.svg ; fichier distinct ne vaut pas texture ni proportions 1:1 ; heures non journalisées</x:v>
      </x:c>
    </x:row>
    <x:row r="349" ht="31" customHeight="1">
      <x:c r="A349" s="22" t="str">
        <x:v>phg-samurai</x:v>
      </x:c>
      <x:c r="B349" s="22" t="str">
        <x:v>phg-samurai-RIBS</x:v>
      </x:c>
      <x:c r="C349" s="22" t="str">
        <x:v>Ribures et mécanique</x:v>
      </x:c>
      <x:c r="D349" s="24" t="str">
        <x:v>Plaques, vis, tuyaux</x:v>
      </x:c>
      <x:c r="E349" s="22" t="str">
        <x:v>P2</x:v>
      </x:c>
      <x:c r="F349" s="22" t="str">
        <x:v>Détails de coque présents, sous-pièces non séparées</x:v>
      </x:c>
      <x:c r="G349" s="22" t="n">
        <x:v>3.5</x:v>
      </x:c>
      <x:c r="H349" s="22" t="n">
        <x:v>0</x:v>
      </x:c>
      <x:c r="I349" s="22" t="str">
        <x:v>public/gauntlets/v132/phg-samurai/ribs.png</x:v>
      </x:c>
      <x:c r="J349" s="22" t="str">
        <x:v>https://predator.illfonic.com/</x:v>
      </x:c>
      <x:c r="K349" s="24" t="str">
        <x:v>Preuve technique : public/game/assets/v136/gauntlets/phg-samurai/02-shell.svg ; fichier distinct ne vaut pas texture ni proportions 1:1 ; heures non journalisées</x:v>
      </x:c>
    </x:row>
    <x:row r="350" ht="31" customHeight="1">
      <x:c r="A350" s="22" t="str">
        <x:v>phg-samurai</x:v>
      </x:c>
      <x:c r="B350" s="22" t="str">
        <x:v>phg-samurai-BEAM</x:v>
      </x:c>
      <x:c r="C350" s="22" t="str">
        <x:v>Émetteur holographique</x:v>
      </x:c>
      <x:c r="D350" s="24" t="str">
        <x:v>Projection originale de jeu</x:v>
      </x:c>
      <x:c r="E350" s="22" t="str">
        <x:v>P2</x:v>
      </x:c>
      <x:c r="F350" s="22" t="str">
        <x:v>Faisceau du projet (JH dédié, autres effet commun)</x:v>
      </x:c>
      <x:c r="G350" s="22" t="n">
        <x:v>2.5</x:v>
      </x:c>
      <x:c r="H350" s="22" t="n">
        <x:v>0</x:v>
      </x:c>
      <x:c r="I350" s="22" t="str">
        <x:v>public/gauntlets/v132/phg-samurai/beam.png</x:v>
      </x:c>
      <x:c r="J350" s="22" t="str">
        <x:v>https://predator.illfonic.com/</x:v>
      </x:c>
      <x:c r="K350" s="24" t="str">
        <x:v>Preuve technique : app/game/ClanWarGauntletV131.tsx ; fichier distinct ne vaut pas texture ni proportions 1:1 ; heures non journalisées</x:v>
      </x:c>
    </x:row>
    <x:row r="351" ht="31" customHeight="1">
      <x:c r="A351" s="22" t="str">
        <x:v>phg-samurai</x:v>
      </x:c>
      <x:c r="B351" s="22" t="str">
        <x:v>phg-samurai-MOVE</x:v>
      </x:c>
      <x:c r="C351" s="22" t="str">
        <x:v>Animations 4 états</x:v>
      </x:c>
      <x:c r="D351" s="24" t="str">
        <x:v>lever, ouvrir, projeter, ranger</x:v>
      </x:c>
      <x:c r="E351" s="22" t="str">
        <x:v>P2</x:v>
      </x:c>
      <x:c r="F351" s="22" t="str">
        <x:v>Capot ouvert/fermé ; 3 gestes complets restent à faire</x:v>
      </x:c>
      <x:c r="G351" s="22" t="n">
        <x:v>5</x:v>
      </x:c>
      <x:c r="H351" s="22" t="n">
        <x:v>0</x:v>
      </x:c>
      <x:c r="I351" s="22" t="str">
        <x:v>public/gauntlets/v132/phg-samurai/move.png</x:v>
      </x:c>
      <x:c r="J351" s="22" t="str">
        <x:v>https://predator.illfonic.com/</x:v>
      </x:c>
      <x:c r="K351" s="24" t="str">
        <x:v>Preuve technique : public/game/assets/v136/gauntlets/phg-samurai/04-lid.svg ; fichier distinct ne vaut pas texture ni proportions 1:1 ; heures non journalisées</x:v>
      </x:c>
    </x:row>
    <x:row r="352" ht="31" customHeight="1">
      <x:c r="A352" s="22" t="str">
        <x:v>phg-samurai</x:v>
      </x:c>
      <x:c r="B352" s="22" t="str">
        <x:v>phg-samurai-SFX</x:v>
      </x:c>
      <x:c r="C352" s="22" t="str">
        <x:v>Identité sonore</x:v>
      </x:c>
      <x:c r="D352" s="24" t="str">
        <x:v>4 sources originales non soumises aux droits de film</x:v>
      </x:c>
      <x:c r="E352" s="22" t="str">
        <x:v>P2</x:v>
      </x:c>
      <x:c r="F352" s="22" t="str">
        <x:v>Signature sonore par thème (10 profils), source non cinéma</x:v>
      </x:c>
      <x:c r="G352" s="22" t="n">
        <x:v>2</x:v>
      </x:c>
      <x:c r="H352" s="22" t="n">
        <x:v>0</x:v>
      </x:c>
      <x:c r="I352" s="22" t="str">
        <x:v>public/gauntlets/v132/phg-samurai/sfx.png</x:v>
      </x:c>
      <x:c r="J352" s="22" t="str">
        <x:v>https://predator.illfonic.com/</x:v>
      </x:c>
      <x:c r="K352" s="24" t="str">
        <x:v>Preuve technique : app/game/sound.ts ; fichier distinct ne vaut pas texture ni proportions 1:1 ; heures non journalisées</x:v>
      </x:c>
    </x:row>
    <x:row r="353" ht="31" customHeight="1">
      <x:c r="A353" s="22" t="str">
        <x:v>phg-samurai</x:v>
      </x:c>
      <x:c r="B353" s="22" t="str">
        <x:v>phg-samurai-HUD</x:v>
      </x:c>
      <x:c r="C353" s="22" t="str">
        <x:v>Palette / projection</x:v>
      </x:c>
      <x:c r="D353" s="24" t="str">
        <x:v>UI 2D/3D cohérente avec la carte</x:v>
      </x:c>
      <x:c r="E353" s="22" t="str">
        <x:v>P2</x:v>
      </x:c>
      <x:c r="F353" s="22" t="str">
        <x:v>HUD connecté / simulation intacte ; QA visuelle restante</x:v>
      </x:c>
      <x:c r="G353" s="22" t="n">
        <x:v>3.5</x:v>
      </x:c>
      <x:c r="H353" s="22" t="n">
        <x:v>0</x:v>
      </x:c>
      <x:c r="I353" s="22" t="str">
        <x:v>public/gauntlets/v132/phg-samurai/hud.png</x:v>
      </x:c>
      <x:c r="J353" s="22" t="str">
        <x:v>https://predator.illfonic.com/</x:v>
      </x:c>
      <x:c r="K353" s="24" t="str">
        <x:v>Preuve technique : app/game/ClanWarGauntletV131.tsx ; fichier distinct ne vaut pas texture ni proportions 1:1 ; heures non journalisées</x:v>
      </x:c>
    </x:row>
    <x:row r="354" ht="31" customHeight="1">
      <x:c r="A354" s="22" t="str">
        <x:v>phg-samurai</x:v>
      </x:c>
      <x:c r="B354" s="22" t="str">
        <x:v>phg-samurai-QA</x:v>
      </x:c>
      <x:c r="C354" s="22" t="str">
        <x:v>Comparaisons + tests</x:v>
      </x:c>
      <x:c r="D354" s="24" t="str">
        <x:v>Pivots, alpha, mobile, focus, 3 vues</x:v>
      </x:c>
      <x:c r="E354" s="22" t="str">
        <x:v>P2</x:v>
      </x:c>
      <x:c r="F354" s="22" t="str">
        <x:v>Tests CI source / alpha / type / navigateur autonome ; 1:1 restant</x:v>
      </x:c>
      <x:c r="G354" s="22" t="n">
        <x:v>4</x:v>
      </x:c>
      <x:c r="H354" s="22" t="n">
        <x:v>0</x:v>
      </x:c>
      <x:c r="I354" s="22" t="str">
        <x:v>public/gauntlets/v132/phg-samurai/qa.png</x:v>
      </x:c>
      <x:c r="J354" s="22" t="str">
        <x:v>https://predator.illfonic.com/</x:v>
      </x:c>
      <x:c r="K354" s="24" t="str">
        <x:v>Preuve technique : tests/gauntlet-archive-studies-v136.test.mjs ; fichier distinct ne vaut pas texture ni proportions 1:1 ; heures non journalisées</x:v>
      </x:c>
    </x:row>
    <x:row r="355" ht="31" customHeight="1">
      <x:c r="A355" s="22" t="str">
        <x:v>phg-viking</x:v>
      </x:c>
      <x:c r="B355" s="22" t="str">
        <x:v>phg-viking-ARM-L</x:v>
      </x:c>
      <x:c r="C355" s="22" t="str">
        <x:v>Bras gauche / poignet</x:v>
      </x:c>
      <x:c r="D355" s="24" t="str">
        <x:v>Pivot &amp; peau / netting</x:v>
      </x:c>
      <x:c r="E355" s="22" t="str">
        <x:v>P2</x:v>
      </x:c>
      <x:c r="F355" s="22" t="str">
        <x:v>Prototype SVG individuel + alpha PNG</x:v>
      </x:c>
      <x:c r="G355" s="22" t="n">
        <x:v>3.5</x:v>
      </x:c>
      <x:c r="H355" s="22" t="n">
        <x:v>0</x:v>
      </x:c>
      <x:c r="I355" s="22" t="str">
        <x:v>public/gauntlets/v132/phg-viking/arm-l.png</x:v>
      </x:c>
      <x:c r="J355" s="22" t="str">
        <x:v>https://predator.illfonic.com/</x:v>
      </x:c>
      <x:c r="K355" s="24" t="str">
        <x:v>Preuve technique : public/game/assets/v136/gauntlets/phg-viking/01-arm.svg ; fichier distinct ne vaut pas texture ni proportions 1:1 ; heures non journalisées</x:v>
      </x:c>
    </x:row>
    <x:row r="356" ht="31" customHeight="1">
      <x:c r="A356" s="22" t="str">
        <x:v>phg-viking</x:v>
      </x:c>
      <x:c r="B356" s="22" t="str">
        <x:v>phg-viking-SHELL-C</x:v>
      </x:c>
      <x:c r="C356" s="22" t="str">
        <x:v>Coque fermée</x:v>
      </x:c>
      <x:c r="D356" s="24" t="str">
        <x:v>Profil latéral et attaches</x:v>
      </x:c>
      <x:c r="E356" s="22" t="str">
        <x:v>P2</x:v>
      </x:c>
      <x:c r="F356" s="22" t="str">
        <x:v>Coque individuelle SVG + PNG, non 1:1</x:v>
      </x:c>
      <x:c r="G356" s="22" t="n">
        <x:v>4.5</x:v>
      </x:c>
      <x:c r="H356" s="22" t="n">
        <x:v>0</x:v>
      </x:c>
      <x:c r="I356" s="22" t="str">
        <x:v>public/gauntlets/v132/phg-viking/shell-c.png</x:v>
      </x:c>
      <x:c r="J356" s="22" t="str">
        <x:v>https://predator.illfonic.com/</x:v>
      </x:c>
      <x:c r="K356" s="24" t="str">
        <x:v>Preuve technique : public/game/assets/v136/gauntlets/phg-viking/02-shell.svg ; fichier distinct ne vaut pas texture ni proportions 1:1 ; heures non journalisées</x:v>
      </x:c>
    </x:row>
    <x:row r="357" ht="31" customHeight="1">
      <x:c r="A357" s="22" t="str">
        <x:v>phg-viking</x:v>
      </x:c>
      <x:c r="B357" s="22" t="str">
        <x:v>phg-viking-SHELL-O</x:v>
      </x:c>
      <x:c r="C357" s="22" t="str">
        <x:v>Coque ouverte</x:v>
      </x:c>
      <x:c r="D357" s="24" t="str">
        <x:v>Charnières et trappe</x:v>
      </x:c>
      <x:c r="E357" s="22" t="str">
        <x:v>P2</x:v>
      </x:c>
      <x:c r="F357" s="22" t="str">
        <x:v>Capot ouvrable en React/CSS, animation partielle</x:v>
      </x:c>
      <x:c r="G357" s="22" t="n">
        <x:v>4.5</x:v>
      </x:c>
      <x:c r="H357" s="22" t="n">
        <x:v>0</x:v>
      </x:c>
      <x:c r="I357" s="22" t="str">
        <x:v>public/gauntlets/v132/phg-viking/shell-o.png</x:v>
      </x:c>
      <x:c r="J357" s="22" t="str">
        <x:v>https://predator.illfonic.com/</x:v>
      </x:c>
      <x:c r="K357" s="24" t="str">
        <x:v>Preuve technique : public/game/assets/v136/gauntlets/phg-viking/04-lid.svg ; fichier distinct ne vaut pas texture ni proportions 1:1 ; heures non journalisées</x:v>
      </x:c>
    </x:row>
    <x:row r="358" ht="31" customHeight="1">
      <x:c r="A358" s="22" t="str">
        <x:v>phg-viking</x:v>
      </x:c>
      <x:c r="B358" s="22" t="str">
        <x:v>phg-viking-UI-RED</x:v>
      </x:c>
      <x:c r="C358" s="22" t="str">
        <x:v>Contrôle / glyphes</x:v>
      </x:c>
      <x:c r="D358" s="24" t="str">
        <x:v>Texte + segments lumineux</x:v>
      </x:c>
      <x:c r="E358" s="22" t="str">
        <x:v>P2</x:v>
      </x:c>
      <x:c r="F358" s="22" t="str">
        <x:v>Interface distincte en SVG / couleurs non certifiées</x:v>
      </x:c>
      <x:c r="G358" s="22" t="n">
        <x:v>3</x:v>
      </x:c>
      <x:c r="H358" s="22" t="n">
        <x:v>0</x:v>
      </x:c>
      <x:c r="I358" s="22" t="str">
        <x:v>public/gauntlets/v132/phg-viking/ui-red.png</x:v>
      </x:c>
      <x:c r="J358" s="22" t="str">
        <x:v>https://predator.illfonic.com/</x:v>
      </x:c>
      <x:c r="K358" s="24" t="str">
        <x:v>Preuve technique : public/game/assets/v136/gauntlets/phg-viking/03-interface.svg ; fichier distinct ne vaut pas texture ni proportions 1:1 ; heures non journalisées</x:v>
      </x:c>
    </x:row>
    <x:row r="359" ht="31" customHeight="1">
      <x:c r="A359" s="22" t="str">
        <x:v>phg-viking</x:v>
      </x:c>
      <x:c r="B359" s="22" t="str">
        <x:v>phg-viking-RIBS</x:v>
      </x:c>
      <x:c r="C359" s="22" t="str">
        <x:v>Ribures et mécanique</x:v>
      </x:c>
      <x:c r="D359" s="24" t="str">
        <x:v>Plaques, vis, tuyaux</x:v>
      </x:c>
      <x:c r="E359" s="22" t="str">
        <x:v>P2</x:v>
      </x:c>
      <x:c r="F359" s="22" t="str">
        <x:v>Détails de coque présents, sous-pièces non séparées</x:v>
      </x:c>
      <x:c r="G359" s="22" t="n">
        <x:v>3.5</x:v>
      </x:c>
      <x:c r="H359" s="22" t="n">
        <x:v>0</x:v>
      </x:c>
      <x:c r="I359" s="22" t="str">
        <x:v>public/gauntlets/v132/phg-viking/ribs.png</x:v>
      </x:c>
      <x:c r="J359" s="22" t="str">
        <x:v>https://predator.illfonic.com/</x:v>
      </x:c>
      <x:c r="K359" s="24" t="str">
        <x:v>Preuve technique : public/game/assets/v136/gauntlets/phg-viking/02-shell.svg ; fichier distinct ne vaut pas texture ni proportions 1:1 ; heures non journalisées</x:v>
      </x:c>
    </x:row>
    <x:row r="360" ht="31" customHeight="1">
      <x:c r="A360" s="22" t="str">
        <x:v>phg-viking</x:v>
      </x:c>
      <x:c r="B360" s="22" t="str">
        <x:v>phg-viking-BEAM</x:v>
      </x:c>
      <x:c r="C360" s="22" t="str">
        <x:v>Émetteur holographique</x:v>
      </x:c>
      <x:c r="D360" s="24" t="str">
        <x:v>Projection originale de jeu</x:v>
      </x:c>
      <x:c r="E360" s="22" t="str">
        <x:v>P2</x:v>
      </x:c>
      <x:c r="F360" s="22" t="str">
        <x:v>Faisceau du projet (JH dédié, autres effet commun)</x:v>
      </x:c>
      <x:c r="G360" s="22" t="n">
        <x:v>2.5</x:v>
      </x:c>
      <x:c r="H360" s="22" t="n">
        <x:v>0</x:v>
      </x:c>
      <x:c r="I360" s="22" t="str">
        <x:v>public/gauntlets/v132/phg-viking/beam.png</x:v>
      </x:c>
      <x:c r="J360" s="22" t="str">
        <x:v>https://predator.illfonic.com/</x:v>
      </x:c>
      <x:c r="K360" s="24" t="str">
        <x:v>Preuve technique : app/game/ClanWarGauntletV131.tsx ; fichier distinct ne vaut pas texture ni proportions 1:1 ; heures non journalisées</x:v>
      </x:c>
    </x:row>
    <x:row r="361" ht="31" customHeight="1">
      <x:c r="A361" s="22" t="str">
        <x:v>phg-viking</x:v>
      </x:c>
      <x:c r="B361" s="22" t="str">
        <x:v>phg-viking-MOVE</x:v>
      </x:c>
      <x:c r="C361" s="22" t="str">
        <x:v>Animations 4 états</x:v>
      </x:c>
      <x:c r="D361" s="24" t="str">
        <x:v>lever, ouvrir, projeter, ranger</x:v>
      </x:c>
      <x:c r="E361" s="22" t="str">
        <x:v>P2</x:v>
      </x:c>
      <x:c r="F361" s="22" t="str">
        <x:v>Capot ouvert/fermé ; 3 gestes complets restent à faire</x:v>
      </x:c>
      <x:c r="G361" s="22" t="n">
        <x:v>5</x:v>
      </x:c>
      <x:c r="H361" s="22" t="n">
        <x:v>0</x:v>
      </x:c>
      <x:c r="I361" s="22" t="str">
        <x:v>public/gauntlets/v132/phg-viking/move.png</x:v>
      </x:c>
      <x:c r="J361" s="22" t="str">
        <x:v>https://predator.illfonic.com/</x:v>
      </x:c>
      <x:c r="K361" s="24" t="str">
        <x:v>Preuve technique : public/game/assets/v136/gauntlets/phg-viking/04-lid.svg ; fichier distinct ne vaut pas texture ni proportions 1:1 ; heures non journalisées</x:v>
      </x:c>
    </x:row>
    <x:row r="362" ht="31" customHeight="1">
      <x:c r="A362" s="22" t="str">
        <x:v>phg-viking</x:v>
      </x:c>
      <x:c r="B362" s="22" t="str">
        <x:v>phg-viking-SFX</x:v>
      </x:c>
      <x:c r="C362" s="22" t="str">
        <x:v>Identité sonore</x:v>
      </x:c>
      <x:c r="D362" s="24" t="str">
        <x:v>4 sources originales non soumises aux droits de film</x:v>
      </x:c>
      <x:c r="E362" s="22" t="str">
        <x:v>P2</x:v>
      </x:c>
      <x:c r="F362" s="22" t="str">
        <x:v>Signature sonore par thème (10 profils), source non cinéma</x:v>
      </x:c>
      <x:c r="G362" s="22" t="n">
        <x:v>2</x:v>
      </x:c>
      <x:c r="H362" s="22" t="n">
        <x:v>0</x:v>
      </x:c>
      <x:c r="I362" s="22" t="str">
        <x:v>public/gauntlets/v132/phg-viking/sfx.png</x:v>
      </x:c>
      <x:c r="J362" s="22" t="str">
        <x:v>https://predator.illfonic.com/</x:v>
      </x:c>
      <x:c r="K362" s="24" t="str">
        <x:v>Preuve technique : app/game/sound.ts ; fichier distinct ne vaut pas texture ni proportions 1:1 ; heures non journalisées</x:v>
      </x:c>
    </x:row>
    <x:row r="363" ht="31" customHeight="1">
      <x:c r="A363" s="22" t="str">
        <x:v>phg-viking</x:v>
      </x:c>
      <x:c r="B363" s="22" t="str">
        <x:v>phg-viking-HUD</x:v>
      </x:c>
      <x:c r="C363" s="22" t="str">
        <x:v>Palette / projection</x:v>
      </x:c>
      <x:c r="D363" s="24" t="str">
        <x:v>UI 2D/3D cohérente avec la carte</x:v>
      </x:c>
      <x:c r="E363" s="22" t="str">
        <x:v>P2</x:v>
      </x:c>
      <x:c r="F363" s="22" t="str">
        <x:v>HUD connecté / simulation intacte ; QA visuelle restante</x:v>
      </x:c>
      <x:c r="G363" s="22" t="n">
        <x:v>3.5</x:v>
      </x:c>
      <x:c r="H363" s="22" t="n">
        <x:v>0</x:v>
      </x:c>
      <x:c r="I363" s="22" t="str">
        <x:v>public/gauntlets/v132/phg-viking/hud.png</x:v>
      </x:c>
      <x:c r="J363" s="22" t="str">
        <x:v>https://predator.illfonic.com/</x:v>
      </x:c>
      <x:c r="K363" s="24" t="str">
        <x:v>Preuve technique : app/game/ClanWarGauntletV131.tsx ; fichier distinct ne vaut pas texture ni proportions 1:1 ; heures non journalisées</x:v>
      </x:c>
    </x:row>
    <x:row r="364" ht="31" customHeight="1">
      <x:c r="A364" s="22" t="str">
        <x:v>phg-viking</x:v>
      </x:c>
      <x:c r="B364" s="22" t="str">
        <x:v>phg-viking-QA</x:v>
      </x:c>
      <x:c r="C364" s="22" t="str">
        <x:v>Comparaisons + tests</x:v>
      </x:c>
      <x:c r="D364" s="24" t="str">
        <x:v>Pivots, alpha, mobile, focus, 3 vues</x:v>
      </x:c>
      <x:c r="E364" s="22" t="str">
        <x:v>P2</x:v>
      </x:c>
      <x:c r="F364" s="22" t="str">
        <x:v>Tests CI source / alpha / type / navigateur autonome ; 1:1 restant</x:v>
      </x:c>
      <x:c r="G364" s="22" t="n">
        <x:v>4</x:v>
      </x:c>
      <x:c r="H364" s="22" t="n">
        <x:v>0</x:v>
      </x:c>
      <x:c r="I364" s="22" t="str">
        <x:v>public/gauntlets/v132/phg-viking/qa.png</x:v>
      </x:c>
      <x:c r="J364" s="22" t="str">
        <x:v>https://predator.illfonic.com/</x:v>
      </x:c>
      <x:c r="K364" s="24" t="str">
        <x:v>Preuve technique : tests/gauntlet-archive-studies-v136.test.mjs ; fichier distinct ne vaut pas texture ni proportions 1:1 ; heures non journalisées</x:v>
      </x:c>
    </x:row>
    <x:row r="365" ht="31" customHeight="1">
      <x:c r="A365" s="22" t="str">
        <x:v>phg-valkyrie</x:v>
      </x:c>
      <x:c r="B365" s="22" t="str">
        <x:v>phg-valkyrie-ARM-L</x:v>
      </x:c>
      <x:c r="C365" s="22" t="str">
        <x:v>Bras gauche / poignet</x:v>
      </x:c>
      <x:c r="D365" s="24" t="str">
        <x:v>Pivot &amp; peau / netting</x:v>
      </x:c>
      <x:c r="E365" s="22" t="str">
        <x:v>P2</x:v>
      </x:c>
      <x:c r="F365" s="22" t="str">
        <x:v>Prototype SVG individuel + alpha PNG</x:v>
      </x:c>
      <x:c r="G365" s="22" t="n">
        <x:v>3.5</x:v>
      </x:c>
      <x:c r="H365" s="22" t="n">
        <x:v>0</x:v>
      </x:c>
      <x:c r="I365" s="22" t="str">
        <x:v>public/gauntlets/v132/phg-valkyrie/arm-l.png</x:v>
      </x:c>
      <x:c r="J365" s="22" t="str">
        <x:v>https://predator.illfonic.com/</x:v>
      </x:c>
      <x:c r="K365" s="24" t="str">
        <x:v>Preuve technique : public/game/assets/v136/gauntlets/phg-valkyrie/01-arm.svg ; fichier distinct ne vaut pas texture ni proportions 1:1 ; heures non journalisées</x:v>
      </x:c>
    </x:row>
    <x:row r="366" ht="31" customHeight="1">
      <x:c r="A366" s="22" t="str">
        <x:v>phg-valkyrie</x:v>
      </x:c>
      <x:c r="B366" s="22" t="str">
        <x:v>phg-valkyrie-SHELL-C</x:v>
      </x:c>
      <x:c r="C366" s="22" t="str">
        <x:v>Coque fermée</x:v>
      </x:c>
      <x:c r="D366" s="24" t="str">
        <x:v>Profil latéral et attaches</x:v>
      </x:c>
      <x:c r="E366" s="22" t="str">
        <x:v>P2</x:v>
      </x:c>
      <x:c r="F366" s="22" t="str">
        <x:v>Coque individuelle SVG + PNG, non 1:1</x:v>
      </x:c>
      <x:c r="G366" s="22" t="n">
        <x:v>4.5</x:v>
      </x:c>
      <x:c r="H366" s="22" t="n">
        <x:v>0</x:v>
      </x:c>
      <x:c r="I366" s="22" t="str">
        <x:v>public/gauntlets/v132/phg-valkyrie/shell-c.png</x:v>
      </x:c>
      <x:c r="J366" s="22" t="str">
        <x:v>https://predator.illfonic.com/</x:v>
      </x:c>
      <x:c r="K366" s="24" t="str">
        <x:v>Preuve technique : public/game/assets/v136/gauntlets/phg-valkyrie/02-shell.svg ; fichier distinct ne vaut pas texture ni proportions 1:1 ; heures non journalisées</x:v>
      </x:c>
    </x:row>
    <x:row r="367" ht="31" customHeight="1">
      <x:c r="A367" s="22" t="str">
        <x:v>phg-valkyrie</x:v>
      </x:c>
      <x:c r="B367" s="22" t="str">
        <x:v>phg-valkyrie-SHELL-O</x:v>
      </x:c>
      <x:c r="C367" s="22" t="str">
        <x:v>Coque ouverte</x:v>
      </x:c>
      <x:c r="D367" s="24" t="str">
        <x:v>Charnières et trappe</x:v>
      </x:c>
      <x:c r="E367" s="22" t="str">
        <x:v>P2</x:v>
      </x:c>
      <x:c r="F367" s="22" t="str">
        <x:v>Capot ouvrable en React/CSS, animation partielle</x:v>
      </x:c>
      <x:c r="G367" s="22" t="n">
        <x:v>4.5</x:v>
      </x:c>
      <x:c r="H367" s="22" t="n">
        <x:v>0</x:v>
      </x:c>
      <x:c r="I367" s="22" t="str">
        <x:v>public/gauntlets/v132/phg-valkyrie/shell-o.png</x:v>
      </x:c>
      <x:c r="J367" s="22" t="str">
        <x:v>https://predator.illfonic.com/</x:v>
      </x:c>
      <x:c r="K367" s="24" t="str">
        <x:v>Preuve technique : public/game/assets/v136/gauntlets/phg-valkyrie/04-lid.svg ; fichier distinct ne vaut pas texture ni proportions 1:1 ; heures non journalisées</x:v>
      </x:c>
    </x:row>
    <x:row r="368" ht="31" customHeight="1">
      <x:c r="A368" s="22" t="str">
        <x:v>phg-valkyrie</x:v>
      </x:c>
      <x:c r="B368" s="22" t="str">
        <x:v>phg-valkyrie-UI-RED</x:v>
      </x:c>
      <x:c r="C368" s="22" t="str">
        <x:v>Contrôle / glyphes</x:v>
      </x:c>
      <x:c r="D368" s="24" t="str">
        <x:v>Texte + segments lumineux</x:v>
      </x:c>
      <x:c r="E368" s="22" t="str">
        <x:v>P2</x:v>
      </x:c>
      <x:c r="F368" s="22" t="str">
        <x:v>Interface distincte en SVG / couleurs non certifiées</x:v>
      </x:c>
      <x:c r="G368" s="22" t="n">
        <x:v>3</x:v>
      </x:c>
      <x:c r="H368" s="22" t="n">
        <x:v>0</x:v>
      </x:c>
      <x:c r="I368" s="22" t="str">
        <x:v>public/gauntlets/v132/phg-valkyrie/ui-red.png</x:v>
      </x:c>
      <x:c r="J368" s="22" t="str">
        <x:v>https://predator.illfonic.com/</x:v>
      </x:c>
      <x:c r="K368" s="24" t="str">
        <x:v>Preuve technique : public/game/assets/v136/gauntlets/phg-valkyrie/03-interface.svg ; fichier distinct ne vaut pas texture ni proportions 1:1 ; heures non journalisées</x:v>
      </x:c>
    </x:row>
    <x:row r="369" ht="31" customHeight="1">
      <x:c r="A369" s="22" t="str">
        <x:v>phg-valkyrie</x:v>
      </x:c>
      <x:c r="B369" s="22" t="str">
        <x:v>phg-valkyrie-RIBS</x:v>
      </x:c>
      <x:c r="C369" s="22" t="str">
        <x:v>Ribures et mécanique</x:v>
      </x:c>
      <x:c r="D369" s="24" t="str">
        <x:v>Plaques, vis, tuyaux</x:v>
      </x:c>
      <x:c r="E369" s="22" t="str">
        <x:v>P2</x:v>
      </x:c>
      <x:c r="F369" s="22" t="str">
        <x:v>Détails de coque présents, sous-pièces non séparées</x:v>
      </x:c>
      <x:c r="G369" s="22" t="n">
        <x:v>3.5</x:v>
      </x:c>
      <x:c r="H369" s="22" t="n">
        <x:v>0</x:v>
      </x:c>
      <x:c r="I369" s="22" t="str">
        <x:v>public/gauntlets/v132/phg-valkyrie/ribs.png</x:v>
      </x:c>
      <x:c r="J369" s="22" t="str">
        <x:v>https://predator.illfonic.com/</x:v>
      </x:c>
      <x:c r="K369" s="24" t="str">
        <x:v>Preuve technique : public/game/assets/v136/gauntlets/phg-valkyrie/02-shell.svg ; fichier distinct ne vaut pas texture ni proportions 1:1 ; heures non journalisées</x:v>
      </x:c>
    </x:row>
    <x:row r="370" ht="31" customHeight="1">
      <x:c r="A370" s="22" t="str">
        <x:v>phg-valkyrie</x:v>
      </x:c>
      <x:c r="B370" s="22" t="str">
        <x:v>phg-valkyrie-BEAM</x:v>
      </x:c>
      <x:c r="C370" s="22" t="str">
        <x:v>Émetteur holographique</x:v>
      </x:c>
      <x:c r="D370" s="24" t="str">
        <x:v>Projection originale de jeu</x:v>
      </x:c>
      <x:c r="E370" s="22" t="str">
        <x:v>P2</x:v>
      </x:c>
      <x:c r="F370" s="22" t="str">
        <x:v>Faisceau du projet (JH dédié, autres effet commun)</x:v>
      </x:c>
      <x:c r="G370" s="22" t="n">
        <x:v>2.5</x:v>
      </x:c>
      <x:c r="H370" s="22" t="n">
        <x:v>0</x:v>
      </x:c>
      <x:c r="I370" s="22" t="str">
        <x:v>public/gauntlets/v132/phg-valkyrie/beam.png</x:v>
      </x:c>
      <x:c r="J370" s="22" t="str">
        <x:v>https://predator.illfonic.com/</x:v>
      </x:c>
      <x:c r="K370" s="24" t="str">
        <x:v>Preuve technique : app/game/ClanWarGauntletV131.tsx ; fichier distinct ne vaut pas texture ni proportions 1:1 ; heures non journalisées</x:v>
      </x:c>
    </x:row>
    <x:row r="371" ht="31" customHeight="1">
      <x:c r="A371" s="22" t="str">
        <x:v>phg-valkyrie</x:v>
      </x:c>
      <x:c r="B371" s="22" t="str">
        <x:v>phg-valkyrie-MOVE</x:v>
      </x:c>
      <x:c r="C371" s="22" t="str">
        <x:v>Animations 4 états</x:v>
      </x:c>
      <x:c r="D371" s="24" t="str">
        <x:v>lever, ouvrir, projeter, ranger</x:v>
      </x:c>
      <x:c r="E371" s="22" t="str">
        <x:v>P2</x:v>
      </x:c>
      <x:c r="F371" s="22" t="str">
        <x:v>Capot ouvert/fermé ; 3 gestes complets restent à faire</x:v>
      </x:c>
      <x:c r="G371" s="22" t="n">
        <x:v>5</x:v>
      </x:c>
      <x:c r="H371" s="22" t="n">
        <x:v>0</x:v>
      </x:c>
      <x:c r="I371" s="22" t="str">
        <x:v>public/gauntlets/v132/phg-valkyrie/move.png</x:v>
      </x:c>
      <x:c r="J371" s="22" t="str">
        <x:v>https://predator.illfonic.com/</x:v>
      </x:c>
      <x:c r="K371" s="24" t="str">
        <x:v>Preuve technique : public/game/assets/v136/gauntlets/phg-valkyrie/04-lid.svg ; fichier distinct ne vaut pas texture ni proportions 1:1 ; heures non journalisées</x:v>
      </x:c>
    </x:row>
    <x:row r="372" ht="31" customHeight="1">
      <x:c r="A372" s="22" t="str">
        <x:v>phg-valkyrie</x:v>
      </x:c>
      <x:c r="B372" s="22" t="str">
        <x:v>phg-valkyrie-SFX</x:v>
      </x:c>
      <x:c r="C372" s="22" t="str">
        <x:v>Identité sonore</x:v>
      </x:c>
      <x:c r="D372" s="24" t="str">
        <x:v>4 sources originales non soumises aux droits de film</x:v>
      </x:c>
      <x:c r="E372" s="22" t="str">
        <x:v>P2</x:v>
      </x:c>
      <x:c r="F372" s="22" t="str">
        <x:v>Signature sonore par thème (10 profils), source non cinéma</x:v>
      </x:c>
      <x:c r="G372" s="22" t="n">
        <x:v>2</x:v>
      </x:c>
      <x:c r="H372" s="22" t="n">
        <x:v>0</x:v>
      </x:c>
      <x:c r="I372" s="22" t="str">
        <x:v>public/gauntlets/v132/phg-valkyrie/sfx.png</x:v>
      </x:c>
      <x:c r="J372" s="22" t="str">
        <x:v>https://predator.illfonic.com/</x:v>
      </x:c>
      <x:c r="K372" s="24" t="str">
        <x:v>Preuve technique : app/game/sound.ts ; fichier distinct ne vaut pas texture ni proportions 1:1 ; heures non journalisées</x:v>
      </x:c>
    </x:row>
    <x:row r="373" ht="31" customHeight="1">
      <x:c r="A373" s="22" t="str">
        <x:v>phg-valkyrie</x:v>
      </x:c>
      <x:c r="B373" s="22" t="str">
        <x:v>phg-valkyrie-HUD</x:v>
      </x:c>
      <x:c r="C373" s="22" t="str">
        <x:v>Palette / projection</x:v>
      </x:c>
      <x:c r="D373" s="24" t="str">
        <x:v>UI 2D/3D cohérente avec la carte</x:v>
      </x:c>
      <x:c r="E373" s="22" t="str">
        <x:v>P2</x:v>
      </x:c>
      <x:c r="F373" s="22" t="str">
        <x:v>HUD connecté / simulation intacte ; QA visuelle restante</x:v>
      </x:c>
      <x:c r="G373" s="22" t="n">
        <x:v>3.5</x:v>
      </x:c>
      <x:c r="H373" s="22" t="n">
        <x:v>0</x:v>
      </x:c>
      <x:c r="I373" s="22" t="str">
        <x:v>public/gauntlets/v132/phg-valkyrie/hud.png</x:v>
      </x:c>
      <x:c r="J373" s="22" t="str">
        <x:v>https://predator.illfonic.com/</x:v>
      </x:c>
      <x:c r="K373" s="24" t="str">
        <x:v>Preuve technique : app/game/ClanWarGauntletV131.tsx ; fichier distinct ne vaut pas texture ni proportions 1:1 ; heures non journalisées</x:v>
      </x:c>
    </x:row>
    <x:row r="374" ht="31" customHeight="1">
      <x:c r="A374" s="22" t="str">
        <x:v>phg-valkyrie</x:v>
      </x:c>
      <x:c r="B374" s="22" t="str">
        <x:v>phg-valkyrie-QA</x:v>
      </x:c>
      <x:c r="C374" s="22" t="str">
        <x:v>Comparaisons + tests</x:v>
      </x:c>
      <x:c r="D374" s="24" t="str">
        <x:v>Pivots, alpha, mobile, focus, 3 vues</x:v>
      </x:c>
      <x:c r="E374" s="22" t="str">
        <x:v>P2</x:v>
      </x:c>
      <x:c r="F374" s="22" t="str">
        <x:v>Tests CI source / alpha / type / navigateur autonome ; 1:1 restant</x:v>
      </x:c>
      <x:c r="G374" s="22" t="n">
        <x:v>4</x:v>
      </x:c>
      <x:c r="H374" s="22" t="n">
        <x:v>0</x:v>
      </x:c>
      <x:c r="I374" s="22" t="str">
        <x:v>public/gauntlets/v132/phg-valkyrie/qa.png</x:v>
      </x:c>
      <x:c r="J374" s="22" t="str">
        <x:v>https://predator.illfonic.com/</x:v>
      </x:c>
      <x:c r="K374" s="24" t="str">
        <x:v>Preuve technique : tests/gauntlet-archive-studies-v136.test.mjs ; fichier distinct ne vaut pas texture ni proportions 1:1 ; heures non journalisées</x:v>
      </x:c>
    </x:row>
    <x:row r="375" ht="31" customHeight="1">
      <x:c r="A375" s="22" t="str">
        <x:v>phg-cleopatra</x:v>
      </x:c>
      <x:c r="B375" s="22" t="str">
        <x:v>phg-cleopatra-ARM-L</x:v>
      </x:c>
      <x:c r="C375" s="22" t="str">
        <x:v>Bras gauche / poignet</x:v>
      </x:c>
      <x:c r="D375" s="24" t="str">
        <x:v>Pivot &amp; peau / netting</x:v>
      </x:c>
      <x:c r="E375" s="22" t="str">
        <x:v>P2</x:v>
      </x:c>
      <x:c r="F375" s="22" t="str">
        <x:v>Prototype SVG individuel + alpha PNG</x:v>
      </x:c>
      <x:c r="G375" s="22" t="n">
        <x:v>3.5</x:v>
      </x:c>
      <x:c r="H375" s="22" t="n">
        <x:v>0</x:v>
      </x:c>
      <x:c r="I375" s="22" t="str">
        <x:v>public/gauntlets/v132/phg-cleopatra/arm-l.png</x:v>
      </x:c>
      <x:c r="J375" s="22" t="str">
        <x:v>https://predator.illfonic.com/</x:v>
      </x:c>
      <x:c r="K375" s="24" t="str">
        <x:v>Preuve technique : public/game/assets/v136/gauntlets/phg-cleopatra/01-arm.svg ; fichier distinct ne vaut pas texture ni proportions 1:1 ; heures non journalisées</x:v>
      </x:c>
    </x:row>
    <x:row r="376" ht="31" customHeight="1">
      <x:c r="A376" s="22" t="str">
        <x:v>phg-cleopatra</x:v>
      </x:c>
      <x:c r="B376" s="22" t="str">
        <x:v>phg-cleopatra-SHELL-C</x:v>
      </x:c>
      <x:c r="C376" s="22" t="str">
        <x:v>Coque fermée</x:v>
      </x:c>
      <x:c r="D376" s="24" t="str">
        <x:v>Profil latéral et attaches</x:v>
      </x:c>
      <x:c r="E376" s="22" t="str">
        <x:v>P2</x:v>
      </x:c>
      <x:c r="F376" s="22" t="str">
        <x:v>Coque individuelle SVG + PNG, non 1:1</x:v>
      </x:c>
      <x:c r="G376" s="22" t="n">
        <x:v>4.5</x:v>
      </x:c>
      <x:c r="H376" s="22" t="n">
        <x:v>0</x:v>
      </x:c>
      <x:c r="I376" s="22" t="str">
        <x:v>public/gauntlets/v132/phg-cleopatra/shell-c.png</x:v>
      </x:c>
      <x:c r="J376" s="22" t="str">
        <x:v>https://predator.illfonic.com/</x:v>
      </x:c>
      <x:c r="K376" s="24" t="str">
        <x:v>Preuve technique : public/game/assets/v136/gauntlets/phg-cleopatra/02-shell.svg ; fichier distinct ne vaut pas texture ni proportions 1:1 ; heures non journalisées</x:v>
      </x:c>
    </x:row>
    <x:row r="377" ht="31" customHeight="1">
      <x:c r="A377" s="22" t="str">
        <x:v>phg-cleopatra</x:v>
      </x:c>
      <x:c r="B377" s="22" t="str">
        <x:v>phg-cleopatra-SHELL-O</x:v>
      </x:c>
      <x:c r="C377" s="22" t="str">
        <x:v>Coque ouverte</x:v>
      </x:c>
      <x:c r="D377" s="24" t="str">
        <x:v>Charnières et trappe</x:v>
      </x:c>
      <x:c r="E377" s="22" t="str">
        <x:v>P2</x:v>
      </x:c>
      <x:c r="F377" s="22" t="str">
        <x:v>Capot ouvrable en React/CSS, animation partielle</x:v>
      </x:c>
      <x:c r="G377" s="22" t="n">
        <x:v>4.5</x:v>
      </x:c>
      <x:c r="H377" s="22" t="n">
        <x:v>0</x:v>
      </x:c>
      <x:c r="I377" s="22" t="str">
        <x:v>public/gauntlets/v132/phg-cleopatra/shell-o.png</x:v>
      </x:c>
      <x:c r="J377" s="22" t="str">
        <x:v>https://predator.illfonic.com/</x:v>
      </x:c>
      <x:c r="K377" s="24" t="str">
        <x:v>Preuve technique : public/game/assets/v136/gauntlets/phg-cleopatra/04-lid.svg ; fichier distinct ne vaut pas texture ni proportions 1:1 ; heures non journalisées</x:v>
      </x:c>
    </x:row>
    <x:row r="378" ht="31" customHeight="1">
      <x:c r="A378" s="22" t="str">
        <x:v>phg-cleopatra</x:v>
      </x:c>
      <x:c r="B378" s="22" t="str">
        <x:v>phg-cleopatra-UI-RED</x:v>
      </x:c>
      <x:c r="C378" s="22" t="str">
        <x:v>Contrôle / glyphes</x:v>
      </x:c>
      <x:c r="D378" s="24" t="str">
        <x:v>Texte + segments lumineux</x:v>
      </x:c>
      <x:c r="E378" s="22" t="str">
        <x:v>P2</x:v>
      </x:c>
      <x:c r="F378" s="22" t="str">
        <x:v>Interface distincte en SVG / couleurs non certifiées</x:v>
      </x:c>
      <x:c r="G378" s="22" t="n">
        <x:v>3</x:v>
      </x:c>
      <x:c r="H378" s="22" t="n">
        <x:v>0</x:v>
      </x:c>
      <x:c r="I378" s="22" t="str">
        <x:v>public/gauntlets/v132/phg-cleopatra/ui-red.png</x:v>
      </x:c>
      <x:c r="J378" s="22" t="str">
        <x:v>https://predator.illfonic.com/</x:v>
      </x:c>
      <x:c r="K378" s="24" t="str">
        <x:v>Preuve technique : public/game/assets/v136/gauntlets/phg-cleopatra/03-interface.svg ; fichier distinct ne vaut pas texture ni proportions 1:1 ; heures non journalisées</x:v>
      </x:c>
    </x:row>
    <x:row r="379" ht="31" customHeight="1">
      <x:c r="A379" s="22" t="str">
        <x:v>phg-cleopatra</x:v>
      </x:c>
      <x:c r="B379" s="22" t="str">
        <x:v>phg-cleopatra-RIBS</x:v>
      </x:c>
      <x:c r="C379" s="22" t="str">
        <x:v>Ribures et mécanique</x:v>
      </x:c>
      <x:c r="D379" s="24" t="str">
        <x:v>Plaques, vis, tuyaux</x:v>
      </x:c>
      <x:c r="E379" s="22" t="str">
        <x:v>P2</x:v>
      </x:c>
      <x:c r="F379" s="22" t="str">
        <x:v>Détails de coque présents, sous-pièces non séparées</x:v>
      </x:c>
      <x:c r="G379" s="22" t="n">
        <x:v>3.5</x:v>
      </x:c>
      <x:c r="H379" s="22" t="n">
        <x:v>0</x:v>
      </x:c>
      <x:c r="I379" s="22" t="str">
        <x:v>public/gauntlets/v132/phg-cleopatra/ribs.png</x:v>
      </x:c>
      <x:c r="J379" s="22" t="str">
        <x:v>https://predator.illfonic.com/</x:v>
      </x:c>
      <x:c r="K379" s="24" t="str">
        <x:v>Preuve technique : public/game/assets/v136/gauntlets/phg-cleopatra/02-shell.svg ; fichier distinct ne vaut pas texture ni proportions 1:1 ; heures non journalisées</x:v>
      </x:c>
    </x:row>
    <x:row r="380" ht="31" customHeight="1">
      <x:c r="A380" s="22" t="str">
        <x:v>phg-cleopatra</x:v>
      </x:c>
      <x:c r="B380" s="22" t="str">
        <x:v>phg-cleopatra-BEAM</x:v>
      </x:c>
      <x:c r="C380" s="22" t="str">
        <x:v>Émetteur holographique</x:v>
      </x:c>
      <x:c r="D380" s="24" t="str">
        <x:v>Projection originale de jeu</x:v>
      </x:c>
      <x:c r="E380" s="22" t="str">
        <x:v>P2</x:v>
      </x:c>
      <x:c r="F380" s="22" t="str">
        <x:v>Faisceau du projet (JH dédié, autres effet commun)</x:v>
      </x:c>
      <x:c r="G380" s="22" t="n">
        <x:v>2.5</x:v>
      </x:c>
      <x:c r="H380" s="22" t="n">
        <x:v>0</x:v>
      </x:c>
      <x:c r="I380" s="22" t="str">
        <x:v>public/gauntlets/v132/phg-cleopatra/beam.png</x:v>
      </x:c>
      <x:c r="J380" s="22" t="str">
        <x:v>https://predator.illfonic.com/</x:v>
      </x:c>
      <x:c r="K380" s="24" t="str">
        <x:v>Preuve technique : app/game/ClanWarGauntletV131.tsx ; fichier distinct ne vaut pas texture ni proportions 1:1 ; heures non journalisées</x:v>
      </x:c>
    </x:row>
    <x:row r="381" ht="31" customHeight="1">
      <x:c r="A381" s="22" t="str">
        <x:v>phg-cleopatra</x:v>
      </x:c>
      <x:c r="B381" s="22" t="str">
        <x:v>phg-cleopatra-MOVE</x:v>
      </x:c>
      <x:c r="C381" s="22" t="str">
        <x:v>Animations 4 états</x:v>
      </x:c>
      <x:c r="D381" s="24" t="str">
        <x:v>lever, ouvrir, projeter, ranger</x:v>
      </x:c>
      <x:c r="E381" s="22" t="str">
        <x:v>P2</x:v>
      </x:c>
      <x:c r="F381" s="22" t="str">
        <x:v>Capot ouvert/fermé ; 3 gestes complets restent à faire</x:v>
      </x:c>
      <x:c r="G381" s="22" t="n">
        <x:v>5</x:v>
      </x:c>
      <x:c r="H381" s="22" t="n">
        <x:v>0</x:v>
      </x:c>
      <x:c r="I381" s="22" t="str">
        <x:v>public/gauntlets/v132/phg-cleopatra/move.png</x:v>
      </x:c>
      <x:c r="J381" s="22" t="str">
        <x:v>https://predator.illfonic.com/</x:v>
      </x:c>
      <x:c r="K381" s="24" t="str">
        <x:v>Preuve technique : public/game/assets/v136/gauntlets/phg-cleopatra/04-lid.svg ; fichier distinct ne vaut pas texture ni proportions 1:1 ; heures non journalisées</x:v>
      </x:c>
    </x:row>
    <x:row r="382" ht="31" customHeight="1">
      <x:c r="A382" s="22" t="str">
        <x:v>phg-cleopatra</x:v>
      </x:c>
      <x:c r="B382" s="22" t="str">
        <x:v>phg-cleopatra-SFX</x:v>
      </x:c>
      <x:c r="C382" s="22" t="str">
        <x:v>Identité sonore</x:v>
      </x:c>
      <x:c r="D382" s="24" t="str">
        <x:v>4 sources originales non soumises aux droits de film</x:v>
      </x:c>
      <x:c r="E382" s="22" t="str">
        <x:v>P2</x:v>
      </x:c>
      <x:c r="F382" s="22" t="str">
        <x:v>Signature sonore par thème (10 profils), source non cinéma</x:v>
      </x:c>
      <x:c r="G382" s="22" t="n">
        <x:v>2</x:v>
      </x:c>
      <x:c r="H382" s="22" t="n">
        <x:v>0</x:v>
      </x:c>
      <x:c r="I382" s="22" t="str">
        <x:v>public/gauntlets/v132/phg-cleopatra/sfx.png</x:v>
      </x:c>
      <x:c r="J382" s="22" t="str">
        <x:v>https://predator.illfonic.com/</x:v>
      </x:c>
      <x:c r="K382" s="24" t="str">
        <x:v>Preuve technique : app/game/sound.ts ; fichier distinct ne vaut pas texture ni proportions 1:1 ; heures non journalisées</x:v>
      </x:c>
    </x:row>
    <x:row r="383" ht="31" customHeight="1">
      <x:c r="A383" s="22" t="str">
        <x:v>phg-cleopatra</x:v>
      </x:c>
      <x:c r="B383" s="22" t="str">
        <x:v>phg-cleopatra-HUD</x:v>
      </x:c>
      <x:c r="C383" s="22" t="str">
        <x:v>Palette / projection</x:v>
      </x:c>
      <x:c r="D383" s="24" t="str">
        <x:v>UI 2D/3D cohérente avec la carte</x:v>
      </x:c>
      <x:c r="E383" s="22" t="str">
        <x:v>P2</x:v>
      </x:c>
      <x:c r="F383" s="22" t="str">
        <x:v>HUD connecté / simulation intacte ; QA visuelle restante</x:v>
      </x:c>
      <x:c r="G383" s="22" t="n">
        <x:v>3.5</x:v>
      </x:c>
      <x:c r="H383" s="22" t="n">
        <x:v>0</x:v>
      </x:c>
      <x:c r="I383" s="22" t="str">
        <x:v>public/gauntlets/v132/phg-cleopatra/hud.png</x:v>
      </x:c>
      <x:c r="J383" s="22" t="str">
        <x:v>https://predator.illfonic.com/</x:v>
      </x:c>
      <x:c r="K383" s="24" t="str">
        <x:v>Preuve technique : app/game/ClanWarGauntletV131.tsx ; fichier distinct ne vaut pas texture ni proportions 1:1 ; heures non journalisées</x:v>
      </x:c>
    </x:row>
    <x:row r="384" ht="31" customHeight="1">
      <x:c r="A384" s="22" t="str">
        <x:v>phg-cleopatra</x:v>
      </x:c>
      <x:c r="B384" s="22" t="str">
        <x:v>phg-cleopatra-QA</x:v>
      </x:c>
      <x:c r="C384" s="22" t="str">
        <x:v>Comparaisons + tests</x:v>
      </x:c>
      <x:c r="D384" s="24" t="str">
        <x:v>Pivots, alpha, mobile, focus, 3 vues</x:v>
      </x:c>
      <x:c r="E384" s="22" t="str">
        <x:v>P2</x:v>
      </x:c>
      <x:c r="F384" s="22" t="str">
        <x:v>Tests CI source / alpha / type / navigateur autonome ; 1:1 restant</x:v>
      </x:c>
      <x:c r="G384" s="22" t="n">
        <x:v>4</x:v>
      </x:c>
      <x:c r="H384" s="22" t="n">
        <x:v>0</x:v>
      </x:c>
      <x:c r="I384" s="22" t="str">
        <x:v>public/gauntlets/v132/phg-cleopatra/qa.png</x:v>
      </x:c>
      <x:c r="J384" s="22" t="str">
        <x:v>https://predator.illfonic.com/</x:v>
      </x:c>
      <x:c r="K384" s="24" t="str">
        <x:v>Preuve technique : tests/gauntlet-archive-studies-v136.test.mjs ; fichier distinct ne vaut pas texture ni proportions 1:1 ; heures non journalisées</x:v>
      </x:c>
    </x:row>
    <x:row r="385" ht="31" customHeight="1">
      <x:c r="A385" s="22" t="str">
        <x:v>phg-exiled</x:v>
      </x:c>
      <x:c r="B385" s="22" t="str">
        <x:v>phg-exiled-ARM-L</x:v>
      </x:c>
      <x:c r="C385" s="22" t="str">
        <x:v>Bras gauche / poignet</x:v>
      </x:c>
      <x:c r="D385" s="24" t="str">
        <x:v>Pivot &amp; peau / netting</x:v>
      </x:c>
      <x:c r="E385" s="22" t="str">
        <x:v>P2</x:v>
      </x:c>
      <x:c r="F385" s="22" t="str">
        <x:v>Prototype SVG individuel + alpha PNG</x:v>
      </x:c>
      <x:c r="G385" s="22" t="n">
        <x:v>3.5</x:v>
      </x:c>
      <x:c r="H385" s="22" t="n">
        <x:v>0</x:v>
      </x:c>
      <x:c r="I385" s="22" t="str">
        <x:v>public/gauntlets/v132/phg-exiled/arm-l.png</x:v>
      </x:c>
      <x:c r="J385" s="22" t="str">
        <x:v>https://predator.illfonic.com/</x:v>
      </x:c>
      <x:c r="K385" s="24" t="str">
        <x:v>Preuve technique : public/game/assets/v136/gauntlets/phg-exiled/01-arm.svg ; fichier distinct ne vaut pas texture ni proportions 1:1 ; heures non journalisées</x:v>
      </x:c>
    </x:row>
    <x:row r="386" ht="31" customHeight="1">
      <x:c r="A386" s="22" t="str">
        <x:v>phg-exiled</x:v>
      </x:c>
      <x:c r="B386" s="22" t="str">
        <x:v>phg-exiled-SHELL-C</x:v>
      </x:c>
      <x:c r="C386" s="22" t="str">
        <x:v>Coque fermée</x:v>
      </x:c>
      <x:c r="D386" s="24" t="str">
        <x:v>Profil latéral et attaches</x:v>
      </x:c>
      <x:c r="E386" s="22" t="str">
        <x:v>P2</x:v>
      </x:c>
      <x:c r="F386" s="22" t="str">
        <x:v>Coque individuelle SVG + PNG, non 1:1</x:v>
      </x:c>
      <x:c r="G386" s="22" t="n">
        <x:v>4.5</x:v>
      </x:c>
      <x:c r="H386" s="22" t="n">
        <x:v>0</x:v>
      </x:c>
      <x:c r="I386" s="22" t="str">
        <x:v>public/gauntlets/v132/phg-exiled/shell-c.png</x:v>
      </x:c>
      <x:c r="J386" s="22" t="str">
        <x:v>https://predator.illfonic.com/</x:v>
      </x:c>
      <x:c r="K386" s="24" t="str">
        <x:v>Preuve technique : public/game/assets/v136/gauntlets/phg-exiled/02-shell.svg ; fichier distinct ne vaut pas texture ni proportions 1:1 ; heures non journalisées</x:v>
      </x:c>
    </x:row>
    <x:row r="387" ht="31" customHeight="1">
      <x:c r="A387" s="22" t="str">
        <x:v>phg-exiled</x:v>
      </x:c>
      <x:c r="B387" s="22" t="str">
        <x:v>phg-exiled-SHELL-O</x:v>
      </x:c>
      <x:c r="C387" s="22" t="str">
        <x:v>Coque ouverte</x:v>
      </x:c>
      <x:c r="D387" s="24" t="str">
        <x:v>Charnières et trappe</x:v>
      </x:c>
      <x:c r="E387" s="22" t="str">
        <x:v>P2</x:v>
      </x:c>
      <x:c r="F387" s="22" t="str">
        <x:v>Capot ouvrable en React/CSS, animation partielle</x:v>
      </x:c>
      <x:c r="G387" s="22" t="n">
        <x:v>4.5</x:v>
      </x:c>
      <x:c r="H387" s="22" t="n">
        <x:v>0</x:v>
      </x:c>
      <x:c r="I387" s="22" t="str">
        <x:v>public/gauntlets/v132/phg-exiled/shell-o.png</x:v>
      </x:c>
      <x:c r="J387" s="22" t="str">
        <x:v>https://predator.illfonic.com/</x:v>
      </x:c>
      <x:c r="K387" s="24" t="str">
        <x:v>Preuve technique : public/game/assets/v136/gauntlets/phg-exiled/04-lid.svg ; fichier distinct ne vaut pas texture ni proportions 1:1 ; heures non journalisées</x:v>
      </x:c>
    </x:row>
    <x:row r="388" ht="31" customHeight="1">
      <x:c r="A388" s="22" t="str">
        <x:v>phg-exiled</x:v>
      </x:c>
      <x:c r="B388" s="22" t="str">
        <x:v>phg-exiled-UI-RED</x:v>
      </x:c>
      <x:c r="C388" s="22" t="str">
        <x:v>Contrôle / glyphes</x:v>
      </x:c>
      <x:c r="D388" s="24" t="str">
        <x:v>Texte + segments lumineux</x:v>
      </x:c>
      <x:c r="E388" s="22" t="str">
        <x:v>P2</x:v>
      </x:c>
      <x:c r="F388" s="22" t="str">
        <x:v>Interface distincte en SVG / couleurs non certifiées</x:v>
      </x:c>
      <x:c r="G388" s="22" t="n">
        <x:v>3</x:v>
      </x:c>
      <x:c r="H388" s="22" t="n">
        <x:v>0</x:v>
      </x:c>
      <x:c r="I388" s="22" t="str">
        <x:v>public/gauntlets/v132/phg-exiled/ui-red.png</x:v>
      </x:c>
      <x:c r="J388" s="22" t="str">
        <x:v>https://predator.illfonic.com/</x:v>
      </x:c>
      <x:c r="K388" s="24" t="str">
        <x:v>Preuve technique : public/game/assets/v136/gauntlets/phg-exiled/03-interface.svg ; fichier distinct ne vaut pas texture ni proportions 1:1 ; heures non journalisées</x:v>
      </x:c>
    </x:row>
    <x:row r="389" ht="31" customHeight="1">
      <x:c r="A389" s="22" t="str">
        <x:v>phg-exiled</x:v>
      </x:c>
      <x:c r="B389" s="22" t="str">
        <x:v>phg-exiled-RIBS</x:v>
      </x:c>
      <x:c r="C389" s="22" t="str">
        <x:v>Ribures et mécanique</x:v>
      </x:c>
      <x:c r="D389" s="24" t="str">
        <x:v>Plaques, vis, tuyaux</x:v>
      </x:c>
      <x:c r="E389" s="22" t="str">
        <x:v>P2</x:v>
      </x:c>
      <x:c r="F389" s="22" t="str">
        <x:v>Détails de coque présents, sous-pièces non séparées</x:v>
      </x:c>
      <x:c r="G389" s="22" t="n">
        <x:v>3.5</x:v>
      </x:c>
      <x:c r="H389" s="22" t="n">
        <x:v>0</x:v>
      </x:c>
      <x:c r="I389" s="22" t="str">
        <x:v>public/gauntlets/v132/phg-exiled/ribs.png</x:v>
      </x:c>
      <x:c r="J389" s="22" t="str">
        <x:v>https://predator.illfonic.com/</x:v>
      </x:c>
      <x:c r="K389" s="24" t="str">
        <x:v>Preuve technique : public/game/assets/v136/gauntlets/phg-exiled/02-shell.svg ; fichier distinct ne vaut pas texture ni proportions 1:1 ; heures non journalisées</x:v>
      </x:c>
    </x:row>
    <x:row r="390" ht="31" customHeight="1">
      <x:c r="A390" s="22" t="str">
        <x:v>phg-exiled</x:v>
      </x:c>
      <x:c r="B390" s="22" t="str">
        <x:v>phg-exiled-BEAM</x:v>
      </x:c>
      <x:c r="C390" s="22" t="str">
        <x:v>Émetteur holographique</x:v>
      </x:c>
      <x:c r="D390" s="24" t="str">
        <x:v>Projection originale de jeu</x:v>
      </x:c>
      <x:c r="E390" s="22" t="str">
        <x:v>P2</x:v>
      </x:c>
      <x:c r="F390" s="22" t="str">
        <x:v>Faisceau du projet (JH dédié, autres effet commun)</x:v>
      </x:c>
      <x:c r="G390" s="22" t="n">
        <x:v>2.5</x:v>
      </x:c>
      <x:c r="H390" s="22" t="n">
        <x:v>0</x:v>
      </x:c>
      <x:c r="I390" s="22" t="str">
        <x:v>public/gauntlets/v132/phg-exiled/beam.png</x:v>
      </x:c>
      <x:c r="J390" s="22" t="str">
        <x:v>https://predator.illfonic.com/</x:v>
      </x:c>
      <x:c r="K390" s="24" t="str">
        <x:v>Preuve technique : app/game/ClanWarGauntletV131.tsx ; fichier distinct ne vaut pas texture ni proportions 1:1 ; heures non journalisées</x:v>
      </x:c>
    </x:row>
    <x:row r="391" ht="31" customHeight="1">
      <x:c r="A391" s="22" t="str">
        <x:v>phg-exiled</x:v>
      </x:c>
      <x:c r="B391" s="22" t="str">
        <x:v>phg-exiled-MOVE</x:v>
      </x:c>
      <x:c r="C391" s="22" t="str">
        <x:v>Animations 4 états</x:v>
      </x:c>
      <x:c r="D391" s="24" t="str">
        <x:v>lever, ouvrir, projeter, ranger</x:v>
      </x:c>
      <x:c r="E391" s="22" t="str">
        <x:v>P2</x:v>
      </x:c>
      <x:c r="F391" s="22" t="str">
        <x:v>Capot ouvert/fermé ; 3 gestes complets restent à faire</x:v>
      </x:c>
      <x:c r="G391" s="22" t="n">
        <x:v>5</x:v>
      </x:c>
      <x:c r="H391" s="22" t="n">
        <x:v>0</x:v>
      </x:c>
      <x:c r="I391" s="22" t="str">
        <x:v>public/gauntlets/v132/phg-exiled/move.png</x:v>
      </x:c>
      <x:c r="J391" s="22" t="str">
        <x:v>https://predator.illfonic.com/</x:v>
      </x:c>
      <x:c r="K391" s="24" t="str">
        <x:v>Preuve technique : public/game/assets/v136/gauntlets/phg-exiled/04-lid.svg ; fichier distinct ne vaut pas texture ni proportions 1:1 ; heures non journalisées</x:v>
      </x:c>
    </x:row>
    <x:row r="392" ht="31" customHeight="1">
      <x:c r="A392" s="22" t="str">
        <x:v>phg-exiled</x:v>
      </x:c>
      <x:c r="B392" s="22" t="str">
        <x:v>phg-exiled-SFX</x:v>
      </x:c>
      <x:c r="C392" s="22" t="str">
        <x:v>Identité sonore</x:v>
      </x:c>
      <x:c r="D392" s="24" t="str">
        <x:v>4 sources originales non soumises aux droits de film</x:v>
      </x:c>
      <x:c r="E392" s="22" t="str">
        <x:v>P2</x:v>
      </x:c>
      <x:c r="F392" s="22" t="str">
        <x:v>Signature sonore par thème (10 profils), source non cinéma</x:v>
      </x:c>
      <x:c r="G392" s="22" t="n">
        <x:v>2</x:v>
      </x:c>
      <x:c r="H392" s="22" t="n">
        <x:v>0</x:v>
      </x:c>
      <x:c r="I392" s="22" t="str">
        <x:v>public/gauntlets/v132/phg-exiled/sfx.png</x:v>
      </x:c>
      <x:c r="J392" s="22" t="str">
        <x:v>https://predator.illfonic.com/</x:v>
      </x:c>
      <x:c r="K392" s="24" t="str">
        <x:v>Preuve technique : app/game/sound.ts ; fichier distinct ne vaut pas texture ni proportions 1:1 ; heures non journalisées</x:v>
      </x:c>
    </x:row>
    <x:row r="393" ht="31" customHeight="1">
      <x:c r="A393" s="22" t="str">
        <x:v>phg-exiled</x:v>
      </x:c>
      <x:c r="B393" s="22" t="str">
        <x:v>phg-exiled-HUD</x:v>
      </x:c>
      <x:c r="C393" s="22" t="str">
        <x:v>Palette / projection</x:v>
      </x:c>
      <x:c r="D393" s="24" t="str">
        <x:v>UI 2D/3D cohérente avec la carte</x:v>
      </x:c>
      <x:c r="E393" s="22" t="str">
        <x:v>P2</x:v>
      </x:c>
      <x:c r="F393" s="22" t="str">
        <x:v>HUD connecté / simulation intacte ; QA visuelle restante</x:v>
      </x:c>
      <x:c r="G393" s="22" t="n">
        <x:v>3.5</x:v>
      </x:c>
      <x:c r="H393" s="22" t="n">
        <x:v>0</x:v>
      </x:c>
      <x:c r="I393" s="22" t="str">
        <x:v>public/gauntlets/v132/phg-exiled/hud.png</x:v>
      </x:c>
      <x:c r="J393" s="22" t="str">
        <x:v>https://predator.illfonic.com/</x:v>
      </x:c>
      <x:c r="K393" s="24" t="str">
        <x:v>Preuve technique : app/game/ClanWarGauntletV131.tsx ; fichier distinct ne vaut pas texture ni proportions 1:1 ; heures non journalisées</x:v>
      </x:c>
    </x:row>
    <x:row r="394" ht="31" customHeight="1">
      <x:c r="A394" s="22" t="str">
        <x:v>phg-exiled</x:v>
      </x:c>
      <x:c r="B394" s="22" t="str">
        <x:v>phg-exiled-QA</x:v>
      </x:c>
      <x:c r="C394" s="22" t="str">
        <x:v>Comparaisons + tests</x:v>
      </x:c>
      <x:c r="D394" s="24" t="str">
        <x:v>Pivots, alpha, mobile, focus, 3 vues</x:v>
      </x:c>
      <x:c r="E394" s="22" t="str">
        <x:v>P2</x:v>
      </x:c>
      <x:c r="F394" s="22" t="str">
        <x:v>Tests CI source / alpha / type / navigateur autonome ; 1:1 restant</x:v>
      </x:c>
      <x:c r="G394" s="22" t="n">
        <x:v>4</x:v>
      </x:c>
      <x:c r="H394" s="22" t="n">
        <x:v>0</x:v>
      </x:c>
      <x:c r="I394" s="22" t="str">
        <x:v>public/gauntlets/v132/phg-exiled/qa.png</x:v>
      </x:c>
      <x:c r="J394" s="22" t="str">
        <x:v>https://predator.illfonic.com/</x:v>
      </x:c>
      <x:c r="K394" s="24" t="str">
        <x:v>Preuve technique : tests/gauntlet-archive-studies-v136.test.mjs ; fichier distinct ne vaut pas texture ni proportions 1:1 ; heures non journalisées</x:v>
      </x:c>
    </x:row>
    <x:row r="395" ht="31" customHeight="1">
      <x:c r="A395" s="22" t="str">
        <x:v>phg-pirate</x:v>
      </x:c>
      <x:c r="B395" s="22" t="str">
        <x:v>phg-pirate-ARM-L</x:v>
      </x:c>
      <x:c r="C395" s="22" t="str">
        <x:v>Bras gauche / poignet</x:v>
      </x:c>
      <x:c r="D395" s="24" t="str">
        <x:v>Pivot &amp; peau / netting</x:v>
      </x:c>
      <x:c r="E395" s="22" t="str">
        <x:v>P2</x:v>
      </x:c>
      <x:c r="F395" s="22" t="str">
        <x:v>Prototype SVG individuel + alpha PNG</x:v>
      </x:c>
      <x:c r="G395" s="22" t="n">
        <x:v>3.5</x:v>
      </x:c>
      <x:c r="H395" s="22" t="n">
        <x:v>0</x:v>
      </x:c>
      <x:c r="I395" s="22" t="str">
        <x:v>public/gauntlets/v132/phg-pirate/arm-l.png</x:v>
      </x:c>
      <x:c r="J395" s="22" t="str">
        <x:v>https://predator.illfonic.com/</x:v>
      </x:c>
      <x:c r="K395" s="24" t="str">
        <x:v>Preuve technique : public/game/assets/v136/gauntlets/phg-pirate/01-arm.svg ; fichier distinct ne vaut pas texture ni proportions 1:1 ; heures non journalisées</x:v>
      </x:c>
    </x:row>
    <x:row r="396" ht="31" customHeight="1">
      <x:c r="A396" s="22" t="str">
        <x:v>phg-pirate</x:v>
      </x:c>
      <x:c r="B396" s="22" t="str">
        <x:v>phg-pirate-SHELL-C</x:v>
      </x:c>
      <x:c r="C396" s="22" t="str">
        <x:v>Coque fermée</x:v>
      </x:c>
      <x:c r="D396" s="24" t="str">
        <x:v>Profil latéral et attaches</x:v>
      </x:c>
      <x:c r="E396" s="22" t="str">
        <x:v>P2</x:v>
      </x:c>
      <x:c r="F396" s="22" t="str">
        <x:v>Coque individuelle SVG + PNG, non 1:1</x:v>
      </x:c>
      <x:c r="G396" s="22" t="n">
        <x:v>4.5</x:v>
      </x:c>
      <x:c r="H396" s="22" t="n">
        <x:v>0</x:v>
      </x:c>
      <x:c r="I396" s="22" t="str">
        <x:v>public/gauntlets/v132/phg-pirate/shell-c.png</x:v>
      </x:c>
      <x:c r="J396" s="22" t="str">
        <x:v>https://predator.illfonic.com/</x:v>
      </x:c>
      <x:c r="K396" s="24" t="str">
        <x:v>Preuve technique : public/game/assets/v136/gauntlets/phg-pirate/02-shell.svg ; fichier distinct ne vaut pas texture ni proportions 1:1 ; heures non journalisées</x:v>
      </x:c>
    </x:row>
    <x:row r="397" ht="31" customHeight="1">
      <x:c r="A397" s="22" t="str">
        <x:v>phg-pirate</x:v>
      </x:c>
      <x:c r="B397" s="22" t="str">
        <x:v>phg-pirate-SHELL-O</x:v>
      </x:c>
      <x:c r="C397" s="22" t="str">
        <x:v>Coque ouverte</x:v>
      </x:c>
      <x:c r="D397" s="24" t="str">
        <x:v>Charnières et trappe</x:v>
      </x:c>
      <x:c r="E397" s="22" t="str">
        <x:v>P2</x:v>
      </x:c>
      <x:c r="F397" s="22" t="str">
        <x:v>Capot ouvrable en React/CSS, animation partielle</x:v>
      </x:c>
      <x:c r="G397" s="22" t="n">
        <x:v>4.5</x:v>
      </x:c>
      <x:c r="H397" s="22" t="n">
        <x:v>0</x:v>
      </x:c>
      <x:c r="I397" s="22" t="str">
        <x:v>public/gauntlets/v132/phg-pirate/shell-o.png</x:v>
      </x:c>
      <x:c r="J397" s="22" t="str">
        <x:v>https://predator.illfonic.com/</x:v>
      </x:c>
      <x:c r="K397" s="24" t="str">
        <x:v>Preuve technique : public/game/assets/v136/gauntlets/phg-pirate/04-lid.svg ; fichier distinct ne vaut pas texture ni proportions 1:1 ; heures non journalisées</x:v>
      </x:c>
    </x:row>
    <x:row r="398" ht="31" customHeight="1">
      <x:c r="A398" s="22" t="str">
        <x:v>phg-pirate</x:v>
      </x:c>
      <x:c r="B398" s="22" t="str">
        <x:v>phg-pirate-UI-RED</x:v>
      </x:c>
      <x:c r="C398" s="22" t="str">
        <x:v>Contrôle / glyphes</x:v>
      </x:c>
      <x:c r="D398" s="24" t="str">
        <x:v>Texte + segments lumineux</x:v>
      </x:c>
      <x:c r="E398" s="22" t="str">
        <x:v>P2</x:v>
      </x:c>
      <x:c r="F398" s="22" t="str">
        <x:v>Interface distincte en SVG / couleurs non certifiées</x:v>
      </x:c>
      <x:c r="G398" s="22" t="n">
        <x:v>3</x:v>
      </x:c>
      <x:c r="H398" s="22" t="n">
        <x:v>0</x:v>
      </x:c>
      <x:c r="I398" s="22" t="str">
        <x:v>public/gauntlets/v132/phg-pirate/ui-red.png</x:v>
      </x:c>
      <x:c r="J398" s="22" t="str">
        <x:v>https://predator.illfonic.com/</x:v>
      </x:c>
      <x:c r="K398" s="24" t="str">
        <x:v>Preuve technique : public/game/assets/v136/gauntlets/phg-pirate/03-interface.svg ; fichier distinct ne vaut pas texture ni proportions 1:1 ; heures non journalisées</x:v>
      </x:c>
    </x:row>
    <x:row r="399" ht="31" customHeight="1">
      <x:c r="A399" s="22" t="str">
        <x:v>phg-pirate</x:v>
      </x:c>
      <x:c r="B399" s="22" t="str">
        <x:v>phg-pirate-RIBS</x:v>
      </x:c>
      <x:c r="C399" s="22" t="str">
        <x:v>Ribures et mécanique</x:v>
      </x:c>
      <x:c r="D399" s="24" t="str">
        <x:v>Plaques, vis, tuyaux</x:v>
      </x:c>
      <x:c r="E399" s="22" t="str">
        <x:v>P2</x:v>
      </x:c>
      <x:c r="F399" s="22" t="str">
        <x:v>Détails de coque présents, sous-pièces non séparées</x:v>
      </x:c>
      <x:c r="G399" s="22" t="n">
        <x:v>3.5</x:v>
      </x:c>
      <x:c r="H399" s="22" t="n">
        <x:v>0</x:v>
      </x:c>
      <x:c r="I399" s="22" t="str">
        <x:v>public/gauntlets/v132/phg-pirate/ribs.png</x:v>
      </x:c>
      <x:c r="J399" s="22" t="str">
        <x:v>https://predator.illfonic.com/</x:v>
      </x:c>
      <x:c r="K399" s="24" t="str">
        <x:v>Preuve technique : public/game/assets/v136/gauntlets/phg-pirate/02-shell.svg ; fichier distinct ne vaut pas texture ni proportions 1:1 ; heures non journalisées</x:v>
      </x:c>
    </x:row>
    <x:row r="400" ht="31" customHeight="1">
      <x:c r="A400" s="22" t="str">
        <x:v>phg-pirate</x:v>
      </x:c>
      <x:c r="B400" s="22" t="str">
        <x:v>phg-pirate-BEAM</x:v>
      </x:c>
      <x:c r="C400" s="22" t="str">
        <x:v>Émetteur holographique</x:v>
      </x:c>
      <x:c r="D400" s="24" t="str">
        <x:v>Projection originale de jeu</x:v>
      </x:c>
      <x:c r="E400" s="22" t="str">
        <x:v>P2</x:v>
      </x:c>
      <x:c r="F400" s="22" t="str">
        <x:v>Faisceau du projet (JH dédié, autres effet commun)</x:v>
      </x:c>
      <x:c r="G400" s="22" t="n">
        <x:v>2.5</x:v>
      </x:c>
      <x:c r="H400" s="22" t="n">
        <x:v>0</x:v>
      </x:c>
      <x:c r="I400" s="22" t="str">
        <x:v>public/gauntlets/v132/phg-pirate/beam.png</x:v>
      </x:c>
      <x:c r="J400" s="22" t="str">
        <x:v>https://predator.illfonic.com/</x:v>
      </x:c>
      <x:c r="K400" s="24" t="str">
        <x:v>Preuve technique : app/game/ClanWarGauntletV131.tsx ; fichier distinct ne vaut pas texture ni proportions 1:1 ; heures non journalisées</x:v>
      </x:c>
    </x:row>
    <x:row r="401" ht="31" customHeight="1">
      <x:c r="A401" s="22" t="str">
        <x:v>phg-pirate</x:v>
      </x:c>
      <x:c r="B401" s="22" t="str">
        <x:v>phg-pirate-MOVE</x:v>
      </x:c>
      <x:c r="C401" s="22" t="str">
        <x:v>Animations 4 états</x:v>
      </x:c>
      <x:c r="D401" s="24" t="str">
        <x:v>lever, ouvrir, projeter, ranger</x:v>
      </x:c>
      <x:c r="E401" s="22" t="str">
        <x:v>P2</x:v>
      </x:c>
      <x:c r="F401" s="22" t="str">
        <x:v>Capot ouvert/fermé ; 3 gestes complets restent à faire</x:v>
      </x:c>
      <x:c r="G401" s="22" t="n">
        <x:v>5</x:v>
      </x:c>
      <x:c r="H401" s="22" t="n">
        <x:v>0</x:v>
      </x:c>
      <x:c r="I401" s="22" t="str">
        <x:v>public/gauntlets/v132/phg-pirate/move.png</x:v>
      </x:c>
      <x:c r="J401" s="22" t="str">
        <x:v>https://predator.illfonic.com/</x:v>
      </x:c>
      <x:c r="K401" s="24" t="str">
        <x:v>Preuve technique : public/game/assets/v136/gauntlets/phg-pirate/04-lid.svg ; fichier distinct ne vaut pas texture ni proportions 1:1 ; heures non journalisées</x:v>
      </x:c>
    </x:row>
    <x:row r="402" ht="31" customHeight="1">
      <x:c r="A402" s="22" t="str">
        <x:v>phg-pirate</x:v>
      </x:c>
      <x:c r="B402" s="22" t="str">
        <x:v>phg-pirate-SFX</x:v>
      </x:c>
      <x:c r="C402" s="22" t="str">
        <x:v>Identité sonore</x:v>
      </x:c>
      <x:c r="D402" s="24" t="str">
        <x:v>4 sources originales non soumises aux droits de film</x:v>
      </x:c>
      <x:c r="E402" s="22" t="str">
        <x:v>P2</x:v>
      </x:c>
      <x:c r="F402" s="22" t="str">
        <x:v>Signature sonore par thème (10 profils), source non cinéma</x:v>
      </x:c>
      <x:c r="G402" s="22" t="n">
        <x:v>2</x:v>
      </x:c>
      <x:c r="H402" s="22" t="n">
        <x:v>0</x:v>
      </x:c>
      <x:c r="I402" s="22" t="str">
        <x:v>public/gauntlets/v132/phg-pirate/sfx.png</x:v>
      </x:c>
      <x:c r="J402" s="22" t="str">
        <x:v>https://predator.illfonic.com/</x:v>
      </x:c>
      <x:c r="K402" s="24" t="str">
        <x:v>Preuve technique : app/game/sound.ts ; fichier distinct ne vaut pas texture ni proportions 1:1 ; heures non journalisées</x:v>
      </x:c>
    </x:row>
    <x:row r="403" ht="31" customHeight="1">
      <x:c r="A403" s="22" t="str">
        <x:v>phg-pirate</x:v>
      </x:c>
      <x:c r="B403" s="22" t="str">
        <x:v>phg-pirate-HUD</x:v>
      </x:c>
      <x:c r="C403" s="22" t="str">
        <x:v>Palette / projection</x:v>
      </x:c>
      <x:c r="D403" s="24" t="str">
        <x:v>UI 2D/3D cohérente avec la carte</x:v>
      </x:c>
      <x:c r="E403" s="22" t="str">
        <x:v>P2</x:v>
      </x:c>
      <x:c r="F403" s="22" t="str">
        <x:v>HUD connecté / simulation intacte ; QA visuelle restante</x:v>
      </x:c>
      <x:c r="G403" s="22" t="n">
        <x:v>3.5</x:v>
      </x:c>
      <x:c r="H403" s="22" t="n">
        <x:v>0</x:v>
      </x:c>
      <x:c r="I403" s="22" t="str">
        <x:v>public/gauntlets/v132/phg-pirate/hud.png</x:v>
      </x:c>
      <x:c r="J403" s="22" t="str">
        <x:v>https://predator.illfonic.com/</x:v>
      </x:c>
      <x:c r="K403" s="24" t="str">
        <x:v>Preuve technique : app/game/ClanWarGauntletV131.tsx ; fichier distinct ne vaut pas texture ni proportions 1:1 ; heures non journalisées</x:v>
      </x:c>
    </x:row>
    <x:row r="404" ht="31" customHeight="1">
      <x:c r="A404" s="22" t="str">
        <x:v>phg-pirate</x:v>
      </x:c>
      <x:c r="B404" s="22" t="str">
        <x:v>phg-pirate-QA</x:v>
      </x:c>
      <x:c r="C404" s="22" t="str">
        <x:v>Comparaisons + tests</x:v>
      </x:c>
      <x:c r="D404" s="24" t="str">
        <x:v>Pivots, alpha, mobile, focus, 3 vues</x:v>
      </x:c>
      <x:c r="E404" s="22" t="str">
        <x:v>P2</x:v>
      </x:c>
      <x:c r="F404" s="22" t="str">
        <x:v>Tests CI source / alpha / type / navigateur autonome ; 1:1 restant</x:v>
      </x:c>
      <x:c r="G404" s="22" t="n">
        <x:v>4</x:v>
      </x:c>
      <x:c r="H404" s="22" t="n">
        <x:v>0</x:v>
      </x:c>
      <x:c r="I404" s="22" t="str">
        <x:v>public/gauntlets/v132/phg-pirate/qa.png</x:v>
      </x:c>
      <x:c r="J404" s="22" t="str">
        <x:v>https://predator.illfonic.com/</x:v>
      </x:c>
      <x:c r="K404" s="24" t="str">
        <x:v>Preuve technique : tests/gauntlet-archive-studies-v136.test.mjs ; fichier distinct ne vaut pas texture ni proportions 1:1 ; heures non journalisées</x:v>
      </x:c>
    </x:row>
    <x:row r="405" ht="31" customHeight="1">
      <x:c r="A405" s="22" t="str">
        <x:v>phg-bionic</x:v>
      </x:c>
      <x:c r="B405" s="22" t="str">
        <x:v>phg-bionic-ARM-L</x:v>
      </x:c>
      <x:c r="C405" s="22" t="str">
        <x:v>Bras gauche / poignet</x:v>
      </x:c>
      <x:c r="D405" s="24" t="str">
        <x:v>Pivot &amp; peau / netting</x:v>
      </x:c>
      <x:c r="E405" s="22" t="str">
        <x:v>P2</x:v>
      </x:c>
      <x:c r="F405" s="22" t="str">
        <x:v>Prototype SVG individuel + alpha PNG</x:v>
      </x:c>
      <x:c r="G405" s="22" t="n">
        <x:v>3.5</x:v>
      </x:c>
      <x:c r="H405" s="22" t="n">
        <x:v>0</x:v>
      </x:c>
      <x:c r="I405" s="22" t="str">
        <x:v>public/gauntlets/v132/phg-bionic/arm-l.png</x:v>
      </x:c>
      <x:c r="J405" s="22" t="str">
        <x:v>https://store.steampowered.com/app/1556200/Predator__Hunting_Grounds/</x:v>
      </x:c>
      <x:c r="K405" s="24" t="str">
        <x:v>Preuve technique : public/game/assets/v136/gauntlets/phg-bionic/01-arm.svg ; fichier distinct ne vaut pas texture ni proportions 1:1 ; heures non journalisées</x:v>
      </x:c>
    </x:row>
    <x:row r="406" ht="31" customHeight="1">
      <x:c r="A406" s="22" t="str">
        <x:v>phg-bionic</x:v>
      </x:c>
      <x:c r="B406" s="22" t="str">
        <x:v>phg-bionic-SHELL-C</x:v>
      </x:c>
      <x:c r="C406" s="22" t="str">
        <x:v>Coque fermée</x:v>
      </x:c>
      <x:c r="D406" s="24" t="str">
        <x:v>Profil latéral et attaches</x:v>
      </x:c>
      <x:c r="E406" s="22" t="str">
        <x:v>P2</x:v>
      </x:c>
      <x:c r="F406" s="22" t="str">
        <x:v>Coque individuelle SVG + PNG, non 1:1</x:v>
      </x:c>
      <x:c r="G406" s="22" t="n">
        <x:v>4.5</x:v>
      </x:c>
      <x:c r="H406" s="22" t="n">
        <x:v>0</x:v>
      </x:c>
      <x:c r="I406" s="22" t="str">
        <x:v>public/gauntlets/v132/phg-bionic/shell-c.png</x:v>
      </x:c>
      <x:c r="J406" s="22" t="str">
        <x:v>https://store.steampowered.com/app/1556200/Predator__Hunting_Grounds/</x:v>
      </x:c>
      <x:c r="K406" s="24" t="str">
        <x:v>Preuve technique : public/game/assets/v136/gauntlets/phg-bionic/02-shell.svg ; fichier distinct ne vaut pas texture ni proportions 1:1 ; heures non journalisées</x:v>
      </x:c>
    </x:row>
    <x:row r="407" ht="31" customHeight="1">
      <x:c r="A407" s="22" t="str">
        <x:v>phg-bionic</x:v>
      </x:c>
      <x:c r="B407" s="22" t="str">
        <x:v>phg-bionic-SHELL-O</x:v>
      </x:c>
      <x:c r="C407" s="22" t="str">
        <x:v>Coque ouverte</x:v>
      </x:c>
      <x:c r="D407" s="24" t="str">
        <x:v>Charnières et trappe</x:v>
      </x:c>
      <x:c r="E407" s="22" t="str">
        <x:v>P2</x:v>
      </x:c>
      <x:c r="F407" s="22" t="str">
        <x:v>Capot ouvrable en React/CSS, animation partielle</x:v>
      </x:c>
      <x:c r="G407" s="22" t="n">
        <x:v>4.5</x:v>
      </x:c>
      <x:c r="H407" s="22" t="n">
        <x:v>0</x:v>
      </x:c>
      <x:c r="I407" s="22" t="str">
        <x:v>public/gauntlets/v132/phg-bionic/shell-o.png</x:v>
      </x:c>
      <x:c r="J407" s="22" t="str">
        <x:v>https://store.steampowered.com/app/1556200/Predator__Hunting_Grounds/</x:v>
      </x:c>
      <x:c r="K407" s="24" t="str">
        <x:v>Preuve technique : public/game/assets/v136/gauntlets/phg-bionic/04-lid.svg ; fichier distinct ne vaut pas texture ni proportions 1:1 ; heures non journalisées</x:v>
      </x:c>
    </x:row>
    <x:row r="408" ht="31" customHeight="1">
      <x:c r="A408" s="22" t="str">
        <x:v>phg-bionic</x:v>
      </x:c>
      <x:c r="B408" s="22" t="str">
        <x:v>phg-bionic-UI-RED</x:v>
      </x:c>
      <x:c r="C408" s="22" t="str">
        <x:v>Contrôle / glyphes</x:v>
      </x:c>
      <x:c r="D408" s="24" t="str">
        <x:v>Texte + segments lumineux</x:v>
      </x:c>
      <x:c r="E408" s="22" t="str">
        <x:v>P2</x:v>
      </x:c>
      <x:c r="F408" s="22" t="str">
        <x:v>Interface distincte en SVG / couleurs non certifiées</x:v>
      </x:c>
      <x:c r="G408" s="22" t="n">
        <x:v>3</x:v>
      </x:c>
      <x:c r="H408" s="22" t="n">
        <x:v>0</x:v>
      </x:c>
      <x:c r="I408" s="22" t="str">
        <x:v>public/gauntlets/v132/phg-bionic/ui-red.png</x:v>
      </x:c>
      <x:c r="J408" s="22" t="str">
        <x:v>https://store.steampowered.com/app/1556200/Predator__Hunting_Grounds/</x:v>
      </x:c>
      <x:c r="K408" s="24" t="str">
        <x:v>Preuve technique : public/game/assets/v136/gauntlets/phg-bionic/03-interface.svg ; fichier distinct ne vaut pas texture ni proportions 1:1 ; heures non journalisées</x:v>
      </x:c>
    </x:row>
    <x:row r="409" ht="31" customHeight="1">
      <x:c r="A409" s="22" t="str">
        <x:v>phg-bionic</x:v>
      </x:c>
      <x:c r="B409" s="22" t="str">
        <x:v>phg-bionic-RIBS</x:v>
      </x:c>
      <x:c r="C409" s="22" t="str">
        <x:v>Ribures et mécanique</x:v>
      </x:c>
      <x:c r="D409" s="24" t="str">
        <x:v>Plaques, vis, tuyaux</x:v>
      </x:c>
      <x:c r="E409" s="22" t="str">
        <x:v>P2</x:v>
      </x:c>
      <x:c r="F409" s="22" t="str">
        <x:v>Détails de coque présents, sous-pièces non séparées</x:v>
      </x:c>
      <x:c r="G409" s="22" t="n">
        <x:v>3.5</x:v>
      </x:c>
      <x:c r="H409" s="22" t="n">
        <x:v>0</x:v>
      </x:c>
      <x:c r="I409" s="22" t="str">
        <x:v>public/gauntlets/v132/phg-bionic/ribs.png</x:v>
      </x:c>
      <x:c r="J409" s="22" t="str">
        <x:v>https://store.steampowered.com/app/1556200/Predator__Hunting_Grounds/</x:v>
      </x:c>
      <x:c r="K409" s="24" t="str">
        <x:v>Preuve technique : public/game/assets/v136/gauntlets/phg-bionic/02-shell.svg ; fichier distinct ne vaut pas texture ni proportions 1:1 ; heures non journalisées</x:v>
      </x:c>
    </x:row>
    <x:row r="410" ht="31" customHeight="1">
      <x:c r="A410" s="22" t="str">
        <x:v>phg-bionic</x:v>
      </x:c>
      <x:c r="B410" s="22" t="str">
        <x:v>phg-bionic-BEAM</x:v>
      </x:c>
      <x:c r="C410" s="22" t="str">
        <x:v>Émetteur holographique</x:v>
      </x:c>
      <x:c r="D410" s="24" t="str">
        <x:v>Projection originale de jeu</x:v>
      </x:c>
      <x:c r="E410" s="22" t="str">
        <x:v>P2</x:v>
      </x:c>
      <x:c r="F410" s="22" t="str">
        <x:v>Faisceau du projet (JH dédié, autres effet commun)</x:v>
      </x:c>
      <x:c r="G410" s="22" t="n">
        <x:v>2.5</x:v>
      </x:c>
      <x:c r="H410" s="22" t="n">
        <x:v>0</x:v>
      </x:c>
      <x:c r="I410" s="22" t="str">
        <x:v>public/gauntlets/v132/phg-bionic/beam.png</x:v>
      </x:c>
      <x:c r="J410" s="22" t="str">
        <x:v>https://store.steampowered.com/app/1556200/Predator__Hunting_Grounds/</x:v>
      </x:c>
      <x:c r="K410" s="24" t="str">
        <x:v>Preuve technique : app/game/ClanWarGauntletV131.tsx ; fichier distinct ne vaut pas texture ni proportions 1:1 ; heures non journalisées</x:v>
      </x:c>
    </x:row>
    <x:row r="411" ht="31" customHeight="1">
      <x:c r="A411" s="22" t="str">
        <x:v>phg-bionic</x:v>
      </x:c>
      <x:c r="B411" s="22" t="str">
        <x:v>phg-bionic-MOVE</x:v>
      </x:c>
      <x:c r="C411" s="22" t="str">
        <x:v>Animations 4 états</x:v>
      </x:c>
      <x:c r="D411" s="24" t="str">
        <x:v>lever, ouvrir, projeter, ranger</x:v>
      </x:c>
      <x:c r="E411" s="22" t="str">
        <x:v>P2</x:v>
      </x:c>
      <x:c r="F411" s="22" t="str">
        <x:v>Capot ouvert/fermé ; 3 gestes complets restent à faire</x:v>
      </x:c>
      <x:c r="G411" s="22" t="n">
        <x:v>5</x:v>
      </x:c>
      <x:c r="H411" s="22" t="n">
        <x:v>0</x:v>
      </x:c>
      <x:c r="I411" s="22" t="str">
        <x:v>public/gauntlets/v132/phg-bionic/move.png</x:v>
      </x:c>
      <x:c r="J411" s="22" t="str">
        <x:v>https://store.steampowered.com/app/1556200/Predator__Hunting_Grounds/</x:v>
      </x:c>
      <x:c r="K411" s="24" t="str">
        <x:v>Preuve technique : public/game/assets/v136/gauntlets/phg-bionic/04-lid.svg ; fichier distinct ne vaut pas texture ni proportions 1:1 ; heures non journalisées</x:v>
      </x:c>
    </x:row>
    <x:row r="412" ht="31" customHeight="1">
      <x:c r="A412" s="22" t="str">
        <x:v>phg-bionic</x:v>
      </x:c>
      <x:c r="B412" s="22" t="str">
        <x:v>phg-bionic-SFX</x:v>
      </x:c>
      <x:c r="C412" s="22" t="str">
        <x:v>Identité sonore</x:v>
      </x:c>
      <x:c r="D412" s="24" t="str">
        <x:v>4 sources originales non soumises aux droits de film</x:v>
      </x:c>
      <x:c r="E412" s="22" t="str">
        <x:v>P2</x:v>
      </x:c>
      <x:c r="F412" s="22" t="str">
        <x:v>Signature sonore par thème (10 profils), source non cinéma</x:v>
      </x:c>
      <x:c r="G412" s="22" t="n">
        <x:v>2</x:v>
      </x:c>
      <x:c r="H412" s="22" t="n">
        <x:v>0</x:v>
      </x:c>
      <x:c r="I412" s="22" t="str">
        <x:v>public/gauntlets/v132/phg-bionic/sfx.png</x:v>
      </x:c>
      <x:c r="J412" s="22" t="str">
        <x:v>https://store.steampowered.com/app/1556200/Predator__Hunting_Grounds/</x:v>
      </x:c>
      <x:c r="K412" s="24" t="str">
        <x:v>Preuve technique : app/game/sound.ts ; fichier distinct ne vaut pas texture ni proportions 1:1 ; heures non journalisées</x:v>
      </x:c>
    </x:row>
    <x:row r="413" ht="31" customHeight="1">
      <x:c r="A413" s="22" t="str">
        <x:v>phg-bionic</x:v>
      </x:c>
      <x:c r="B413" s="22" t="str">
        <x:v>phg-bionic-HUD</x:v>
      </x:c>
      <x:c r="C413" s="22" t="str">
        <x:v>Palette / projection</x:v>
      </x:c>
      <x:c r="D413" s="24" t="str">
        <x:v>UI 2D/3D cohérente avec la carte</x:v>
      </x:c>
      <x:c r="E413" s="22" t="str">
        <x:v>P2</x:v>
      </x:c>
      <x:c r="F413" s="22" t="str">
        <x:v>HUD connecté / simulation intacte ; QA visuelle restante</x:v>
      </x:c>
      <x:c r="G413" s="22" t="n">
        <x:v>3.5</x:v>
      </x:c>
      <x:c r="H413" s="22" t="n">
        <x:v>0</x:v>
      </x:c>
      <x:c r="I413" s="22" t="str">
        <x:v>public/gauntlets/v132/phg-bionic/hud.png</x:v>
      </x:c>
      <x:c r="J413" s="22" t="str">
        <x:v>https://store.steampowered.com/app/1556200/Predator__Hunting_Grounds/</x:v>
      </x:c>
      <x:c r="K413" s="24" t="str">
        <x:v>Preuve technique : app/game/ClanWarGauntletV131.tsx ; fichier distinct ne vaut pas texture ni proportions 1:1 ; heures non journalisées</x:v>
      </x:c>
    </x:row>
    <x:row r="414" ht="31" customHeight="1">
      <x:c r="A414" s="22" t="str">
        <x:v>phg-bionic</x:v>
      </x:c>
      <x:c r="B414" s="22" t="str">
        <x:v>phg-bionic-QA</x:v>
      </x:c>
      <x:c r="C414" s="22" t="str">
        <x:v>Comparaisons + tests</x:v>
      </x:c>
      <x:c r="D414" s="24" t="str">
        <x:v>Pivots, alpha, mobile, focus, 3 vues</x:v>
      </x:c>
      <x:c r="E414" s="22" t="str">
        <x:v>P2</x:v>
      </x:c>
      <x:c r="F414" s="22" t="str">
        <x:v>Tests CI source / alpha / type / navigateur autonome ; 1:1 restant</x:v>
      </x:c>
      <x:c r="G414" s="22" t="n">
        <x:v>4</x:v>
      </x:c>
      <x:c r="H414" s="22" t="n">
        <x:v>0</x:v>
      </x:c>
      <x:c r="I414" s="22" t="str">
        <x:v>public/gauntlets/v132/phg-bionic/qa.png</x:v>
      </x:c>
      <x:c r="J414" s="22" t="str">
        <x:v>https://store.steampowered.com/app/1556200/Predator__Hunting_Grounds/</x:v>
      </x:c>
      <x:c r="K414" s="24" t="str">
        <x:v>Preuve technique : tests/gauntlet-archive-studies-v136.test.mjs ; fichier distinct ne vaut pas texture ni proportions 1:1 ; heures non journalisées</x:v>
      </x:c>
    </x:row>
    <x:row r="415" ht="31" customHeight="1">
      <x:c r="A415" s="22" t="str">
        <x:v>phg-emissary</x:v>
      </x:c>
      <x:c r="B415" s="22" t="str">
        <x:v>phg-emissary-ARM-L</x:v>
      </x:c>
      <x:c r="C415" s="22" t="str">
        <x:v>Bras gauche / poignet</x:v>
      </x:c>
      <x:c r="D415" s="24" t="str">
        <x:v>Pivot &amp; peau / netting</x:v>
      </x:c>
      <x:c r="E415" s="22" t="str">
        <x:v>P2</x:v>
      </x:c>
      <x:c r="F415" s="22" t="str">
        <x:v>Prototype SVG individuel + alpha PNG</x:v>
      </x:c>
      <x:c r="G415" s="22" t="n">
        <x:v>3.5</x:v>
      </x:c>
      <x:c r="H415" s="22" t="n">
        <x:v>0</x:v>
      </x:c>
      <x:c r="I415" s="22" t="str">
        <x:v>public/gauntlets/v132/phg-emissary/arm-l.png</x:v>
      </x:c>
      <x:c r="J415" s="22" t="str">
        <x:v>https://store.steampowered.com/app/1556200/Predator__Hunting_Grounds/</x:v>
      </x:c>
      <x:c r="K415" s="24" t="str">
        <x:v>Preuve technique : public/game/assets/v136/gauntlets/phg-emissary/01-arm.svg ; fichier distinct ne vaut pas texture ni proportions 1:1 ; heures non journalisées</x:v>
      </x:c>
    </x:row>
    <x:row r="416" ht="31" customHeight="1">
      <x:c r="A416" s="22" t="str">
        <x:v>phg-emissary</x:v>
      </x:c>
      <x:c r="B416" s="22" t="str">
        <x:v>phg-emissary-SHELL-C</x:v>
      </x:c>
      <x:c r="C416" s="22" t="str">
        <x:v>Coque fermée</x:v>
      </x:c>
      <x:c r="D416" s="24" t="str">
        <x:v>Profil latéral et attaches</x:v>
      </x:c>
      <x:c r="E416" s="22" t="str">
        <x:v>P2</x:v>
      </x:c>
      <x:c r="F416" s="22" t="str">
        <x:v>Coque individuelle SVG + PNG, non 1:1</x:v>
      </x:c>
      <x:c r="G416" s="22" t="n">
        <x:v>4.5</x:v>
      </x:c>
      <x:c r="H416" s="22" t="n">
        <x:v>0</x:v>
      </x:c>
      <x:c r="I416" s="22" t="str">
        <x:v>public/gauntlets/v132/phg-emissary/shell-c.png</x:v>
      </x:c>
      <x:c r="J416" s="22" t="str">
        <x:v>https://store.steampowered.com/app/1556200/Predator__Hunting_Grounds/</x:v>
      </x:c>
      <x:c r="K416" s="24" t="str">
        <x:v>Preuve technique : public/game/assets/v136/gauntlets/phg-emissary/02-shell.svg ; fichier distinct ne vaut pas texture ni proportions 1:1 ; heures non journalisées</x:v>
      </x:c>
    </x:row>
    <x:row r="417" ht="31" customHeight="1">
      <x:c r="A417" s="22" t="str">
        <x:v>phg-emissary</x:v>
      </x:c>
      <x:c r="B417" s="22" t="str">
        <x:v>phg-emissary-SHELL-O</x:v>
      </x:c>
      <x:c r="C417" s="22" t="str">
        <x:v>Coque ouverte</x:v>
      </x:c>
      <x:c r="D417" s="24" t="str">
        <x:v>Charnières et trappe</x:v>
      </x:c>
      <x:c r="E417" s="22" t="str">
        <x:v>P2</x:v>
      </x:c>
      <x:c r="F417" s="22" t="str">
        <x:v>Capot ouvrable en React/CSS, animation partielle</x:v>
      </x:c>
      <x:c r="G417" s="22" t="n">
        <x:v>4.5</x:v>
      </x:c>
      <x:c r="H417" s="22" t="n">
        <x:v>0</x:v>
      </x:c>
      <x:c r="I417" s="22" t="str">
        <x:v>public/gauntlets/v132/phg-emissary/shell-o.png</x:v>
      </x:c>
      <x:c r="J417" s="22" t="str">
        <x:v>https://store.steampowered.com/app/1556200/Predator__Hunting_Grounds/</x:v>
      </x:c>
      <x:c r="K417" s="24" t="str">
        <x:v>Preuve technique : public/game/assets/v136/gauntlets/phg-emissary/04-lid.svg ; fichier distinct ne vaut pas texture ni proportions 1:1 ; heures non journalisées</x:v>
      </x:c>
    </x:row>
    <x:row r="418" ht="31" customHeight="1">
      <x:c r="A418" s="22" t="str">
        <x:v>phg-emissary</x:v>
      </x:c>
      <x:c r="B418" s="22" t="str">
        <x:v>phg-emissary-UI-RED</x:v>
      </x:c>
      <x:c r="C418" s="22" t="str">
        <x:v>Contrôle / glyphes</x:v>
      </x:c>
      <x:c r="D418" s="24" t="str">
        <x:v>Texte + segments lumineux</x:v>
      </x:c>
      <x:c r="E418" s="22" t="str">
        <x:v>P2</x:v>
      </x:c>
      <x:c r="F418" s="22" t="str">
        <x:v>Interface distincte en SVG / couleurs non certifiées</x:v>
      </x:c>
      <x:c r="G418" s="22" t="n">
        <x:v>3</x:v>
      </x:c>
      <x:c r="H418" s="22" t="n">
        <x:v>0</x:v>
      </x:c>
      <x:c r="I418" s="22" t="str">
        <x:v>public/gauntlets/v132/phg-emissary/ui-red.png</x:v>
      </x:c>
      <x:c r="J418" s="22" t="str">
        <x:v>https://store.steampowered.com/app/1556200/Predator__Hunting_Grounds/</x:v>
      </x:c>
      <x:c r="K418" s="24" t="str">
        <x:v>Preuve technique : public/game/assets/v136/gauntlets/phg-emissary/03-interface.svg ; fichier distinct ne vaut pas texture ni proportions 1:1 ; heures non journalisées</x:v>
      </x:c>
    </x:row>
    <x:row r="419" ht="31" customHeight="1">
      <x:c r="A419" s="22" t="str">
        <x:v>phg-emissary</x:v>
      </x:c>
      <x:c r="B419" s="22" t="str">
        <x:v>phg-emissary-RIBS</x:v>
      </x:c>
      <x:c r="C419" s="22" t="str">
        <x:v>Ribures et mécanique</x:v>
      </x:c>
      <x:c r="D419" s="24" t="str">
        <x:v>Plaques, vis, tuyaux</x:v>
      </x:c>
      <x:c r="E419" s="22" t="str">
        <x:v>P2</x:v>
      </x:c>
      <x:c r="F419" s="22" t="str">
        <x:v>Détails de coque présents, sous-pièces non séparées</x:v>
      </x:c>
      <x:c r="G419" s="22" t="n">
        <x:v>3.5</x:v>
      </x:c>
      <x:c r="H419" s="22" t="n">
        <x:v>0</x:v>
      </x:c>
      <x:c r="I419" s="22" t="str">
        <x:v>public/gauntlets/v132/phg-emissary/ribs.png</x:v>
      </x:c>
      <x:c r="J419" s="22" t="str">
        <x:v>https://store.steampowered.com/app/1556200/Predator__Hunting_Grounds/</x:v>
      </x:c>
      <x:c r="K419" s="24" t="str">
        <x:v>Preuve technique : public/game/assets/v136/gauntlets/phg-emissary/02-shell.svg ; fichier distinct ne vaut pas texture ni proportions 1:1 ; heures non journalisées</x:v>
      </x:c>
    </x:row>
    <x:row r="420" ht="31" customHeight="1">
      <x:c r="A420" s="22" t="str">
        <x:v>phg-emissary</x:v>
      </x:c>
      <x:c r="B420" s="22" t="str">
        <x:v>phg-emissary-BEAM</x:v>
      </x:c>
      <x:c r="C420" s="22" t="str">
        <x:v>Émetteur holographique</x:v>
      </x:c>
      <x:c r="D420" s="24" t="str">
        <x:v>Projection originale de jeu</x:v>
      </x:c>
      <x:c r="E420" s="22" t="str">
        <x:v>P2</x:v>
      </x:c>
      <x:c r="F420" s="22" t="str">
        <x:v>Faisceau du projet (JH dédié, autres effet commun)</x:v>
      </x:c>
      <x:c r="G420" s="22" t="n">
        <x:v>2.5</x:v>
      </x:c>
      <x:c r="H420" s="22" t="n">
        <x:v>0</x:v>
      </x:c>
      <x:c r="I420" s="22" t="str">
        <x:v>public/gauntlets/v132/phg-emissary/beam.png</x:v>
      </x:c>
      <x:c r="J420" s="22" t="str">
        <x:v>https://store.steampowered.com/app/1556200/Predator__Hunting_Grounds/</x:v>
      </x:c>
      <x:c r="K420" s="24" t="str">
        <x:v>Preuve technique : app/game/ClanWarGauntletV131.tsx ; fichier distinct ne vaut pas texture ni proportions 1:1 ; heures non journalisées</x:v>
      </x:c>
    </x:row>
    <x:row r="421" ht="31" customHeight="1">
      <x:c r="A421" s="22" t="str">
        <x:v>phg-emissary</x:v>
      </x:c>
      <x:c r="B421" s="22" t="str">
        <x:v>phg-emissary-MOVE</x:v>
      </x:c>
      <x:c r="C421" s="22" t="str">
        <x:v>Animations 4 états</x:v>
      </x:c>
      <x:c r="D421" s="24" t="str">
        <x:v>lever, ouvrir, projeter, ranger</x:v>
      </x:c>
      <x:c r="E421" s="22" t="str">
        <x:v>P2</x:v>
      </x:c>
      <x:c r="F421" s="22" t="str">
        <x:v>Capot ouvert/fermé ; 3 gestes complets restent à faire</x:v>
      </x:c>
      <x:c r="G421" s="22" t="n">
        <x:v>5</x:v>
      </x:c>
      <x:c r="H421" s="22" t="n">
        <x:v>0</x:v>
      </x:c>
      <x:c r="I421" s="22" t="str">
        <x:v>public/gauntlets/v132/phg-emissary/move.png</x:v>
      </x:c>
      <x:c r="J421" s="22" t="str">
        <x:v>https://store.steampowered.com/app/1556200/Predator__Hunting_Grounds/</x:v>
      </x:c>
      <x:c r="K421" s="24" t="str">
        <x:v>Preuve technique : public/game/assets/v136/gauntlets/phg-emissary/04-lid.svg ; fichier distinct ne vaut pas texture ni proportions 1:1 ; heures non journalisées</x:v>
      </x:c>
    </x:row>
    <x:row r="422" ht="31" customHeight="1">
      <x:c r="A422" s="22" t="str">
        <x:v>phg-emissary</x:v>
      </x:c>
      <x:c r="B422" s="22" t="str">
        <x:v>phg-emissary-SFX</x:v>
      </x:c>
      <x:c r="C422" s="22" t="str">
        <x:v>Identité sonore</x:v>
      </x:c>
      <x:c r="D422" s="24" t="str">
        <x:v>4 sources originales non soumises aux droits de film</x:v>
      </x:c>
      <x:c r="E422" s="22" t="str">
        <x:v>P2</x:v>
      </x:c>
      <x:c r="F422" s="22" t="str">
        <x:v>Signature sonore par thème (10 profils), source non cinéma</x:v>
      </x:c>
      <x:c r="G422" s="22" t="n">
        <x:v>2</x:v>
      </x:c>
      <x:c r="H422" s="22" t="n">
        <x:v>0</x:v>
      </x:c>
      <x:c r="I422" s="22" t="str">
        <x:v>public/gauntlets/v132/phg-emissary/sfx.png</x:v>
      </x:c>
      <x:c r="J422" s="22" t="str">
        <x:v>https://store.steampowered.com/app/1556200/Predator__Hunting_Grounds/</x:v>
      </x:c>
      <x:c r="K422" s="24" t="str">
        <x:v>Preuve technique : app/game/sound.ts ; fichier distinct ne vaut pas texture ni proportions 1:1 ; heures non journalisées</x:v>
      </x:c>
    </x:row>
    <x:row r="423" ht="31" customHeight="1">
      <x:c r="A423" s="22" t="str">
        <x:v>phg-emissary</x:v>
      </x:c>
      <x:c r="B423" s="22" t="str">
        <x:v>phg-emissary-HUD</x:v>
      </x:c>
      <x:c r="C423" s="22" t="str">
        <x:v>Palette / projection</x:v>
      </x:c>
      <x:c r="D423" s="24" t="str">
        <x:v>UI 2D/3D cohérente avec la carte</x:v>
      </x:c>
      <x:c r="E423" s="22" t="str">
        <x:v>P2</x:v>
      </x:c>
      <x:c r="F423" s="22" t="str">
        <x:v>HUD connecté / simulation intacte ; QA visuelle restante</x:v>
      </x:c>
      <x:c r="G423" s="22" t="n">
        <x:v>3.5</x:v>
      </x:c>
      <x:c r="H423" s="22" t="n">
        <x:v>0</x:v>
      </x:c>
      <x:c r="I423" s="22" t="str">
        <x:v>public/gauntlets/v132/phg-emissary/hud.png</x:v>
      </x:c>
      <x:c r="J423" s="22" t="str">
        <x:v>https://store.steampowered.com/app/1556200/Predator__Hunting_Grounds/</x:v>
      </x:c>
      <x:c r="K423" s="24" t="str">
        <x:v>Preuve technique : app/game/ClanWarGauntletV131.tsx ; fichier distinct ne vaut pas texture ni proportions 1:1 ; heures non journalisées</x:v>
      </x:c>
    </x:row>
    <x:row r="424" ht="31" customHeight="1">
      <x:c r="A424" s="22" t="str">
        <x:v>phg-emissary</x:v>
      </x:c>
      <x:c r="B424" s="22" t="str">
        <x:v>phg-emissary-QA</x:v>
      </x:c>
      <x:c r="C424" s="22" t="str">
        <x:v>Comparaisons + tests</x:v>
      </x:c>
      <x:c r="D424" s="24" t="str">
        <x:v>Pivots, alpha, mobile, focus, 3 vues</x:v>
      </x:c>
      <x:c r="E424" s="22" t="str">
        <x:v>P2</x:v>
      </x:c>
      <x:c r="F424" s="22" t="str">
        <x:v>Tests CI source / alpha / type / navigateur autonome ; 1:1 restant</x:v>
      </x:c>
      <x:c r="G424" s="22" t="n">
        <x:v>4</x:v>
      </x:c>
      <x:c r="H424" s="22" t="n">
        <x:v>0</x:v>
      </x:c>
      <x:c r="I424" s="22" t="str">
        <x:v>public/gauntlets/v132/phg-emissary/qa.png</x:v>
      </x:c>
      <x:c r="J424" s="22" t="str">
        <x:v>https://store.steampowered.com/app/1556200/Predator__Hunting_Grounds/</x:v>
      </x:c>
      <x:c r="K424" s="24" t="str">
        <x:v>Preuve technique : tests/gauntlet-archive-studies-v136.test.mjs ; fichier distinct ne vaut pas texture ni proportions 1:1 ; heures non journalisées</x:v>
      </x:c>
    </x:row>
    <x:row r="425" ht="31" customHeight="1">
      <x:c r="A425" s="22" t="str">
        <x:v>phg-oni</x:v>
      </x:c>
      <x:c r="B425" s="22" t="str">
        <x:v>phg-oni-ARM-L</x:v>
      </x:c>
      <x:c r="C425" s="22" t="str">
        <x:v>Bras gauche / poignet</x:v>
      </x:c>
      <x:c r="D425" s="24" t="str">
        <x:v>Pivot &amp; peau / netting</x:v>
      </x:c>
      <x:c r="E425" s="22" t="str">
        <x:v>P2</x:v>
      </x:c>
      <x:c r="F425" s="22" t="str">
        <x:v>Prototype SVG individuel + alpha PNG</x:v>
      </x:c>
      <x:c r="G425" s="22" t="n">
        <x:v>3.5</x:v>
      </x:c>
      <x:c r="H425" s="22" t="n">
        <x:v>0</x:v>
      </x:c>
      <x:c r="I425" s="22" t="str">
        <x:v>public/gauntlets/v132/phg-oni/arm-l.png</x:v>
      </x:c>
      <x:c r="J425" s="22" t="str">
        <x:v>https://store.steampowered.com/app/1556200/Predator__Hunting_Grounds/</x:v>
      </x:c>
      <x:c r="K425" s="24" t="str">
        <x:v>Preuve technique : public/game/assets/v136/gauntlets/phg-oni/01-arm.svg ; fichier distinct ne vaut pas texture ni proportions 1:1 ; heures non journalisées</x:v>
      </x:c>
    </x:row>
    <x:row r="426" ht="31" customHeight="1">
      <x:c r="A426" s="22" t="str">
        <x:v>phg-oni</x:v>
      </x:c>
      <x:c r="B426" s="22" t="str">
        <x:v>phg-oni-SHELL-C</x:v>
      </x:c>
      <x:c r="C426" s="22" t="str">
        <x:v>Coque fermée</x:v>
      </x:c>
      <x:c r="D426" s="24" t="str">
        <x:v>Profil latéral et attaches</x:v>
      </x:c>
      <x:c r="E426" s="22" t="str">
        <x:v>P2</x:v>
      </x:c>
      <x:c r="F426" s="22" t="str">
        <x:v>Coque individuelle SVG + PNG, non 1:1</x:v>
      </x:c>
      <x:c r="G426" s="22" t="n">
        <x:v>4.5</x:v>
      </x:c>
      <x:c r="H426" s="22" t="n">
        <x:v>0</x:v>
      </x:c>
      <x:c r="I426" s="22" t="str">
        <x:v>public/gauntlets/v132/phg-oni/shell-c.png</x:v>
      </x:c>
      <x:c r="J426" s="22" t="str">
        <x:v>https://store.steampowered.com/app/1556200/Predator__Hunting_Grounds/</x:v>
      </x:c>
      <x:c r="K426" s="24" t="str">
        <x:v>Preuve technique : public/game/assets/v136/gauntlets/phg-oni/02-shell.svg ; fichier distinct ne vaut pas texture ni proportions 1:1 ; heures non journalisées</x:v>
      </x:c>
    </x:row>
    <x:row r="427" ht="31" customHeight="1">
      <x:c r="A427" s="22" t="str">
        <x:v>phg-oni</x:v>
      </x:c>
      <x:c r="B427" s="22" t="str">
        <x:v>phg-oni-SHELL-O</x:v>
      </x:c>
      <x:c r="C427" s="22" t="str">
        <x:v>Coque ouverte</x:v>
      </x:c>
      <x:c r="D427" s="24" t="str">
        <x:v>Charnières et trappe</x:v>
      </x:c>
      <x:c r="E427" s="22" t="str">
        <x:v>P2</x:v>
      </x:c>
      <x:c r="F427" s="22" t="str">
        <x:v>Capot ouvrable en React/CSS, animation partielle</x:v>
      </x:c>
      <x:c r="G427" s="22" t="n">
        <x:v>4.5</x:v>
      </x:c>
      <x:c r="H427" s="22" t="n">
        <x:v>0</x:v>
      </x:c>
      <x:c r="I427" s="22" t="str">
        <x:v>public/gauntlets/v132/phg-oni/shell-o.png</x:v>
      </x:c>
      <x:c r="J427" s="22" t="str">
        <x:v>https://store.steampowered.com/app/1556200/Predator__Hunting_Grounds/</x:v>
      </x:c>
      <x:c r="K427" s="24" t="str">
        <x:v>Preuve technique : public/game/assets/v136/gauntlets/phg-oni/04-lid.svg ; fichier distinct ne vaut pas texture ni proportions 1:1 ; heures non journalisées</x:v>
      </x:c>
    </x:row>
    <x:row r="428" ht="31" customHeight="1">
      <x:c r="A428" s="22" t="str">
        <x:v>phg-oni</x:v>
      </x:c>
      <x:c r="B428" s="22" t="str">
        <x:v>phg-oni-UI-RED</x:v>
      </x:c>
      <x:c r="C428" s="22" t="str">
        <x:v>Contrôle / glyphes</x:v>
      </x:c>
      <x:c r="D428" s="24" t="str">
        <x:v>Texte + segments lumineux</x:v>
      </x:c>
      <x:c r="E428" s="22" t="str">
        <x:v>P2</x:v>
      </x:c>
      <x:c r="F428" s="22" t="str">
        <x:v>Interface distincte en SVG / couleurs non certifiées</x:v>
      </x:c>
      <x:c r="G428" s="22" t="n">
        <x:v>3</x:v>
      </x:c>
      <x:c r="H428" s="22" t="n">
        <x:v>0</x:v>
      </x:c>
      <x:c r="I428" s="22" t="str">
        <x:v>public/gauntlets/v132/phg-oni/ui-red.png</x:v>
      </x:c>
      <x:c r="J428" s="22" t="str">
        <x:v>https://store.steampowered.com/app/1556200/Predator__Hunting_Grounds/</x:v>
      </x:c>
      <x:c r="K428" s="24" t="str">
        <x:v>Preuve technique : public/game/assets/v136/gauntlets/phg-oni/03-interface.svg ; fichier distinct ne vaut pas texture ni proportions 1:1 ; heures non journalisées</x:v>
      </x:c>
    </x:row>
    <x:row r="429" ht="31" customHeight="1">
      <x:c r="A429" s="22" t="str">
        <x:v>phg-oni</x:v>
      </x:c>
      <x:c r="B429" s="22" t="str">
        <x:v>phg-oni-RIBS</x:v>
      </x:c>
      <x:c r="C429" s="22" t="str">
        <x:v>Ribures et mécanique</x:v>
      </x:c>
      <x:c r="D429" s="24" t="str">
        <x:v>Plaques, vis, tuyaux</x:v>
      </x:c>
      <x:c r="E429" s="22" t="str">
        <x:v>P2</x:v>
      </x:c>
      <x:c r="F429" s="22" t="str">
        <x:v>Détails de coque présents, sous-pièces non séparées</x:v>
      </x:c>
      <x:c r="G429" s="22" t="n">
        <x:v>3.5</x:v>
      </x:c>
      <x:c r="H429" s="22" t="n">
        <x:v>0</x:v>
      </x:c>
      <x:c r="I429" s="22" t="str">
        <x:v>public/gauntlets/v132/phg-oni/ribs.png</x:v>
      </x:c>
      <x:c r="J429" s="22" t="str">
        <x:v>https://store.steampowered.com/app/1556200/Predator__Hunting_Grounds/</x:v>
      </x:c>
      <x:c r="K429" s="24" t="str">
        <x:v>Preuve technique : public/game/assets/v136/gauntlets/phg-oni/02-shell.svg ; fichier distinct ne vaut pas texture ni proportions 1:1 ; heures non journalisées</x:v>
      </x:c>
    </x:row>
    <x:row r="430" ht="31" customHeight="1">
      <x:c r="A430" s="22" t="str">
        <x:v>phg-oni</x:v>
      </x:c>
      <x:c r="B430" s="22" t="str">
        <x:v>phg-oni-BEAM</x:v>
      </x:c>
      <x:c r="C430" s="22" t="str">
        <x:v>Émetteur holographique</x:v>
      </x:c>
      <x:c r="D430" s="24" t="str">
        <x:v>Projection originale de jeu</x:v>
      </x:c>
      <x:c r="E430" s="22" t="str">
        <x:v>P2</x:v>
      </x:c>
      <x:c r="F430" s="22" t="str">
        <x:v>Faisceau du projet (JH dédié, autres effet commun)</x:v>
      </x:c>
      <x:c r="G430" s="22" t="n">
        <x:v>2.5</x:v>
      </x:c>
      <x:c r="H430" s="22" t="n">
        <x:v>0</x:v>
      </x:c>
      <x:c r="I430" s="22" t="str">
        <x:v>public/gauntlets/v132/phg-oni/beam.png</x:v>
      </x:c>
      <x:c r="J430" s="22" t="str">
        <x:v>https://store.steampowered.com/app/1556200/Predator__Hunting_Grounds/</x:v>
      </x:c>
      <x:c r="K430" s="24" t="str">
        <x:v>Preuve technique : app/game/ClanWarGauntletV131.tsx ; fichier distinct ne vaut pas texture ni proportions 1:1 ; heures non journalisées</x:v>
      </x:c>
    </x:row>
    <x:row r="431" ht="31" customHeight="1">
      <x:c r="A431" s="22" t="str">
        <x:v>phg-oni</x:v>
      </x:c>
      <x:c r="B431" s="22" t="str">
        <x:v>phg-oni-MOVE</x:v>
      </x:c>
      <x:c r="C431" s="22" t="str">
        <x:v>Animations 4 états</x:v>
      </x:c>
      <x:c r="D431" s="24" t="str">
        <x:v>lever, ouvrir, projeter, ranger</x:v>
      </x:c>
      <x:c r="E431" s="22" t="str">
        <x:v>P2</x:v>
      </x:c>
      <x:c r="F431" s="22" t="str">
        <x:v>Capot ouvert/fermé ; 3 gestes complets restent à faire</x:v>
      </x:c>
      <x:c r="G431" s="22" t="n">
        <x:v>5</x:v>
      </x:c>
      <x:c r="H431" s="22" t="n">
        <x:v>0</x:v>
      </x:c>
      <x:c r="I431" s="22" t="str">
        <x:v>public/gauntlets/v132/phg-oni/move.png</x:v>
      </x:c>
      <x:c r="J431" s="22" t="str">
        <x:v>https://store.steampowered.com/app/1556200/Predator__Hunting_Grounds/</x:v>
      </x:c>
      <x:c r="K431" s="24" t="str">
        <x:v>Preuve technique : public/game/assets/v136/gauntlets/phg-oni/04-lid.svg ; fichier distinct ne vaut pas texture ni proportions 1:1 ; heures non journalisées</x:v>
      </x:c>
    </x:row>
    <x:row r="432" ht="31" customHeight="1">
      <x:c r="A432" s="22" t="str">
        <x:v>phg-oni</x:v>
      </x:c>
      <x:c r="B432" s="22" t="str">
        <x:v>phg-oni-SFX</x:v>
      </x:c>
      <x:c r="C432" s="22" t="str">
        <x:v>Identité sonore</x:v>
      </x:c>
      <x:c r="D432" s="24" t="str">
        <x:v>4 sources originales non soumises aux droits de film</x:v>
      </x:c>
      <x:c r="E432" s="22" t="str">
        <x:v>P2</x:v>
      </x:c>
      <x:c r="F432" s="22" t="str">
        <x:v>Signature sonore par thème (10 profils), source non cinéma</x:v>
      </x:c>
      <x:c r="G432" s="22" t="n">
        <x:v>2</x:v>
      </x:c>
      <x:c r="H432" s="22" t="n">
        <x:v>0</x:v>
      </x:c>
      <x:c r="I432" s="22" t="str">
        <x:v>public/gauntlets/v132/phg-oni/sfx.png</x:v>
      </x:c>
      <x:c r="J432" s="22" t="str">
        <x:v>https://store.steampowered.com/app/1556200/Predator__Hunting_Grounds/</x:v>
      </x:c>
      <x:c r="K432" s="24" t="str">
        <x:v>Preuve technique : app/game/sound.ts ; fichier distinct ne vaut pas texture ni proportions 1:1 ; heures non journalisées</x:v>
      </x:c>
    </x:row>
    <x:row r="433" ht="31" customHeight="1">
      <x:c r="A433" s="22" t="str">
        <x:v>phg-oni</x:v>
      </x:c>
      <x:c r="B433" s="22" t="str">
        <x:v>phg-oni-HUD</x:v>
      </x:c>
      <x:c r="C433" s="22" t="str">
        <x:v>Palette / projection</x:v>
      </x:c>
      <x:c r="D433" s="24" t="str">
        <x:v>UI 2D/3D cohérente avec la carte</x:v>
      </x:c>
      <x:c r="E433" s="22" t="str">
        <x:v>P2</x:v>
      </x:c>
      <x:c r="F433" s="22" t="str">
        <x:v>HUD connecté / simulation intacte ; QA visuelle restante</x:v>
      </x:c>
      <x:c r="G433" s="22" t="n">
        <x:v>3.5</x:v>
      </x:c>
      <x:c r="H433" s="22" t="n">
        <x:v>0</x:v>
      </x:c>
      <x:c r="I433" s="22" t="str">
        <x:v>public/gauntlets/v132/phg-oni/hud.png</x:v>
      </x:c>
      <x:c r="J433" s="22" t="str">
        <x:v>https://store.steampowered.com/app/1556200/Predator__Hunting_Grounds/</x:v>
      </x:c>
      <x:c r="K433" s="24" t="str">
        <x:v>Preuve technique : app/game/ClanWarGauntletV131.tsx ; fichier distinct ne vaut pas texture ni proportions 1:1 ; heures non journalisées</x:v>
      </x:c>
    </x:row>
    <x:row r="434" ht="31" customHeight="1">
      <x:c r="A434" s="22" t="str">
        <x:v>phg-oni</x:v>
      </x:c>
      <x:c r="B434" s="22" t="str">
        <x:v>phg-oni-QA</x:v>
      </x:c>
      <x:c r="C434" s="22" t="str">
        <x:v>Comparaisons + tests</x:v>
      </x:c>
      <x:c r="D434" s="24" t="str">
        <x:v>Pivots, alpha, mobile, focus, 3 vues</x:v>
      </x:c>
      <x:c r="E434" s="22" t="str">
        <x:v>P2</x:v>
      </x:c>
      <x:c r="F434" s="22" t="str">
        <x:v>Tests CI source / alpha / type / navigateur autonome ; 1:1 restant</x:v>
      </x:c>
      <x:c r="G434" s="22" t="n">
        <x:v>4</x:v>
      </x:c>
      <x:c r="H434" s="22" t="n">
        <x:v>0</x:v>
      </x:c>
      <x:c r="I434" s="22" t="str">
        <x:v>public/gauntlets/v132/phg-oni/qa.png</x:v>
      </x:c>
      <x:c r="J434" s="22" t="str">
        <x:v>https://store.steampowered.com/app/1556200/Predator__Hunting_Grounds/</x:v>
      </x:c>
      <x:c r="K434" s="24" t="str">
        <x:v>Preuve technique : tests/gauntlet-archive-studies-v136.test.mjs ; fichier distinct ne vaut pas texture ni proportions 1:1 ; heures non journalisées</x:v>
      </x:c>
    </x:row>
    <x:row r="435" ht="31" customHeight="1">
      <x:c r="A435" s="22" t="str">
        <x:v>phg-witch</x:v>
      </x:c>
      <x:c r="B435" s="22" t="str">
        <x:v>phg-witch-ARM-L</x:v>
      </x:c>
      <x:c r="C435" s="22" t="str">
        <x:v>Bras gauche / poignet</x:v>
      </x:c>
      <x:c r="D435" s="24" t="str">
        <x:v>Pivot &amp; peau / netting</x:v>
      </x:c>
      <x:c r="E435" s="22" t="str">
        <x:v>P2</x:v>
      </x:c>
      <x:c r="F435" s="22" t="str">
        <x:v>Prototype SVG individuel + alpha PNG</x:v>
      </x:c>
      <x:c r="G435" s="22" t="n">
        <x:v>3.5</x:v>
      </x:c>
      <x:c r="H435" s="22" t="n">
        <x:v>0</x:v>
      </x:c>
      <x:c r="I435" s="22" t="str">
        <x:v>public/gauntlets/v132/phg-witch/arm-l.png</x:v>
      </x:c>
      <x:c r="J435" s="22" t="str">
        <x:v>https://store.steampowered.com/app/1556200/Predator__Hunting_Grounds/</x:v>
      </x:c>
      <x:c r="K435" s="24" t="str">
        <x:v>Preuve technique : public/game/assets/v136/gauntlets/phg-witch/01-arm.svg ; fichier distinct ne vaut pas texture ni proportions 1:1 ; heures non journalisées</x:v>
      </x:c>
    </x:row>
    <x:row r="436" ht="31" customHeight="1">
      <x:c r="A436" s="22" t="str">
        <x:v>phg-witch</x:v>
      </x:c>
      <x:c r="B436" s="22" t="str">
        <x:v>phg-witch-SHELL-C</x:v>
      </x:c>
      <x:c r="C436" s="22" t="str">
        <x:v>Coque fermée</x:v>
      </x:c>
      <x:c r="D436" s="24" t="str">
        <x:v>Profil latéral et attaches</x:v>
      </x:c>
      <x:c r="E436" s="22" t="str">
        <x:v>P2</x:v>
      </x:c>
      <x:c r="F436" s="22" t="str">
        <x:v>Coque individuelle SVG + PNG, non 1:1</x:v>
      </x:c>
      <x:c r="G436" s="22" t="n">
        <x:v>4.5</x:v>
      </x:c>
      <x:c r="H436" s="22" t="n">
        <x:v>0</x:v>
      </x:c>
      <x:c r="I436" s="22" t="str">
        <x:v>public/gauntlets/v132/phg-witch/shell-c.png</x:v>
      </x:c>
      <x:c r="J436" s="22" t="str">
        <x:v>https://store.steampowered.com/app/1556200/Predator__Hunting_Grounds/</x:v>
      </x:c>
      <x:c r="K436" s="24" t="str">
        <x:v>Preuve technique : public/game/assets/v136/gauntlets/phg-witch/02-shell.svg ; fichier distinct ne vaut pas texture ni proportions 1:1 ; heures non journalisées</x:v>
      </x:c>
    </x:row>
    <x:row r="437" ht="31" customHeight="1">
      <x:c r="A437" s="22" t="str">
        <x:v>phg-witch</x:v>
      </x:c>
      <x:c r="B437" s="22" t="str">
        <x:v>phg-witch-SHELL-O</x:v>
      </x:c>
      <x:c r="C437" s="22" t="str">
        <x:v>Coque ouverte</x:v>
      </x:c>
      <x:c r="D437" s="24" t="str">
        <x:v>Charnières et trappe</x:v>
      </x:c>
      <x:c r="E437" s="22" t="str">
        <x:v>P2</x:v>
      </x:c>
      <x:c r="F437" s="22" t="str">
        <x:v>Capot ouvrable en React/CSS, animation partielle</x:v>
      </x:c>
      <x:c r="G437" s="22" t="n">
        <x:v>4.5</x:v>
      </x:c>
      <x:c r="H437" s="22" t="n">
        <x:v>0</x:v>
      </x:c>
      <x:c r="I437" s="22" t="str">
        <x:v>public/gauntlets/v132/phg-witch/shell-o.png</x:v>
      </x:c>
      <x:c r="J437" s="22" t="str">
        <x:v>https://store.steampowered.com/app/1556200/Predator__Hunting_Grounds/</x:v>
      </x:c>
      <x:c r="K437" s="24" t="str">
        <x:v>Preuve technique : public/game/assets/v136/gauntlets/phg-witch/04-lid.svg ; fichier distinct ne vaut pas texture ni proportions 1:1 ; heures non journalisées</x:v>
      </x:c>
    </x:row>
    <x:row r="438" ht="31" customHeight="1">
      <x:c r="A438" s="22" t="str">
        <x:v>phg-witch</x:v>
      </x:c>
      <x:c r="B438" s="22" t="str">
        <x:v>phg-witch-UI-RED</x:v>
      </x:c>
      <x:c r="C438" s="22" t="str">
        <x:v>Contrôle / glyphes</x:v>
      </x:c>
      <x:c r="D438" s="24" t="str">
        <x:v>Texte + segments lumineux</x:v>
      </x:c>
      <x:c r="E438" s="22" t="str">
        <x:v>P2</x:v>
      </x:c>
      <x:c r="F438" s="22" t="str">
        <x:v>Interface distincte en SVG / couleurs non certifiées</x:v>
      </x:c>
      <x:c r="G438" s="22" t="n">
        <x:v>3</x:v>
      </x:c>
      <x:c r="H438" s="22" t="n">
        <x:v>0</x:v>
      </x:c>
      <x:c r="I438" s="22" t="str">
        <x:v>public/gauntlets/v132/phg-witch/ui-red.png</x:v>
      </x:c>
      <x:c r="J438" s="22" t="str">
        <x:v>https://store.steampowered.com/app/1556200/Predator__Hunting_Grounds/</x:v>
      </x:c>
      <x:c r="K438" s="24" t="str">
        <x:v>Preuve technique : public/game/assets/v136/gauntlets/phg-witch/03-interface.svg ; fichier distinct ne vaut pas texture ni proportions 1:1 ; heures non journalisées</x:v>
      </x:c>
    </x:row>
    <x:row r="439" ht="31" customHeight="1">
      <x:c r="A439" s="22" t="str">
        <x:v>phg-witch</x:v>
      </x:c>
      <x:c r="B439" s="22" t="str">
        <x:v>phg-witch-RIBS</x:v>
      </x:c>
      <x:c r="C439" s="22" t="str">
        <x:v>Ribures et mécanique</x:v>
      </x:c>
      <x:c r="D439" s="24" t="str">
        <x:v>Plaques, vis, tuyaux</x:v>
      </x:c>
      <x:c r="E439" s="22" t="str">
        <x:v>P2</x:v>
      </x:c>
      <x:c r="F439" s="22" t="str">
        <x:v>Détails de coque présents, sous-pièces non séparées</x:v>
      </x:c>
      <x:c r="G439" s="22" t="n">
        <x:v>3.5</x:v>
      </x:c>
      <x:c r="H439" s="22" t="n">
        <x:v>0</x:v>
      </x:c>
      <x:c r="I439" s="22" t="str">
        <x:v>public/gauntlets/v132/phg-witch/ribs.png</x:v>
      </x:c>
      <x:c r="J439" s="22" t="str">
        <x:v>https://store.steampowered.com/app/1556200/Predator__Hunting_Grounds/</x:v>
      </x:c>
      <x:c r="K439" s="24" t="str">
        <x:v>Preuve technique : public/game/assets/v136/gauntlets/phg-witch/02-shell.svg ; fichier distinct ne vaut pas texture ni proportions 1:1 ; heures non journalisées</x:v>
      </x:c>
    </x:row>
    <x:row r="440" ht="31" customHeight="1">
      <x:c r="A440" s="22" t="str">
        <x:v>phg-witch</x:v>
      </x:c>
      <x:c r="B440" s="22" t="str">
        <x:v>phg-witch-BEAM</x:v>
      </x:c>
      <x:c r="C440" s="22" t="str">
        <x:v>Émetteur holographique</x:v>
      </x:c>
      <x:c r="D440" s="24" t="str">
        <x:v>Projection originale de jeu</x:v>
      </x:c>
      <x:c r="E440" s="22" t="str">
        <x:v>P2</x:v>
      </x:c>
      <x:c r="F440" s="22" t="str">
        <x:v>Faisceau du projet (JH dédié, autres effet commun)</x:v>
      </x:c>
      <x:c r="G440" s="22" t="n">
        <x:v>2.5</x:v>
      </x:c>
      <x:c r="H440" s="22" t="n">
        <x:v>0</x:v>
      </x:c>
      <x:c r="I440" s="22" t="str">
        <x:v>public/gauntlets/v132/phg-witch/beam.png</x:v>
      </x:c>
      <x:c r="J440" s="22" t="str">
        <x:v>https://store.steampowered.com/app/1556200/Predator__Hunting_Grounds/</x:v>
      </x:c>
      <x:c r="K440" s="24" t="str">
        <x:v>Preuve technique : app/game/ClanWarGauntletV131.tsx ; fichier distinct ne vaut pas texture ni proportions 1:1 ; heures non journalisées</x:v>
      </x:c>
    </x:row>
    <x:row r="441" ht="31" customHeight="1">
      <x:c r="A441" s="22" t="str">
        <x:v>phg-witch</x:v>
      </x:c>
      <x:c r="B441" s="22" t="str">
        <x:v>phg-witch-MOVE</x:v>
      </x:c>
      <x:c r="C441" s="22" t="str">
        <x:v>Animations 4 états</x:v>
      </x:c>
      <x:c r="D441" s="24" t="str">
        <x:v>lever, ouvrir, projeter, ranger</x:v>
      </x:c>
      <x:c r="E441" s="22" t="str">
        <x:v>P2</x:v>
      </x:c>
      <x:c r="F441" s="22" t="str">
        <x:v>Capot ouvert/fermé ; 3 gestes complets restent à faire</x:v>
      </x:c>
      <x:c r="G441" s="22" t="n">
        <x:v>5</x:v>
      </x:c>
      <x:c r="H441" s="22" t="n">
        <x:v>0</x:v>
      </x:c>
      <x:c r="I441" s="22" t="str">
        <x:v>public/gauntlets/v132/phg-witch/move.png</x:v>
      </x:c>
      <x:c r="J441" s="22" t="str">
        <x:v>https://store.steampowered.com/app/1556200/Predator__Hunting_Grounds/</x:v>
      </x:c>
      <x:c r="K441" s="24" t="str">
        <x:v>Preuve technique : public/game/assets/v136/gauntlets/phg-witch/04-lid.svg ; fichier distinct ne vaut pas texture ni proportions 1:1 ; heures non journalisées</x:v>
      </x:c>
    </x:row>
    <x:row r="442" ht="31" customHeight="1">
      <x:c r="A442" s="22" t="str">
        <x:v>phg-witch</x:v>
      </x:c>
      <x:c r="B442" s="22" t="str">
        <x:v>phg-witch-SFX</x:v>
      </x:c>
      <x:c r="C442" s="22" t="str">
        <x:v>Identité sonore</x:v>
      </x:c>
      <x:c r="D442" s="24" t="str">
        <x:v>4 sources originales non soumises aux droits de film</x:v>
      </x:c>
      <x:c r="E442" s="22" t="str">
        <x:v>P2</x:v>
      </x:c>
      <x:c r="F442" s="22" t="str">
        <x:v>Signature sonore par thème (10 profils), source non cinéma</x:v>
      </x:c>
      <x:c r="G442" s="22" t="n">
        <x:v>2</x:v>
      </x:c>
      <x:c r="H442" s="22" t="n">
        <x:v>0</x:v>
      </x:c>
      <x:c r="I442" s="22" t="str">
        <x:v>public/gauntlets/v132/phg-witch/sfx.png</x:v>
      </x:c>
      <x:c r="J442" s="22" t="str">
        <x:v>https://store.steampowered.com/app/1556200/Predator__Hunting_Grounds/</x:v>
      </x:c>
      <x:c r="K442" s="24" t="str">
        <x:v>Preuve technique : app/game/sound.ts ; fichier distinct ne vaut pas texture ni proportions 1:1 ; heures non journalisées</x:v>
      </x:c>
    </x:row>
    <x:row r="443" ht="31" customHeight="1">
      <x:c r="A443" s="22" t="str">
        <x:v>phg-witch</x:v>
      </x:c>
      <x:c r="B443" s="22" t="str">
        <x:v>phg-witch-HUD</x:v>
      </x:c>
      <x:c r="C443" s="22" t="str">
        <x:v>Palette / projection</x:v>
      </x:c>
      <x:c r="D443" s="24" t="str">
        <x:v>UI 2D/3D cohérente avec la carte</x:v>
      </x:c>
      <x:c r="E443" s="22" t="str">
        <x:v>P2</x:v>
      </x:c>
      <x:c r="F443" s="22" t="str">
        <x:v>HUD connecté / simulation intacte ; QA visuelle restante</x:v>
      </x:c>
      <x:c r="G443" s="22" t="n">
        <x:v>3.5</x:v>
      </x:c>
      <x:c r="H443" s="22" t="n">
        <x:v>0</x:v>
      </x:c>
      <x:c r="I443" s="22" t="str">
        <x:v>public/gauntlets/v132/phg-witch/hud.png</x:v>
      </x:c>
      <x:c r="J443" s="22" t="str">
        <x:v>https://store.steampowered.com/app/1556200/Predator__Hunting_Grounds/</x:v>
      </x:c>
      <x:c r="K443" s="24" t="str">
        <x:v>Preuve technique : app/game/ClanWarGauntletV131.tsx ; fichier distinct ne vaut pas texture ni proportions 1:1 ; heures non journalisées</x:v>
      </x:c>
    </x:row>
    <x:row r="444" ht="31" customHeight="1">
      <x:c r="A444" s="22" t="str">
        <x:v>phg-witch</x:v>
      </x:c>
      <x:c r="B444" s="22" t="str">
        <x:v>phg-witch-QA</x:v>
      </x:c>
      <x:c r="C444" s="22" t="str">
        <x:v>Comparaisons + tests</x:v>
      </x:c>
      <x:c r="D444" s="24" t="str">
        <x:v>Pivots, alpha, mobile, focus, 3 vues</x:v>
      </x:c>
      <x:c r="E444" s="22" t="str">
        <x:v>P2</x:v>
      </x:c>
      <x:c r="F444" s="22" t="str">
        <x:v>Tests CI source / alpha / type / navigateur autonome ; 1:1 restant</x:v>
      </x:c>
      <x:c r="G444" s="22" t="n">
        <x:v>4</x:v>
      </x:c>
      <x:c r="H444" s="22" t="n">
        <x:v>0</x:v>
      </x:c>
      <x:c r="I444" s="22" t="str">
        <x:v>public/gauntlets/v132/phg-witch/qa.png</x:v>
      </x:c>
      <x:c r="J444" s="22" t="str">
        <x:v>https://store.steampowered.com/app/1556200/Predator__Hunting_Grounds/</x:v>
      </x:c>
      <x:c r="K444" s="24" t="str">
        <x:v>Preuve technique : tests/gauntlet-archive-studies-v136.test.mjs ; fichier distinct ne vaut pas texture ni proportions 1:1 ; heures non journalisées</x:v>
      </x:c>
    </x:row>
    <x:row r="445" ht="31" customHeight="1">
      <x:c r="A445" s="22" t="str">
        <x:v>phg-father</x:v>
      </x:c>
      <x:c r="B445" s="22" t="str">
        <x:v>phg-father-ARM-L</x:v>
      </x:c>
      <x:c r="C445" s="22" t="str">
        <x:v>Bras gauche / poignet</x:v>
      </x:c>
      <x:c r="D445" s="24" t="str">
        <x:v>Pivot &amp; peau / netting</x:v>
      </x:c>
      <x:c r="E445" s="22" t="str">
        <x:v>P2</x:v>
      </x:c>
      <x:c r="F445" s="22" t="str">
        <x:v>Prototype SVG individuel + alpha PNG</x:v>
      </x:c>
      <x:c r="G445" s="22" t="n">
        <x:v>3.5</x:v>
      </x:c>
      <x:c r="H445" s="22" t="n">
        <x:v>0</x:v>
      </x:c>
      <x:c r="I445" s="22" t="str">
        <x:v>public/gauntlets/v132/phg-father/arm-l.png</x:v>
      </x:c>
      <x:c r="J445" s="22" t="str">
        <x:v>https://store.steampowered.com/app/1556200/Predator__Hunting_Grounds/</x:v>
      </x:c>
      <x:c r="K445" s="24" t="str">
        <x:v>Preuve technique : public/game/assets/v136/gauntlets/phg-father/01-arm.svg ; fichier distinct ne vaut pas texture ni proportions 1:1 ; heures non journalisées</x:v>
      </x:c>
    </x:row>
    <x:row r="446" ht="31" customHeight="1">
      <x:c r="A446" s="22" t="str">
        <x:v>phg-father</x:v>
      </x:c>
      <x:c r="B446" s="22" t="str">
        <x:v>phg-father-SHELL-C</x:v>
      </x:c>
      <x:c r="C446" s="22" t="str">
        <x:v>Coque fermée</x:v>
      </x:c>
      <x:c r="D446" s="24" t="str">
        <x:v>Profil latéral et attaches</x:v>
      </x:c>
      <x:c r="E446" s="22" t="str">
        <x:v>P2</x:v>
      </x:c>
      <x:c r="F446" s="22" t="str">
        <x:v>Coque individuelle SVG + PNG, non 1:1</x:v>
      </x:c>
      <x:c r="G446" s="22" t="n">
        <x:v>4.5</x:v>
      </x:c>
      <x:c r="H446" s="22" t="n">
        <x:v>0</x:v>
      </x:c>
      <x:c r="I446" s="22" t="str">
        <x:v>public/gauntlets/v132/phg-father/shell-c.png</x:v>
      </x:c>
      <x:c r="J446" s="22" t="str">
        <x:v>https://store.steampowered.com/app/1556200/Predator__Hunting_Grounds/</x:v>
      </x:c>
      <x:c r="K446" s="24" t="str">
        <x:v>Preuve technique : public/game/assets/v136/gauntlets/phg-father/02-shell.svg ; fichier distinct ne vaut pas texture ni proportions 1:1 ; heures non journalisées</x:v>
      </x:c>
    </x:row>
    <x:row r="447" ht="31" customHeight="1">
      <x:c r="A447" s="22" t="str">
        <x:v>phg-father</x:v>
      </x:c>
      <x:c r="B447" s="22" t="str">
        <x:v>phg-father-SHELL-O</x:v>
      </x:c>
      <x:c r="C447" s="22" t="str">
        <x:v>Coque ouverte</x:v>
      </x:c>
      <x:c r="D447" s="24" t="str">
        <x:v>Charnières et trappe</x:v>
      </x:c>
      <x:c r="E447" s="22" t="str">
        <x:v>P2</x:v>
      </x:c>
      <x:c r="F447" s="22" t="str">
        <x:v>Capot ouvrable en React/CSS, animation partielle</x:v>
      </x:c>
      <x:c r="G447" s="22" t="n">
        <x:v>4.5</x:v>
      </x:c>
      <x:c r="H447" s="22" t="n">
        <x:v>0</x:v>
      </x:c>
      <x:c r="I447" s="22" t="str">
        <x:v>public/gauntlets/v132/phg-father/shell-o.png</x:v>
      </x:c>
      <x:c r="J447" s="22" t="str">
        <x:v>https://store.steampowered.com/app/1556200/Predator__Hunting_Grounds/</x:v>
      </x:c>
      <x:c r="K447" s="24" t="str">
        <x:v>Preuve technique : public/game/assets/v136/gauntlets/phg-father/04-lid.svg ; fichier distinct ne vaut pas texture ni proportions 1:1 ; heures non journalisées</x:v>
      </x:c>
    </x:row>
    <x:row r="448" ht="31" customHeight="1">
      <x:c r="A448" s="22" t="str">
        <x:v>phg-father</x:v>
      </x:c>
      <x:c r="B448" s="22" t="str">
        <x:v>phg-father-UI-RED</x:v>
      </x:c>
      <x:c r="C448" s="22" t="str">
        <x:v>Contrôle / glyphes</x:v>
      </x:c>
      <x:c r="D448" s="24" t="str">
        <x:v>Texte + segments lumineux</x:v>
      </x:c>
      <x:c r="E448" s="22" t="str">
        <x:v>P2</x:v>
      </x:c>
      <x:c r="F448" s="22" t="str">
        <x:v>Interface distincte en SVG / couleurs non certifiées</x:v>
      </x:c>
      <x:c r="G448" s="22" t="n">
        <x:v>3</x:v>
      </x:c>
      <x:c r="H448" s="22" t="n">
        <x:v>0</x:v>
      </x:c>
      <x:c r="I448" s="22" t="str">
        <x:v>public/gauntlets/v132/phg-father/ui-red.png</x:v>
      </x:c>
      <x:c r="J448" s="22" t="str">
        <x:v>https://store.steampowered.com/app/1556200/Predator__Hunting_Grounds/</x:v>
      </x:c>
      <x:c r="K448" s="24" t="str">
        <x:v>Preuve technique : public/game/assets/v136/gauntlets/phg-father/03-interface.svg ; fichier distinct ne vaut pas texture ni proportions 1:1 ; heures non journalisées</x:v>
      </x:c>
    </x:row>
    <x:row r="449" ht="31" customHeight="1">
      <x:c r="A449" s="22" t="str">
        <x:v>phg-father</x:v>
      </x:c>
      <x:c r="B449" s="22" t="str">
        <x:v>phg-father-RIBS</x:v>
      </x:c>
      <x:c r="C449" s="22" t="str">
        <x:v>Ribures et mécanique</x:v>
      </x:c>
      <x:c r="D449" s="24" t="str">
        <x:v>Plaques, vis, tuyaux</x:v>
      </x:c>
      <x:c r="E449" s="22" t="str">
        <x:v>P2</x:v>
      </x:c>
      <x:c r="F449" s="22" t="str">
        <x:v>Détails de coque présents, sous-pièces non séparées</x:v>
      </x:c>
      <x:c r="G449" s="22" t="n">
        <x:v>3.5</x:v>
      </x:c>
      <x:c r="H449" s="22" t="n">
        <x:v>0</x:v>
      </x:c>
      <x:c r="I449" s="22" t="str">
        <x:v>public/gauntlets/v132/phg-father/ribs.png</x:v>
      </x:c>
      <x:c r="J449" s="22" t="str">
        <x:v>https://store.steampowered.com/app/1556200/Predator__Hunting_Grounds/</x:v>
      </x:c>
      <x:c r="K449" s="24" t="str">
        <x:v>Preuve technique : public/game/assets/v136/gauntlets/phg-father/02-shell.svg ; fichier distinct ne vaut pas texture ni proportions 1:1 ; heures non journalisées</x:v>
      </x:c>
    </x:row>
    <x:row r="450" ht="31" customHeight="1">
      <x:c r="A450" s="22" t="str">
        <x:v>phg-father</x:v>
      </x:c>
      <x:c r="B450" s="22" t="str">
        <x:v>phg-father-BEAM</x:v>
      </x:c>
      <x:c r="C450" s="22" t="str">
        <x:v>Émetteur holographique</x:v>
      </x:c>
      <x:c r="D450" s="24" t="str">
        <x:v>Projection originale de jeu</x:v>
      </x:c>
      <x:c r="E450" s="22" t="str">
        <x:v>P2</x:v>
      </x:c>
      <x:c r="F450" s="22" t="str">
        <x:v>Faisceau du projet (JH dédié, autres effet commun)</x:v>
      </x:c>
      <x:c r="G450" s="22" t="n">
        <x:v>2.5</x:v>
      </x:c>
      <x:c r="H450" s="22" t="n">
        <x:v>0</x:v>
      </x:c>
      <x:c r="I450" s="22" t="str">
        <x:v>public/gauntlets/v132/phg-father/beam.png</x:v>
      </x:c>
      <x:c r="J450" s="22" t="str">
        <x:v>https://store.steampowered.com/app/1556200/Predator__Hunting_Grounds/</x:v>
      </x:c>
      <x:c r="K450" s="24" t="str">
        <x:v>Preuve technique : app/game/ClanWarGauntletV131.tsx ; fichier distinct ne vaut pas texture ni proportions 1:1 ; heures non journalisées</x:v>
      </x:c>
    </x:row>
    <x:row r="451" ht="31" customHeight="1">
      <x:c r="A451" s="22" t="str">
        <x:v>phg-father</x:v>
      </x:c>
      <x:c r="B451" s="22" t="str">
        <x:v>phg-father-MOVE</x:v>
      </x:c>
      <x:c r="C451" s="22" t="str">
        <x:v>Animations 4 états</x:v>
      </x:c>
      <x:c r="D451" s="24" t="str">
        <x:v>lever, ouvrir, projeter, ranger</x:v>
      </x:c>
      <x:c r="E451" s="22" t="str">
        <x:v>P2</x:v>
      </x:c>
      <x:c r="F451" s="22" t="str">
        <x:v>Capot ouvert/fermé ; 3 gestes complets restent à faire</x:v>
      </x:c>
      <x:c r="G451" s="22" t="n">
        <x:v>5</x:v>
      </x:c>
      <x:c r="H451" s="22" t="n">
        <x:v>0</x:v>
      </x:c>
      <x:c r="I451" s="22" t="str">
        <x:v>public/gauntlets/v132/phg-father/move.png</x:v>
      </x:c>
      <x:c r="J451" s="22" t="str">
        <x:v>https://store.steampowered.com/app/1556200/Predator__Hunting_Grounds/</x:v>
      </x:c>
      <x:c r="K451" s="24" t="str">
        <x:v>Preuve technique : public/game/assets/v136/gauntlets/phg-father/04-lid.svg ; fichier distinct ne vaut pas texture ni proportions 1:1 ; heures non journalisées</x:v>
      </x:c>
    </x:row>
    <x:row r="452" ht="31" customHeight="1">
      <x:c r="A452" s="22" t="str">
        <x:v>phg-father</x:v>
      </x:c>
      <x:c r="B452" s="22" t="str">
        <x:v>phg-father-SFX</x:v>
      </x:c>
      <x:c r="C452" s="22" t="str">
        <x:v>Identité sonore</x:v>
      </x:c>
      <x:c r="D452" s="24" t="str">
        <x:v>4 sources originales non soumises aux droits de film</x:v>
      </x:c>
      <x:c r="E452" s="22" t="str">
        <x:v>P2</x:v>
      </x:c>
      <x:c r="F452" s="22" t="str">
        <x:v>Signature sonore par thème (10 profils), source non cinéma</x:v>
      </x:c>
      <x:c r="G452" s="22" t="n">
        <x:v>2</x:v>
      </x:c>
      <x:c r="H452" s="22" t="n">
        <x:v>0</x:v>
      </x:c>
      <x:c r="I452" s="22" t="str">
        <x:v>public/gauntlets/v132/phg-father/sfx.png</x:v>
      </x:c>
      <x:c r="J452" s="22" t="str">
        <x:v>https://store.steampowered.com/app/1556200/Predator__Hunting_Grounds/</x:v>
      </x:c>
      <x:c r="K452" s="24" t="str">
        <x:v>Preuve technique : app/game/sound.ts ; fichier distinct ne vaut pas texture ni proportions 1:1 ; heures non journalisées</x:v>
      </x:c>
    </x:row>
    <x:row r="453" ht="31" customHeight="1">
      <x:c r="A453" s="22" t="str">
        <x:v>phg-father</x:v>
      </x:c>
      <x:c r="B453" s="22" t="str">
        <x:v>phg-father-HUD</x:v>
      </x:c>
      <x:c r="C453" s="22" t="str">
        <x:v>Palette / projection</x:v>
      </x:c>
      <x:c r="D453" s="24" t="str">
        <x:v>UI 2D/3D cohérente avec la carte</x:v>
      </x:c>
      <x:c r="E453" s="22" t="str">
        <x:v>P2</x:v>
      </x:c>
      <x:c r="F453" s="22" t="str">
        <x:v>HUD connecté / simulation intacte ; QA visuelle restante</x:v>
      </x:c>
      <x:c r="G453" s="22" t="n">
        <x:v>3.5</x:v>
      </x:c>
      <x:c r="H453" s="22" t="n">
        <x:v>0</x:v>
      </x:c>
      <x:c r="I453" s="22" t="str">
        <x:v>public/gauntlets/v132/phg-father/hud.png</x:v>
      </x:c>
      <x:c r="J453" s="22" t="str">
        <x:v>https://store.steampowered.com/app/1556200/Predator__Hunting_Grounds/</x:v>
      </x:c>
      <x:c r="K453" s="24" t="str">
        <x:v>Preuve technique : app/game/ClanWarGauntletV131.tsx ; fichier distinct ne vaut pas texture ni proportions 1:1 ; heures non journalisées</x:v>
      </x:c>
    </x:row>
    <x:row r="454" ht="31" customHeight="1">
      <x:c r="A454" s="22" t="str">
        <x:v>phg-father</x:v>
      </x:c>
      <x:c r="B454" s="22" t="str">
        <x:v>phg-father-QA</x:v>
      </x:c>
      <x:c r="C454" s="22" t="str">
        <x:v>Comparaisons + tests</x:v>
      </x:c>
      <x:c r="D454" s="24" t="str">
        <x:v>Pivots, alpha, mobile, focus, 3 vues</x:v>
      </x:c>
      <x:c r="E454" s="22" t="str">
        <x:v>P2</x:v>
      </x:c>
      <x:c r="F454" s="22" t="str">
        <x:v>Tests CI source / alpha / type / navigateur autonome ; 1:1 restant</x:v>
      </x:c>
      <x:c r="G454" s="22" t="n">
        <x:v>4</x:v>
      </x:c>
      <x:c r="H454" s="22" t="n">
        <x:v>0</x:v>
      </x:c>
      <x:c r="I454" s="22" t="str">
        <x:v>public/gauntlets/v132/phg-father/qa.png</x:v>
      </x:c>
      <x:c r="J454" s="22" t="str">
        <x:v>https://store.steampowered.com/app/1556200/Predator__Hunting_Grounds/</x:v>
      </x:c>
      <x:c r="K454" s="24" t="str">
        <x:v>Preuve technique : tests/gauntlet-archive-studies-v136.test.mjs ; fichier distinct ne vaut pas texture ni proportions 1:1 ; heures non journalisées</x:v>
      </x:c>
    </x:row>
    <x:row r="455" ht="31" customHeight="1">
      <x:c r="A455" s="22" t="str">
        <x:v>phg-jotun</x:v>
      </x:c>
      <x:c r="B455" s="22" t="str">
        <x:v>phg-jotun-ARM-L</x:v>
      </x:c>
      <x:c r="C455" s="22" t="str">
        <x:v>Bras gauche / poignet</x:v>
      </x:c>
      <x:c r="D455" s="24" t="str">
        <x:v>Pivot &amp; peau / netting</x:v>
      </x:c>
      <x:c r="E455" s="22" t="str">
        <x:v>P2</x:v>
      </x:c>
      <x:c r="F455" s="22" t="str">
        <x:v>Prototype SVG individuel + alpha PNG</x:v>
      </x:c>
      <x:c r="G455" s="22" t="n">
        <x:v>3.5</x:v>
      </x:c>
      <x:c r="H455" s="22" t="n">
        <x:v>0</x:v>
      </x:c>
      <x:c r="I455" s="22" t="str">
        <x:v>public/gauntlets/v132/phg-jotun/arm-l.png</x:v>
      </x:c>
      <x:c r="J455" s="22" t="str">
        <x:v>https://store.steampowered.com/app/1556200/Predator__Hunting_Grounds/</x:v>
      </x:c>
      <x:c r="K455" s="24" t="str">
        <x:v>Preuve technique : public/game/assets/v136/gauntlets/phg-jotun/01-arm.svg ; fichier distinct ne vaut pas texture ni proportions 1:1 ; heures non journalisées</x:v>
      </x:c>
    </x:row>
    <x:row r="456" ht="31" customHeight="1">
      <x:c r="A456" s="22" t="str">
        <x:v>phg-jotun</x:v>
      </x:c>
      <x:c r="B456" s="22" t="str">
        <x:v>phg-jotun-SHELL-C</x:v>
      </x:c>
      <x:c r="C456" s="22" t="str">
        <x:v>Coque fermée</x:v>
      </x:c>
      <x:c r="D456" s="24" t="str">
        <x:v>Profil latéral et attaches</x:v>
      </x:c>
      <x:c r="E456" s="22" t="str">
        <x:v>P2</x:v>
      </x:c>
      <x:c r="F456" s="22" t="str">
        <x:v>Coque individuelle SVG + PNG, non 1:1</x:v>
      </x:c>
      <x:c r="G456" s="22" t="n">
        <x:v>4.5</x:v>
      </x:c>
      <x:c r="H456" s="22" t="n">
        <x:v>0</x:v>
      </x:c>
      <x:c r="I456" s="22" t="str">
        <x:v>public/gauntlets/v132/phg-jotun/shell-c.png</x:v>
      </x:c>
      <x:c r="J456" s="22" t="str">
        <x:v>https://store.steampowered.com/app/1556200/Predator__Hunting_Grounds/</x:v>
      </x:c>
      <x:c r="K456" s="24" t="str">
        <x:v>Preuve technique : public/game/assets/v136/gauntlets/phg-jotun/02-shell.svg ; fichier distinct ne vaut pas texture ni proportions 1:1 ; heures non journalisées</x:v>
      </x:c>
    </x:row>
    <x:row r="457" ht="31" customHeight="1">
      <x:c r="A457" s="22" t="str">
        <x:v>phg-jotun</x:v>
      </x:c>
      <x:c r="B457" s="22" t="str">
        <x:v>phg-jotun-SHELL-O</x:v>
      </x:c>
      <x:c r="C457" s="22" t="str">
        <x:v>Coque ouverte</x:v>
      </x:c>
      <x:c r="D457" s="24" t="str">
        <x:v>Charnières et trappe</x:v>
      </x:c>
      <x:c r="E457" s="22" t="str">
        <x:v>P2</x:v>
      </x:c>
      <x:c r="F457" s="22" t="str">
        <x:v>Capot ouvrable en React/CSS, animation partielle</x:v>
      </x:c>
      <x:c r="G457" s="22" t="n">
        <x:v>4.5</x:v>
      </x:c>
      <x:c r="H457" s="22" t="n">
        <x:v>0</x:v>
      </x:c>
      <x:c r="I457" s="22" t="str">
        <x:v>public/gauntlets/v132/phg-jotun/shell-o.png</x:v>
      </x:c>
      <x:c r="J457" s="22" t="str">
        <x:v>https://store.steampowered.com/app/1556200/Predator__Hunting_Grounds/</x:v>
      </x:c>
      <x:c r="K457" s="24" t="str">
        <x:v>Preuve technique : public/game/assets/v136/gauntlets/phg-jotun/04-lid.svg ; fichier distinct ne vaut pas texture ni proportions 1:1 ; heures non journalisées</x:v>
      </x:c>
    </x:row>
    <x:row r="458" ht="31" customHeight="1">
      <x:c r="A458" s="22" t="str">
        <x:v>phg-jotun</x:v>
      </x:c>
      <x:c r="B458" s="22" t="str">
        <x:v>phg-jotun-UI-RED</x:v>
      </x:c>
      <x:c r="C458" s="22" t="str">
        <x:v>Contrôle / glyphes</x:v>
      </x:c>
      <x:c r="D458" s="24" t="str">
        <x:v>Texte + segments lumineux</x:v>
      </x:c>
      <x:c r="E458" s="22" t="str">
        <x:v>P2</x:v>
      </x:c>
      <x:c r="F458" s="22" t="str">
        <x:v>Interface distincte en SVG / couleurs non certifiées</x:v>
      </x:c>
      <x:c r="G458" s="22" t="n">
        <x:v>3</x:v>
      </x:c>
      <x:c r="H458" s="22" t="n">
        <x:v>0</x:v>
      </x:c>
      <x:c r="I458" s="22" t="str">
        <x:v>public/gauntlets/v132/phg-jotun/ui-red.png</x:v>
      </x:c>
      <x:c r="J458" s="22" t="str">
        <x:v>https://store.steampowered.com/app/1556200/Predator__Hunting_Grounds/</x:v>
      </x:c>
      <x:c r="K458" s="24" t="str">
        <x:v>Preuve technique : public/game/assets/v136/gauntlets/phg-jotun/03-interface.svg ; fichier distinct ne vaut pas texture ni proportions 1:1 ; heures non journalisées</x:v>
      </x:c>
    </x:row>
    <x:row r="459" ht="31" customHeight="1">
      <x:c r="A459" s="22" t="str">
        <x:v>phg-jotun</x:v>
      </x:c>
      <x:c r="B459" s="22" t="str">
        <x:v>phg-jotun-RIBS</x:v>
      </x:c>
      <x:c r="C459" s="22" t="str">
        <x:v>Ribures et mécanique</x:v>
      </x:c>
      <x:c r="D459" s="24" t="str">
        <x:v>Plaques, vis, tuyaux</x:v>
      </x:c>
      <x:c r="E459" s="22" t="str">
        <x:v>P2</x:v>
      </x:c>
      <x:c r="F459" s="22" t="str">
        <x:v>Détails de coque présents, sous-pièces non séparées</x:v>
      </x:c>
      <x:c r="G459" s="22" t="n">
        <x:v>3.5</x:v>
      </x:c>
      <x:c r="H459" s="22" t="n">
        <x:v>0</x:v>
      </x:c>
      <x:c r="I459" s="22" t="str">
        <x:v>public/gauntlets/v132/phg-jotun/ribs.png</x:v>
      </x:c>
      <x:c r="J459" s="22" t="str">
        <x:v>https://store.steampowered.com/app/1556200/Predator__Hunting_Grounds/</x:v>
      </x:c>
      <x:c r="K459" s="24" t="str">
        <x:v>Preuve technique : public/game/assets/v136/gauntlets/phg-jotun/02-shell.svg ; fichier distinct ne vaut pas texture ni proportions 1:1 ; heures non journalisées</x:v>
      </x:c>
    </x:row>
    <x:row r="460" ht="31" customHeight="1">
      <x:c r="A460" s="22" t="str">
        <x:v>phg-jotun</x:v>
      </x:c>
      <x:c r="B460" s="22" t="str">
        <x:v>phg-jotun-BEAM</x:v>
      </x:c>
      <x:c r="C460" s="22" t="str">
        <x:v>Émetteur holographique</x:v>
      </x:c>
      <x:c r="D460" s="24" t="str">
        <x:v>Projection originale de jeu</x:v>
      </x:c>
      <x:c r="E460" s="22" t="str">
        <x:v>P2</x:v>
      </x:c>
      <x:c r="F460" s="22" t="str">
        <x:v>Faisceau du projet (JH dédié, autres effet commun)</x:v>
      </x:c>
      <x:c r="G460" s="22" t="n">
        <x:v>2.5</x:v>
      </x:c>
      <x:c r="H460" s="22" t="n">
        <x:v>0</x:v>
      </x:c>
      <x:c r="I460" s="22" t="str">
        <x:v>public/gauntlets/v132/phg-jotun/beam.png</x:v>
      </x:c>
      <x:c r="J460" s="22" t="str">
        <x:v>https://store.steampowered.com/app/1556200/Predator__Hunting_Grounds/</x:v>
      </x:c>
      <x:c r="K460" s="24" t="str">
        <x:v>Preuve technique : app/game/ClanWarGauntletV131.tsx ; fichier distinct ne vaut pas texture ni proportions 1:1 ; heures non journalisées</x:v>
      </x:c>
    </x:row>
    <x:row r="461" ht="31" customHeight="1">
      <x:c r="A461" s="22" t="str">
        <x:v>phg-jotun</x:v>
      </x:c>
      <x:c r="B461" s="22" t="str">
        <x:v>phg-jotun-MOVE</x:v>
      </x:c>
      <x:c r="C461" s="22" t="str">
        <x:v>Animations 4 états</x:v>
      </x:c>
      <x:c r="D461" s="24" t="str">
        <x:v>lever, ouvrir, projeter, ranger</x:v>
      </x:c>
      <x:c r="E461" s="22" t="str">
        <x:v>P2</x:v>
      </x:c>
      <x:c r="F461" s="22" t="str">
        <x:v>Capot ouvert/fermé ; 3 gestes complets restent à faire</x:v>
      </x:c>
      <x:c r="G461" s="22" t="n">
        <x:v>5</x:v>
      </x:c>
      <x:c r="H461" s="22" t="n">
        <x:v>0</x:v>
      </x:c>
      <x:c r="I461" s="22" t="str">
        <x:v>public/gauntlets/v132/phg-jotun/move.png</x:v>
      </x:c>
      <x:c r="J461" s="22" t="str">
        <x:v>https://store.steampowered.com/app/1556200/Predator__Hunting_Grounds/</x:v>
      </x:c>
      <x:c r="K461" s="24" t="str">
        <x:v>Preuve technique : public/game/assets/v136/gauntlets/phg-jotun/04-lid.svg ; fichier distinct ne vaut pas texture ni proportions 1:1 ; heures non journalisées</x:v>
      </x:c>
    </x:row>
    <x:row r="462" ht="31" customHeight="1">
      <x:c r="A462" s="22" t="str">
        <x:v>phg-jotun</x:v>
      </x:c>
      <x:c r="B462" s="22" t="str">
        <x:v>phg-jotun-SFX</x:v>
      </x:c>
      <x:c r="C462" s="22" t="str">
        <x:v>Identité sonore</x:v>
      </x:c>
      <x:c r="D462" s="24" t="str">
        <x:v>4 sources originales non soumises aux droits de film</x:v>
      </x:c>
      <x:c r="E462" s="22" t="str">
        <x:v>P2</x:v>
      </x:c>
      <x:c r="F462" s="22" t="str">
        <x:v>Signature sonore par thème (10 profils), source non cinéma</x:v>
      </x:c>
      <x:c r="G462" s="22" t="n">
        <x:v>2</x:v>
      </x:c>
      <x:c r="H462" s="22" t="n">
        <x:v>0</x:v>
      </x:c>
      <x:c r="I462" s="22" t="str">
        <x:v>public/gauntlets/v132/phg-jotun/sfx.png</x:v>
      </x:c>
      <x:c r="J462" s="22" t="str">
        <x:v>https://store.steampowered.com/app/1556200/Predator__Hunting_Grounds/</x:v>
      </x:c>
      <x:c r="K462" s="24" t="str">
        <x:v>Preuve technique : app/game/sound.ts ; fichier distinct ne vaut pas texture ni proportions 1:1 ; heures non journalisées</x:v>
      </x:c>
    </x:row>
    <x:row r="463" ht="31" customHeight="1">
      <x:c r="A463" s="22" t="str">
        <x:v>phg-jotun</x:v>
      </x:c>
      <x:c r="B463" s="22" t="str">
        <x:v>phg-jotun-HUD</x:v>
      </x:c>
      <x:c r="C463" s="22" t="str">
        <x:v>Palette / projection</x:v>
      </x:c>
      <x:c r="D463" s="24" t="str">
        <x:v>UI 2D/3D cohérente avec la carte</x:v>
      </x:c>
      <x:c r="E463" s="22" t="str">
        <x:v>P2</x:v>
      </x:c>
      <x:c r="F463" s="22" t="str">
        <x:v>HUD connecté / simulation intacte ; QA visuelle restante</x:v>
      </x:c>
      <x:c r="G463" s="22" t="n">
        <x:v>3.5</x:v>
      </x:c>
      <x:c r="H463" s="22" t="n">
        <x:v>0</x:v>
      </x:c>
      <x:c r="I463" s="22" t="str">
        <x:v>public/gauntlets/v132/phg-jotun/hud.png</x:v>
      </x:c>
      <x:c r="J463" s="22" t="str">
        <x:v>https://store.steampowered.com/app/1556200/Predator__Hunting_Grounds/</x:v>
      </x:c>
      <x:c r="K463" s="24" t="str">
        <x:v>Preuve technique : app/game/ClanWarGauntletV131.tsx ; fichier distinct ne vaut pas texture ni proportions 1:1 ; heures non journalisées</x:v>
      </x:c>
    </x:row>
    <x:row r="464" ht="31" customHeight="1">
      <x:c r="A464" s="22" t="str">
        <x:v>phg-jotun</x:v>
      </x:c>
      <x:c r="B464" s="22" t="str">
        <x:v>phg-jotun-QA</x:v>
      </x:c>
      <x:c r="C464" s="22" t="str">
        <x:v>Comparaisons + tests</x:v>
      </x:c>
      <x:c r="D464" s="24" t="str">
        <x:v>Pivots, alpha, mobile, focus, 3 vues</x:v>
      </x:c>
      <x:c r="E464" s="22" t="str">
        <x:v>P2</x:v>
      </x:c>
      <x:c r="F464" s="22" t="str">
        <x:v>Tests CI source / alpha / type / navigateur autonome ; 1:1 restant</x:v>
      </x:c>
      <x:c r="G464" s="22" t="n">
        <x:v>4</x:v>
      </x:c>
      <x:c r="H464" s="22" t="n">
        <x:v>0</x:v>
      </x:c>
      <x:c r="I464" s="22" t="str">
        <x:v>public/gauntlets/v132/phg-jotun/qa.png</x:v>
      </x:c>
      <x:c r="J464" s="22" t="str">
        <x:v>https://store.steampowered.com/app/1556200/Predator__Hunting_Grounds/</x:v>
      </x:c>
      <x:c r="K464" s="24" t="str">
        <x:v>Preuve technique : tests/gauntlet-archive-studies-v136.test.mjs ; fichier distinct ne vaut pas texture ni proportions 1:1 ; heures non journalisées</x:v>
      </x:c>
    </x:row>
    <x:row r="465" ht="31" customHeight="1">
      <x:c r="A465" s="22" t="str">
        <x:v>phg-exalted</x:v>
      </x:c>
      <x:c r="B465" s="22" t="str">
        <x:v>phg-exalted-ARM-L</x:v>
      </x:c>
      <x:c r="C465" s="22" t="str">
        <x:v>Bras gauche / poignet</x:v>
      </x:c>
      <x:c r="D465" s="24" t="str">
        <x:v>Pivot &amp; peau / netting</x:v>
      </x:c>
      <x:c r="E465" s="22" t="str">
        <x:v>P2</x:v>
      </x:c>
      <x:c r="F465" s="22" t="str">
        <x:v>Prototype SVG individuel + alpha PNG</x:v>
      </x:c>
      <x:c r="G465" s="22" t="n">
        <x:v>3.5</x:v>
      </x:c>
      <x:c r="H465" s="22" t="n">
        <x:v>0</x:v>
      </x:c>
      <x:c r="I465" s="22" t="str">
        <x:v>public/gauntlets/v132/phg-exalted/arm-l.png</x:v>
      </x:c>
      <x:c r="J465" s="22" t="str">
        <x:v>https://store.steampowered.com/app/1556200/Predator__Hunting_Grounds/</x:v>
      </x:c>
      <x:c r="K465" s="24" t="str">
        <x:v>Preuve technique : public/game/assets/v136/gauntlets/phg-exalted/01-arm.svg ; fichier distinct ne vaut pas texture ni proportions 1:1 ; heures non journalisées</x:v>
      </x:c>
    </x:row>
    <x:row r="466" ht="31" customHeight="1">
      <x:c r="A466" s="22" t="str">
        <x:v>phg-exalted</x:v>
      </x:c>
      <x:c r="B466" s="22" t="str">
        <x:v>phg-exalted-SHELL-C</x:v>
      </x:c>
      <x:c r="C466" s="22" t="str">
        <x:v>Coque fermée</x:v>
      </x:c>
      <x:c r="D466" s="24" t="str">
        <x:v>Profil latéral et attaches</x:v>
      </x:c>
      <x:c r="E466" s="22" t="str">
        <x:v>P2</x:v>
      </x:c>
      <x:c r="F466" s="22" t="str">
        <x:v>Coque individuelle SVG + PNG, non 1:1</x:v>
      </x:c>
      <x:c r="G466" s="22" t="n">
        <x:v>4.5</x:v>
      </x:c>
      <x:c r="H466" s="22" t="n">
        <x:v>0</x:v>
      </x:c>
      <x:c r="I466" s="22" t="str">
        <x:v>public/gauntlets/v132/phg-exalted/shell-c.png</x:v>
      </x:c>
      <x:c r="J466" s="22" t="str">
        <x:v>https://store.steampowered.com/app/1556200/Predator__Hunting_Grounds/</x:v>
      </x:c>
      <x:c r="K466" s="24" t="str">
        <x:v>Preuve technique : public/game/assets/v136/gauntlets/phg-exalted/02-shell.svg ; fichier distinct ne vaut pas texture ni proportions 1:1 ; heures non journalisées</x:v>
      </x:c>
    </x:row>
    <x:row r="467" ht="31" customHeight="1">
      <x:c r="A467" s="22" t="str">
        <x:v>phg-exalted</x:v>
      </x:c>
      <x:c r="B467" s="22" t="str">
        <x:v>phg-exalted-SHELL-O</x:v>
      </x:c>
      <x:c r="C467" s="22" t="str">
        <x:v>Coque ouverte</x:v>
      </x:c>
      <x:c r="D467" s="24" t="str">
        <x:v>Charnières et trappe</x:v>
      </x:c>
      <x:c r="E467" s="22" t="str">
        <x:v>P2</x:v>
      </x:c>
      <x:c r="F467" s="22" t="str">
        <x:v>Capot ouvrable en React/CSS, animation partielle</x:v>
      </x:c>
      <x:c r="G467" s="22" t="n">
        <x:v>4.5</x:v>
      </x:c>
      <x:c r="H467" s="22" t="n">
        <x:v>0</x:v>
      </x:c>
      <x:c r="I467" s="22" t="str">
        <x:v>public/gauntlets/v132/phg-exalted/shell-o.png</x:v>
      </x:c>
      <x:c r="J467" s="22" t="str">
        <x:v>https://store.steampowered.com/app/1556200/Predator__Hunting_Grounds/</x:v>
      </x:c>
      <x:c r="K467" s="24" t="str">
        <x:v>Preuve technique : public/game/assets/v136/gauntlets/phg-exalted/04-lid.svg ; fichier distinct ne vaut pas texture ni proportions 1:1 ; heures non journalisées</x:v>
      </x:c>
    </x:row>
    <x:row r="468" ht="31" customHeight="1">
      <x:c r="A468" s="22" t="str">
        <x:v>phg-exalted</x:v>
      </x:c>
      <x:c r="B468" s="22" t="str">
        <x:v>phg-exalted-UI-RED</x:v>
      </x:c>
      <x:c r="C468" s="22" t="str">
        <x:v>Contrôle / glyphes</x:v>
      </x:c>
      <x:c r="D468" s="24" t="str">
        <x:v>Texte + segments lumineux</x:v>
      </x:c>
      <x:c r="E468" s="22" t="str">
        <x:v>P2</x:v>
      </x:c>
      <x:c r="F468" s="22" t="str">
        <x:v>Interface distincte en SVG / couleurs non certifiées</x:v>
      </x:c>
      <x:c r="G468" s="22" t="n">
        <x:v>3</x:v>
      </x:c>
      <x:c r="H468" s="22" t="n">
        <x:v>0</x:v>
      </x:c>
      <x:c r="I468" s="22" t="str">
        <x:v>public/gauntlets/v132/phg-exalted/ui-red.png</x:v>
      </x:c>
      <x:c r="J468" s="22" t="str">
        <x:v>https://store.steampowered.com/app/1556200/Predator__Hunting_Grounds/</x:v>
      </x:c>
      <x:c r="K468" s="24" t="str">
        <x:v>Preuve technique : public/game/assets/v136/gauntlets/phg-exalted/03-interface.svg ; fichier distinct ne vaut pas texture ni proportions 1:1 ; heures non journalisées</x:v>
      </x:c>
    </x:row>
    <x:row r="469" ht="31" customHeight="1">
      <x:c r="A469" s="22" t="str">
        <x:v>phg-exalted</x:v>
      </x:c>
      <x:c r="B469" s="22" t="str">
        <x:v>phg-exalted-RIBS</x:v>
      </x:c>
      <x:c r="C469" s="22" t="str">
        <x:v>Ribures et mécanique</x:v>
      </x:c>
      <x:c r="D469" s="24" t="str">
        <x:v>Plaques, vis, tuyaux</x:v>
      </x:c>
      <x:c r="E469" s="22" t="str">
        <x:v>P2</x:v>
      </x:c>
      <x:c r="F469" s="22" t="str">
        <x:v>Détails de coque présents, sous-pièces non séparées</x:v>
      </x:c>
      <x:c r="G469" s="22" t="n">
        <x:v>3.5</x:v>
      </x:c>
      <x:c r="H469" s="22" t="n">
        <x:v>0</x:v>
      </x:c>
      <x:c r="I469" s="22" t="str">
        <x:v>public/gauntlets/v132/phg-exalted/ribs.png</x:v>
      </x:c>
      <x:c r="J469" s="22" t="str">
        <x:v>https://store.steampowered.com/app/1556200/Predator__Hunting_Grounds/</x:v>
      </x:c>
      <x:c r="K469" s="24" t="str">
        <x:v>Preuve technique : public/game/assets/v136/gauntlets/phg-exalted/02-shell.svg ; fichier distinct ne vaut pas texture ni proportions 1:1 ; heures non journalisées</x:v>
      </x:c>
    </x:row>
    <x:row r="470" ht="31" customHeight="1">
      <x:c r="A470" s="22" t="str">
        <x:v>phg-exalted</x:v>
      </x:c>
      <x:c r="B470" s="22" t="str">
        <x:v>phg-exalted-BEAM</x:v>
      </x:c>
      <x:c r="C470" s="22" t="str">
        <x:v>Émetteur holographique</x:v>
      </x:c>
      <x:c r="D470" s="24" t="str">
        <x:v>Projection originale de jeu</x:v>
      </x:c>
      <x:c r="E470" s="22" t="str">
        <x:v>P2</x:v>
      </x:c>
      <x:c r="F470" s="22" t="str">
        <x:v>Faisceau du projet (JH dédié, autres effet commun)</x:v>
      </x:c>
      <x:c r="G470" s="22" t="n">
        <x:v>2.5</x:v>
      </x:c>
      <x:c r="H470" s="22" t="n">
        <x:v>0</x:v>
      </x:c>
      <x:c r="I470" s="22" t="str">
        <x:v>public/gauntlets/v132/phg-exalted/beam.png</x:v>
      </x:c>
      <x:c r="J470" s="22" t="str">
        <x:v>https://store.steampowered.com/app/1556200/Predator__Hunting_Grounds/</x:v>
      </x:c>
      <x:c r="K470" s="24" t="str">
        <x:v>Preuve technique : app/game/ClanWarGauntletV131.tsx ; fichier distinct ne vaut pas texture ni proportions 1:1 ; heures non journalisées</x:v>
      </x:c>
    </x:row>
    <x:row r="471" ht="31" customHeight="1">
      <x:c r="A471" s="22" t="str">
        <x:v>phg-exalted</x:v>
      </x:c>
      <x:c r="B471" s="22" t="str">
        <x:v>phg-exalted-MOVE</x:v>
      </x:c>
      <x:c r="C471" s="22" t="str">
        <x:v>Animations 4 états</x:v>
      </x:c>
      <x:c r="D471" s="24" t="str">
        <x:v>lever, ouvrir, projeter, ranger</x:v>
      </x:c>
      <x:c r="E471" s="22" t="str">
        <x:v>P2</x:v>
      </x:c>
      <x:c r="F471" s="22" t="str">
        <x:v>Capot ouvert/fermé ; 3 gestes complets restent à faire</x:v>
      </x:c>
      <x:c r="G471" s="22" t="n">
        <x:v>5</x:v>
      </x:c>
      <x:c r="H471" s="22" t="n">
        <x:v>0</x:v>
      </x:c>
      <x:c r="I471" s="22" t="str">
        <x:v>public/gauntlets/v132/phg-exalted/move.png</x:v>
      </x:c>
      <x:c r="J471" s="22" t="str">
        <x:v>https://store.steampowered.com/app/1556200/Predator__Hunting_Grounds/</x:v>
      </x:c>
      <x:c r="K471" s="24" t="str">
        <x:v>Preuve technique : public/game/assets/v136/gauntlets/phg-exalted/04-lid.svg ; fichier distinct ne vaut pas texture ni proportions 1:1 ; heures non journalisées</x:v>
      </x:c>
    </x:row>
    <x:row r="472" ht="31" customHeight="1">
      <x:c r="A472" s="22" t="str">
        <x:v>phg-exalted</x:v>
      </x:c>
      <x:c r="B472" s="22" t="str">
        <x:v>phg-exalted-SFX</x:v>
      </x:c>
      <x:c r="C472" s="22" t="str">
        <x:v>Identité sonore</x:v>
      </x:c>
      <x:c r="D472" s="24" t="str">
        <x:v>4 sources originales non soumises aux droits de film</x:v>
      </x:c>
      <x:c r="E472" s="22" t="str">
        <x:v>P2</x:v>
      </x:c>
      <x:c r="F472" s="22" t="str">
        <x:v>Signature sonore par thème (10 profils), source non cinéma</x:v>
      </x:c>
      <x:c r="G472" s="22" t="n">
        <x:v>2</x:v>
      </x:c>
      <x:c r="H472" s="22" t="n">
        <x:v>0</x:v>
      </x:c>
      <x:c r="I472" s="22" t="str">
        <x:v>public/gauntlets/v132/phg-exalted/sfx.png</x:v>
      </x:c>
      <x:c r="J472" s="22" t="str">
        <x:v>https://store.steampowered.com/app/1556200/Predator__Hunting_Grounds/</x:v>
      </x:c>
      <x:c r="K472" s="24" t="str">
        <x:v>Preuve technique : app/game/sound.ts ; fichier distinct ne vaut pas texture ni proportions 1:1 ; heures non journalisées</x:v>
      </x:c>
    </x:row>
    <x:row r="473" ht="31" customHeight="1">
      <x:c r="A473" s="22" t="str">
        <x:v>phg-exalted</x:v>
      </x:c>
      <x:c r="B473" s="22" t="str">
        <x:v>phg-exalted-HUD</x:v>
      </x:c>
      <x:c r="C473" s="22" t="str">
        <x:v>Palette / projection</x:v>
      </x:c>
      <x:c r="D473" s="24" t="str">
        <x:v>UI 2D/3D cohérente avec la carte</x:v>
      </x:c>
      <x:c r="E473" s="22" t="str">
        <x:v>P2</x:v>
      </x:c>
      <x:c r="F473" s="22" t="str">
        <x:v>HUD connecté / simulation intacte ; QA visuelle restante</x:v>
      </x:c>
      <x:c r="G473" s="22" t="n">
        <x:v>3.5</x:v>
      </x:c>
      <x:c r="H473" s="22" t="n">
        <x:v>0</x:v>
      </x:c>
      <x:c r="I473" s="22" t="str">
        <x:v>public/gauntlets/v132/phg-exalted/hud.png</x:v>
      </x:c>
      <x:c r="J473" s="22" t="str">
        <x:v>https://store.steampowered.com/app/1556200/Predator__Hunting_Grounds/</x:v>
      </x:c>
      <x:c r="K473" s="24" t="str">
        <x:v>Preuve technique : app/game/ClanWarGauntletV131.tsx ; fichier distinct ne vaut pas texture ni proportions 1:1 ; heures non journalisées</x:v>
      </x:c>
    </x:row>
    <x:row r="474" ht="31" customHeight="1">
      <x:c r="A474" s="22" t="str">
        <x:v>phg-exalted</x:v>
      </x:c>
      <x:c r="B474" s="22" t="str">
        <x:v>phg-exalted-QA</x:v>
      </x:c>
      <x:c r="C474" s="22" t="str">
        <x:v>Comparaisons + tests</x:v>
      </x:c>
      <x:c r="D474" s="24" t="str">
        <x:v>Pivots, alpha, mobile, focus, 3 vues</x:v>
      </x:c>
      <x:c r="E474" s="22" t="str">
        <x:v>P2</x:v>
      </x:c>
      <x:c r="F474" s="22" t="str">
        <x:v>Tests CI source / alpha / type / navigateur autonome ; 1:1 restant</x:v>
      </x:c>
      <x:c r="G474" s="22" t="n">
        <x:v>4</x:v>
      </x:c>
      <x:c r="H474" s="22" t="n">
        <x:v>0</x:v>
      </x:c>
      <x:c r="I474" s="22" t="str">
        <x:v>public/gauntlets/v132/phg-exalted/qa.png</x:v>
      </x:c>
      <x:c r="J474" s="22" t="str">
        <x:v>https://store.steampowered.com/app/1556200/Predator__Hunting_Grounds/</x:v>
      </x:c>
      <x:c r="K474" s="24" t="str">
        <x:v>Preuve technique : tests/gauntlet-archive-studies-v136.test.mjs ; fichier distinct ne vaut pas texture ni proportions 1:1 ; heures non journalisées</x:v>
      </x:c>
    </x:row>
    <x:row r="475" ht="31" customHeight="1">
      <x:c r="A475" s="22" t="str">
        <x:v>phg-anubis</x:v>
      </x:c>
      <x:c r="B475" s="22" t="str">
        <x:v>phg-anubis-ARM-L</x:v>
      </x:c>
      <x:c r="C475" s="22" t="str">
        <x:v>Bras gauche / poignet</x:v>
      </x:c>
      <x:c r="D475" s="24" t="str">
        <x:v>Pivot &amp; peau / netting</x:v>
      </x:c>
      <x:c r="E475" s="22" t="str">
        <x:v>P2</x:v>
      </x:c>
      <x:c r="F475" s="22" t="str">
        <x:v>Prototype SVG individuel + alpha PNG</x:v>
      </x:c>
      <x:c r="G475" s="22" t="n">
        <x:v>3.5</x:v>
      </x:c>
      <x:c r="H475" s="22" t="n">
        <x:v>0</x:v>
      </x:c>
      <x:c r="I475" s="22" t="str">
        <x:v>public/gauntlets/v132/phg-anubis/arm-l.png</x:v>
      </x:c>
      <x:c r="J475" s="22" t="str">
        <x:v>https://store.steampowered.com/app/1556200/Predator__Hunting_Grounds/</x:v>
      </x:c>
      <x:c r="K475" s="24" t="str">
        <x:v>Preuve technique : public/game/assets/v136/gauntlets/phg-anubis/01-arm.svg ; fichier distinct ne vaut pas texture ni proportions 1:1 ; heures non journalisées</x:v>
      </x:c>
    </x:row>
    <x:row r="476" ht="31" customHeight="1">
      <x:c r="A476" s="22" t="str">
        <x:v>phg-anubis</x:v>
      </x:c>
      <x:c r="B476" s="22" t="str">
        <x:v>phg-anubis-SHELL-C</x:v>
      </x:c>
      <x:c r="C476" s="22" t="str">
        <x:v>Coque fermée</x:v>
      </x:c>
      <x:c r="D476" s="24" t="str">
        <x:v>Profil latéral et attaches</x:v>
      </x:c>
      <x:c r="E476" s="22" t="str">
        <x:v>P2</x:v>
      </x:c>
      <x:c r="F476" s="22" t="str">
        <x:v>Coque individuelle SVG + PNG, non 1:1</x:v>
      </x:c>
      <x:c r="G476" s="22" t="n">
        <x:v>4.5</x:v>
      </x:c>
      <x:c r="H476" s="22" t="n">
        <x:v>0</x:v>
      </x:c>
      <x:c r="I476" s="22" t="str">
        <x:v>public/gauntlets/v132/phg-anubis/shell-c.png</x:v>
      </x:c>
      <x:c r="J476" s="22" t="str">
        <x:v>https://store.steampowered.com/app/1556200/Predator__Hunting_Grounds/</x:v>
      </x:c>
      <x:c r="K476" s="24" t="str">
        <x:v>Preuve technique : public/game/assets/v136/gauntlets/phg-anubis/02-shell.svg ; fichier distinct ne vaut pas texture ni proportions 1:1 ; heures non journalisées</x:v>
      </x:c>
    </x:row>
    <x:row r="477" ht="31" customHeight="1">
      <x:c r="A477" s="22" t="str">
        <x:v>phg-anubis</x:v>
      </x:c>
      <x:c r="B477" s="22" t="str">
        <x:v>phg-anubis-SHELL-O</x:v>
      </x:c>
      <x:c r="C477" s="22" t="str">
        <x:v>Coque ouverte</x:v>
      </x:c>
      <x:c r="D477" s="24" t="str">
        <x:v>Charnières et trappe</x:v>
      </x:c>
      <x:c r="E477" s="22" t="str">
        <x:v>P2</x:v>
      </x:c>
      <x:c r="F477" s="22" t="str">
        <x:v>Capot ouvrable en React/CSS, animation partielle</x:v>
      </x:c>
      <x:c r="G477" s="22" t="n">
        <x:v>4.5</x:v>
      </x:c>
      <x:c r="H477" s="22" t="n">
        <x:v>0</x:v>
      </x:c>
      <x:c r="I477" s="22" t="str">
        <x:v>public/gauntlets/v132/phg-anubis/shell-o.png</x:v>
      </x:c>
      <x:c r="J477" s="22" t="str">
        <x:v>https://store.steampowered.com/app/1556200/Predator__Hunting_Grounds/</x:v>
      </x:c>
      <x:c r="K477" s="24" t="str">
        <x:v>Preuve technique : public/game/assets/v136/gauntlets/phg-anubis/04-lid.svg ; fichier distinct ne vaut pas texture ni proportions 1:1 ; heures non journalisées</x:v>
      </x:c>
    </x:row>
    <x:row r="478" ht="31" customHeight="1">
      <x:c r="A478" s="22" t="str">
        <x:v>phg-anubis</x:v>
      </x:c>
      <x:c r="B478" s="22" t="str">
        <x:v>phg-anubis-UI-RED</x:v>
      </x:c>
      <x:c r="C478" s="22" t="str">
        <x:v>Contrôle / glyphes</x:v>
      </x:c>
      <x:c r="D478" s="24" t="str">
        <x:v>Texte + segments lumineux</x:v>
      </x:c>
      <x:c r="E478" s="22" t="str">
        <x:v>P2</x:v>
      </x:c>
      <x:c r="F478" s="22" t="str">
        <x:v>Interface distincte en SVG / couleurs non certifiées</x:v>
      </x:c>
      <x:c r="G478" s="22" t="n">
        <x:v>3</x:v>
      </x:c>
      <x:c r="H478" s="22" t="n">
        <x:v>0</x:v>
      </x:c>
      <x:c r="I478" s="22" t="str">
        <x:v>public/gauntlets/v132/phg-anubis/ui-red.png</x:v>
      </x:c>
      <x:c r="J478" s="22" t="str">
        <x:v>https://store.steampowered.com/app/1556200/Predator__Hunting_Grounds/</x:v>
      </x:c>
      <x:c r="K478" s="24" t="str">
        <x:v>Preuve technique : public/game/assets/v136/gauntlets/phg-anubis/03-interface.svg ; fichier distinct ne vaut pas texture ni proportions 1:1 ; heures non journalisées</x:v>
      </x:c>
    </x:row>
    <x:row r="479" ht="31" customHeight="1">
      <x:c r="A479" s="22" t="str">
        <x:v>phg-anubis</x:v>
      </x:c>
      <x:c r="B479" s="22" t="str">
        <x:v>phg-anubis-RIBS</x:v>
      </x:c>
      <x:c r="C479" s="22" t="str">
        <x:v>Ribures et mécanique</x:v>
      </x:c>
      <x:c r="D479" s="24" t="str">
        <x:v>Plaques, vis, tuyaux</x:v>
      </x:c>
      <x:c r="E479" s="22" t="str">
        <x:v>P2</x:v>
      </x:c>
      <x:c r="F479" s="22" t="str">
        <x:v>Détails de coque présents, sous-pièces non séparées</x:v>
      </x:c>
      <x:c r="G479" s="22" t="n">
        <x:v>3.5</x:v>
      </x:c>
      <x:c r="H479" s="22" t="n">
        <x:v>0</x:v>
      </x:c>
      <x:c r="I479" s="22" t="str">
        <x:v>public/gauntlets/v132/phg-anubis/ribs.png</x:v>
      </x:c>
      <x:c r="J479" s="22" t="str">
        <x:v>https://store.steampowered.com/app/1556200/Predator__Hunting_Grounds/</x:v>
      </x:c>
      <x:c r="K479" s="24" t="str">
        <x:v>Preuve technique : public/game/assets/v136/gauntlets/phg-anubis/02-shell.svg ; fichier distinct ne vaut pas texture ni proportions 1:1 ; heures non journalisées</x:v>
      </x:c>
    </x:row>
    <x:row r="480" ht="31" customHeight="1">
      <x:c r="A480" s="22" t="str">
        <x:v>phg-anubis</x:v>
      </x:c>
      <x:c r="B480" s="22" t="str">
        <x:v>phg-anubis-BEAM</x:v>
      </x:c>
      <x:c r="C480" s="22" t="str">
        <x:v>Émetteur holographique</x:v>
      </x:c>
      <x:c r="D480" s="24" t="str">
        <x:v>Projection originale de jeu</x:v>
      </x:c>
      <x:c r="E480" s="22" t="str">
        <x:v>P2</x:v>
      </x:c>
      <x:c r="F480" s="22" t="str">
        <x:v>Faisceau du projet (JH dédié, autres effet commun)</x:v>
      </x:c>
      <x:c r="G480" s="22" t="n">
        <x:v>2.5</x:v>
      </x:c>
      <x:c r="H480" s="22" t="n">
        <x:v>0</x:v>
      </x:c>
      <x:c r="I480" s="22" t="str">
        <x:v>public/gauntlets/v132/phg-anubis/beam.png</x:v>
      </x:c>
      <x:c r="J480" s="22" t="str">
        <x:v>https://store.steampowered.com/app/1556200/Predator__Hunting_Grounds/</x:v>
      </x:c>
      <x:c r="K480" s="24" t="str">
        <x:v>Preuve technique : app/game/ClanWarGauntletV131.tsx ; fichier distinct ne vaut pas texture ni proportions 1:1 ; heures non journalisées</x:v>
      </x:c>
    </x:row>
    <x:row r="481" ht="31" customHeight="1">
      <x:c r="A481" s="22" t="str">
        <x:v>phg-anubis</x:v>
      </x:c>
      <x:c r="B481" s="22" t="str">
        <x:v>phg-anubis-MOVE</x:v>
      </x:c>
      <x:c r="C481" s="22" t="str">
        <x:v>Animations 4 états</x:v>
      </x:c>
      <x:c r="D481" s="24" t="str">
        <x:v>lever, ouvrir, projeter, ranger</x:v>
      </x:c>
      <x:c r="E481" s="22" t="str">
        <x:v>P2</x:v>
      </x:c>
      <x:c r="F481" s="22" t="str">
        <x:v>Capot ouvert/fermé ; 3 gestes complets restent à faire</x:v>
      </x:c>
      <x:c r="G481" s="22" t="n">
        <x:v>5</x:v>
      </x:c>
      <x:c r="H481" s="22" t="n">
        <x:v>0</x:v>
      </x:c>
      <x:c r="I481" s="22" t="str">
        <x:v>public/gauntlets/v132/phg-anubis/move.png</x:v>
      </x:c>
      <x:c r="J481" s="22" t="str">
        <x:v>https://store.steampowered.com/app/1556200/Predator__Hunting_Grounds/</x:v>
      </x:c>
      <x:c r="K481" s="24" t="str">
        <x:v>Preuve technique : public/game/assets/v136/gauntlets/phg-anubis/04-lid.svg ; fichier distinct ne vaut pas texture ni proportions 1:1 ; heures non journalisées</x:v>
      </x:c>
    </x:row>
    <x:row r="482" ht="31" customHeight="1">
      <x:c r="A482" s="22" t="str">
        <x:v>phg-anubis</x:v>
      </x:c>
      <x:c r="B482" s="22" t="str">
        <x:v>phg-anubis-SFX</x:v>
      </x:c>
      <x:c r="C482" s="22" t="str">
        <x:v>Identité sonore</x:v>
      </x:c>
      <x:c r="D482" s="24" t="str">
        <x:v>4 sources originales non soumises aux droits de film</x:v>
      </x:c>
      <x:c r="E482" s="22" t="str">
        <x:v>P2</x:v>
      </x:c>
      <x:c r="F482" s="22" t="str">
        <x:v>Signature sonore par thème (10 profils), source non cinéma</x:v>
      </x:c>
      <x:c r="G482" s="22" t="n">
        <x:v>2</x:v>
      </x:c>
      <x:c r="H482" s="22" t="n">
        <x:v>0</x:v>
      </x:c>
      <x:c r="I482" s="22" t="str">
        <x:v>public/gauntlets/v132/phg-anubis/sfx.png</x:v>
      </x:c>
      <x:c r="J482" s="22" t="str">
        <x:v>https://store.steampowered.com/app/1556200/Predator__Hunting_Grounds/</x:v>
      </x:c>
      <x:c r="K482" s="24" t="str">
        <x:v>Preuve technique : app/game/sound.ts ; fichier distinct ne vaut pas texture ni proportions 1:1 ; heures non journalisées</x:v>
      </x:c>
    </x:row>
    <x:row r="483" ht="31" customHeight="1">
      <x:c r="A483" s="22" t="str">
        <x:v>phg-anubis</x:v>
      </x:c>
      <x:c r="B483" s="22" t="str">
        <x:v>phg-anubis-HUD</x:v>
      </x:c>
      <x:c r="C483" s="22" t="str">
        <x:v>Palette / projection</x:v>
      </x:c>
      <x:c r="D483" s="24" t="str">
        <x:v>UI 2D/3D cohérente avec la carte</x:v>
      </x:c>
      <x:c r="E483" s="22" t="str">
        <x:v>P2</x:v>
      </x:c>
      <x:c r="F483" s="22" t="str">
        <x:v>HUD connecté / simulation intacte ; QA visuelle restante</x:v>
      </x:c>
      <x:c r="G483" s="22" t="n">
        <x:v>3.5</x:v>
      </x:c>
      <x:c r="H483" s="22" t="n">
        <x:v>0</x:v>
      </x:c>
      <x:c r="I483" s="22" t="str">
        <x:v>public/gauntlets/v132/phg-anubis/hud.png</x:v>
      </x:c>
      <x:c r="J483" s="22" t="str">
        <x:v>https://store.steampowered.com/app/1556200/Predator__Hunting_Grounds/</x:v>
      </x:c>
      <x:c r="K483" s="24" t="str">
        <x:v>Preuve technique : app/game/ClanWarGauntletV131.tsx ; fichier distinct ne vaut pas texture ni proportions 1:1 ; heures non journalisées</x:v>
      </x:c>
    </x:row>
    <x:row r="484" ht="31" customHeight="1">
      <x:c r="A484" s="22" t="str">
        <x:v>phg-anubis</x:v>
      </x:c>
      <x:c r="B484" s="22" t="str">
        <x:v>phg-anubis-QA</x:v>
      </x:c>
      <x:c r="C484" s="22" t="str">
        <x:v>Comparaisons + tests</x:v>
      </x:c>
      <x:c r="D484" s="24" t="str">
        <x:v>Pivots, alpha, mobile, focus, 3 vues</x:v>
      </x:c>
      <x:c r="E484" s="22" t="str">
        <x:v>P2</x:v>
      </x:c>
      <x:c r="F484" s="22" t="str">
        <x:v>Tests CI source / alpha / type / navigateur autonome ; 1:1 restant</x:v>
      </x:c>
      <x:c r="G484" s="22" t="n">
        <x:v>4</x:v>
      </x:c>
      <x:c r="H484" s="22" t="n">
        <x:v>0</x:v>
      </x:c>
      <x:c r="I484" s="22" t="str">
        <x:v>public/gauntlets/v132/phg-anubis/qa.png</x:v>
      </x:c>
      <x:c r="J484" s="22" t="str">
        <x:v>https://store.steampowered.com/app/1556200/Predator__Hunting_Grounds/</x:v>
      </x:c>
      <x:c r="K484" s="24" t="str">
        <x:v>Preuve technique : tests/gauntlet-archive-studies-v136.test.mjs ; fichier distinct ne vaut pas texture ni proportions 1:1 ; heures non journalisées</x:v>
      </x:c>
    </x:row>
    <x:row r="485" ht="31" customHeight="1">
      <x:c r="A485" s="22" t="str">
        <x:v>phg-gladiator</x:v>
      </x:c>
      <x:c r="B485" s="22" t="str">
        <x:v>phg-gladiator-ARM-L</x:v>
      </x:c>
      <x:c r="C485" s="22" t="str">
        <x:v>Bras gauche / poignet</x:v>
      </x:c>
      <x:c r="D485" s="24" t="str">
        <x:v>Pivot &amp; peau / netting</x:v>
      </x:c>
      <x:c r="E485" s="22" t="str">
        <x:v>P2</x:v>
      </x:c>
      <x:c r="F485" s="22" t="str">
        <x:v>Prototype SVG individuel + alpha PNG</x:v>
      </x:c>
      <x:c r="G485" s="22" t="n">
        <x:v>3.5</x:v>
      </x:c>
      <x:c r="H485" s="22" t="n">
        <x:v>0</x:v>
      </x:c>
      <x:c r="I485" s="22" t="str">
        <x:v>public/gauntlets/v132/phg-gladiator/arm-l.png</x:v>
      </x:c>
      <x:c r="J485" s="22" t="str">
        <x:v>https://store.steampowered.com/app/1556200/Predator__Hunting_Grounds/</x:v>
      </x:c>
      <x:c r="K485" s="24" t="str">
        <x:v>Preuve technique : public/game/assets/v136/gauntlets/phg-gladiator/01-arm.svg ; fichier distinct ne vaut pas texture ni proportions 1:1 ; heures non journalisées</x:v>
      </x:c>
    </x:row>
    <x:row r="486" ht="31" customHeight="1">
      <x:c r="A486" s="22" t="str">
        <x:v>phg-gladiator</x:v>
      </x:c>
      <x:c r="B486" s="22" t="str">
        <x:v>phg-gladiator-SHELL-C</x:v>
      </x:c>
      <x:c r="C486" s="22" t="str">
        <x:v>Coque fermée</x:v>
      </x:c>
      <x:c r="D486" s="24" t="str">
        <x:v>Profil latéral et attaches</x:v>
      </x:c>
      <x:c r="E486" s="22" t="str">
        <x:v>P2</x:v>
      </x:c>
      <x:c r="F486" s="22" t="str">
        <x:v>Coque individuelle SVG + PNG, non 1:1</x:v>
      </x:c>
      <x:c r="G486" s="22" t="n">
        <x:v>4.5</x:v>
      </x:c>
      <x:c r="H486" s="22" t="n">
        <x:v>0</x:v>
      </x:c>
      <x:c r="I486" s="22" t="str">
        <x:v>public/gauntlets/v132/phg-gladiator/shell-c.png</x:v>
      </x:c>
      <x:c r="J486" s="22" t="str">
        <x:v>https://store.steampowered.com/app/1556200/Predator__Hunting_Grounds/</x:v>
      </x:c>
      <x:c r="K486" s="24" t="str">
        <x:v>Preuve technique : public/game/assets/v136/gauntlets/phg-gladiator/02-shell.svg ; fichier distinct ne vaut pas texture ni proportions 1:1 ; heures non journalisées</x:v>
      </x:c>
    </x:row>
    <x:row r="487" ht="31" customHeight="1">
      <x:c r="A487" s="22" t="str">
        <x:v>phg-gladiator</x:v>
      </x:c>
      <x:c r="B487" s="22" t="str">
        <x:v>phg-gladiator-SHELL-O</x:v>
      </x:c>
      <x:c r="C487" s="22" t="str">
        <x:v>Coque ouverte</x:v>
      </x:c>
      <x:c r="D487" s="24" t="str">
        <x:v>Charnières et trappe</x:v>
      </x:c>
      <x:c r="E487" s="22" t="str">
        <x:v>P2</x:v>
      </x:c>
      <x:c r="F487" s="22" t="str">
        <x:v>Capot ouvrable en React/CSS, animation partielle</x:v>
      </x:c>
      <x:c r="G487" s="22" t="n">
        <x:v>4.5</x:v>
      </x:c>
      <x:c r="H487" s="22" t="n">
        <x:v>0</x:v>
      </x:c>
      <x:c r="I487" s="22" t="str">
        <x:v>public/gauntlets/v132/phg-gladiator/shell-o.png</x:v>
      </x:c>
      <x:c r="J487" s="22" t="str">
        <x:v>https://store.steampowered.com/app/1556200/Predator__Hunting_Grounds/</x:v>
      </x:c>
      <x:c r="K487" s="24" t="str">
        <x:v>Preuve technique : public/game/assets/v136/gauntlets/phg-gladiator/04-lid.svg ; fichier distinct ne vaut pas texture ni proportions 1:1 ; heures non journalisées</x:v>
      </x:c>
    </x:row>
    <x:row r="488" ht="31" customHeight="1">
      <x:c r="A488" s="22" t="str">
        <x:v>phg-gladiator</x:v>
      </x:c>
      <x:c r="B488" s="22" t="str">
        <x:v>phg-gladiator-UI-RED</x:v>
      </x:c>
      <x:c r="C488" s="22" t="str">
        <x:v>Contrôle / glyphes</x:v>
      </x:c>
      <x:c r="D488" s="24" t="str">
        <x:v>Texte + segments lumineux</x:v>
      </x:c>
      <x:c r="E488" s="22" t="str">
        <x:v>P2</x:v>
      </x:c>
      <x:c r="F488" s="22" t="str">
        <x:v>Interface distincte en SVG / couleurs non certifiées</x:v>
      </x:c>
      <x:c r="G488" s="22" t="n">
        <x:v>3</x:v>
      </x:c>
      <x:c r="H488" s="22" t="n">
        <x:v>0</x:v>
      </x:c>
      <x:c r="I488" s="22" t="str">
        <x:v>public/gauntlets/v132/phg-gladiator/ui-red.png</x:v>
      </x:c>
      <x:c r="J488" s="22" t="str">
        <x:v>https://store.steampowered.com/app/1556200/Predator__Hunting_Grounds/</x:v>
      </x:c>
      <x:c r="K488" s="24" t="str">
        <x:v>Preuve technique : public/game/assets/v136/gauntlets/phg-gladiator/03-interface.svg ; fichier distinct ne vaut pas texture ni proportions 1:1 ; heures non journalisées</x:v>
      </x:c>
    </x:row>
    <x:row r="489" ht="31" customHeight="1">
      <x:c r="A489" s="22" t="str">
        <x:v>phg-gladiator</x:v>
      </x:c>
      <x:c r="B489" s="22" t="str">
        <x:v>phg-gladiator-RIBS</x:v>
      </x:c>
      <x:c r="C489" s="22" t="str">
        <x:v>Ribures et mécanique</x:v>
      </x:c>
      <x:c r="D489" s="24" t="str">
        <x:v>Plaques, vis, tuyaux</x:v>
      </x:c>
      <x:c r="E489" s="22" t="str">
        <x:v>P2</x:v>
      </x:c>
      <x:c r="F489" s="22" t="str">
        <x:v>Détails de coque présents, sous-pièces non séparées</x:v>
      </x:c>
      <x:c r="G489" s="22" t="n">
        <x:v>3.5</x:v>
      </x:c>
      <x:c r="H489" s="22" t="n">
        <x:v>0</x:v>
      </x:c>
      <x:c r="I489" s="22" t="str">
        <x:v>public/gauntlets/v132/phg-gladiator/ribs.png</x:v>
      </x:c>
      <x:c r="J489" s="22" t="str">
        <x:v>https://store.steampowered.com/app/1556200/Predator__Hunting_Grounds/</x:v>
      </x:c>
      <x:c r="K489" s="24" t="str">
        <x:v>Preuve technique : public/game/assets/v136/gauntlets/phg-gladiator/02-shell.svg ; fichier distinct ne vaut pas texture ni proportions 1:1 ; heures non journalisées</x:v>
      </x:c>
    </x:row>
    <x:row r="490" ht="31" customHeight="1">
      <x:c r="A490" s="22" t="str">
        <x:v>phg-gladiator</x:v>
      </x:c>
      <x:c r="B490" s="22" t="str">
        <x:v>phg-gladiator-BEAM</x:v>
      </x:c>
      <x:c r="C490" s="22" t="str">
        <x:v>Émetteur holographique</x:v>
      </x:c>
      <x:c r="D490" s="24" t="str">
        <x:v>Projection originale de jeu</x:v>
      </x:c>
      <x:c r="E490" s="22" t="str">
        <x:v>P2</x:v>
      </x:c>
      <x:c r="F490" s="22" t="str">
        <x:v>Faisceau du projet (JH dédié, autres effet commun)</x:v>
      </x:c>
      <x:c r="G490" s="22" t="n">
        <x:v>2.5</x:v>
      </x:c>
      <x:c r="H490" s="22" t="n">
        <x:v>0</x:v>
      </x:c>
      <x:c r="I490" s="22" t="str">
        <x:v>public/gauntlets/v132/phg-gladiator/beam.png</x:v>
      </x:c>
      <x:c r="J490" s="22" t="str">
        <x:v>https://store.steampowered.com/app/1556200/Predator__Hunting_Grounds/</x:v>
      </x:c>
      <x:c r="K490" s="24" t="str">
        <x:v>Preuve technique : app/game/ClanWarGauntletV131.tsx ; fichier distinct ne vaut pas texture ni proportions 1:1 ; heures non journalisées</x:v>
      </x:c>
    </x:row>
    <x:row r="491" ht="31" customHeight="1">
      <x:c r="A491" s="22" t="str">
        <x:v>phg-gladiator</x:v>
      </x:c>
      <x:c r="B491" s="22" t="str">
        <x:v>phg-gladiator-MOVE</x:v>
      </x:c>
      <x:c r="C491" s="22" t="str">
        <x:v>Animations 4 états</x:v>
      </x:c>
      <x:c r="D491" s="24" t="str">
        <x:v>lever, ouvrir, projeter, ranger</x:v>
      </x:c>
      <x:c r="E491" s="22" t="str">
        <x:v>P2</x:v>
      </x:c>
      <x:c r="F491" s="22" t="str">
        <x:v>Capot ouvert/fermé ; 3 gestes complets restent à faire</x:v>
      </x:c>
      <x:c r="G491" s="22" t="n">
        <x:v>5</x:v>
      </x:c>
      <x:c r="H491" s="22" t="n">
        <x:v>0</x:v>
      </x:c>
      <x:c r="I491" s="22" t="str">
        <x:v>public/gauntlets/v132/phg-gladiator/move.png</x:v>
      </x:c>
      <x:c r="J491" s="22" t="str">
        <x:v>https://store.steampowered.com/app/1556200/Predator__Hunting_Grounds/</x:v>
      </x:c>
      <x:c r="K491" s="24" t="str">
        <x:v>Preuve technique : public/game/assets/v136/gauntlets/phg-gladiator/04-lid.svg ; fichier distinct ne vaut pas texture ni proportions 1:1 ; heures non journalisées</x:v>
      </x:c>
    </x:row>
    <x:row r="492" ht="31" customHeight="1">
      <x:c r="A492" s="22" t="str">
        <x:v>phg-gladiator</x:v>
      </x:c>
      <x:c r="B492" s="22" t="str">
        <x:v>phg-gladiator-SFX</x:v>
      </x:c>
      <x:c r="C492" s="22" t="str">
        <x:v>Identité sonore</x:v>
      </x:c>
      <x:c r="D492" s="24" t="str">
        <x:v>4 sources originales non soumises aux droits de film</x:v>
      </x:c>
      <x:c r="E492" s="22" t="str">
        <x:v>P2</x:v>
      </x:c>
      <x:c r="F492" s="22" t="str">
        <x:v>Signature sonore par thème (10 profils), source non cinéma</x:v>
      </x:c>
      <x:c r="G492" s="22" t="n">
        <x:v>2</x:v>
      </x:c>
      <x:c r="H492" s="22" t="n">
        <x:v>0</x:v>
      </x:c>
      <x:c r="I492" s="22" t="str">
        <x:v>public/gauntlets/v132/phg-gladiator/sfx.png</x:v>
      </x:c>
      <x:c r="J492" s="22" t="str">
        <x:v>https://store.steampowered.com/app/1556200/Predator__Hunting_Grounds/</x:v>
      </x:c>
      <x:c r="K492" s="24" t="str">
        <x:v>Preuve technique : app/game/sound.ts ; fichier distinct ne vaut pas texture ni proportions 1:1 ; heures non journalisées</x:v>
      </x:c>
    </x:row>
    <x:row r="493" ht="31" customHeight="1">
      <x:c r="A493" s="22" t="str">
        <x:v>phg-gladiator</x:v>
      </x:c>
      <x:c r="B493" s="22" t="str">
        <x:v>phg-gladiator-HUD</x:v>
      </x:c>
      <x:c r="C493" s="22" t="str">
        <x:v>Palette / projection</x:v>
      </x:c>
      <x:c r="D493" s="24" t="str">
        <x:v>UI 2D/3D cohérente avec la carte</x:v>
      </x:c>
      <x:c r="E493" s="22" t="str">
        <x:v>P2</x:v>
      </x:c>
      <x:c r="F493" s="22" t="str">
        <x:v>HUD connecté / simulation intacte ; QA visuelle restante</x:v>
      </x:c>
      <x:c r="G493" s="22" t="n">
        <x:v>3.5</x:v>
      </x:c>
      <x:c r="H493" s="22" t="n">
        <x:v>0</x:v>
      </x:c>
      <x:c r="I493" s="22" t="str">
        <x:v>public/gauntlets/v132/phg-gladiator/hud.png</x:v>
      </x:c>
      <x:c r="J493" s="22" t="str">
        <x:v>https://store.steampowered.com/app/1556200/Predator__Hunting_Grounds/</x:v>
      </x:c>
      <x:c r="K493" s="24" t="str">
        <x:v>Preuve technique : app/game/ClanWarGauntletV131.tsx ; fichier distinct ne vaut pas texture ni proportions 1:1 ; heures non journalisées</x:v>
      </x:c>
    </x:row>
    <x:row r="494" ht="31" customHeight="1">
      <x:c r="A494" s="22" t="str">
        <x:v>phg-gladiator</x:v>
      </x:c>
      <x:c r="B494" s="22" t="str">
        <x:v>phg-gladiator-QA</x:v>
      </x:c>
      <x:c r="C494" s="22" t="str">
        <x:v>Comparaisons + tests</x:v>
      </x:c>
      <x:c r="D494" s="24" t="str">
        <x:v>Pivots, alpha, mobile, focus, 3 vues</x:v>
      </x:c>
      <x:c r="E494" s="22" t="str">
        <x:v>P2</x:v>
      </x:c>
      <x:c r="F494" s="22" t="str">
        <x:v>Tests CI source / alpha / type / navigateur autonome ; 1:1 restant</x:v>
      </x:c>
      <x:c r="G494" s="22" t="n">
        <x:v>4</x:v>
      </x:c>
      <x:c r="H494" s="22" t="n">
        <x:v>0</x:v>
      </x:c>
      <x:c r="I494" s="22" t="str">
        <x:v>public/gauntlets/v132/phg-gladiator/qa.png</x:v>
      </x:c>
      <x:c r="J494" s="22" t="str">
        <x:v>https://store.steampowered.com/app/1556200/Predator__Hunting_Grounds/</x:v>
      </x:c>
      <x:c r="K494" s="24" t="str">
        <x:v>Preuve technique : tests/gauntlet-archive-studies-v136.test.mjs ; fichier distinct ne vaut pas texture ni proportions 1:1 ; heures non journalisées</x:v>
      </x:c>
    </x:row>
    <x:row r="495" ht="31" customHeight="1">
      <x:c r="A495" s="22" t="str">
        <x:v>scarface</x:v>
      </x:c>
      <x:c r="B495" s="22" t="str">
        <x:v>scarface-ARM-L</x:v>
      </x:c>
      <x:c r="C495" s="22" t="str">
        <x:v>Bras gauche / poignet</x:v>
      </x:c>
      <x:c r="D495" s="24" t="str">
        <x:v>Pivot &amp; peau / netting</x:v>
      </x:c>
      <x:c r="E495" s="22" t="str">
        <x:v>P2</x:v>
      </x:c>
      <x:c r="F495" s="22" t="str">
        <x:v>Prototype SVG individuel + alpha PNG</x:v>
      </x:c>
      <x:c r="G495" s="22" t="n">
        <x:v>3.5</x:v>
      </x:c>
      <x:c r="H495" s="22" t="n">
        <x:v>0</x:v>
      </x:c>
      <x:c r="I495" s="22" t="str">
        <x:v>public/gauntlets/v132/scarface/arm-l.png</x:v>
      </x:c>
      <x:c r="J495" s="22" t="str">
        <x:v>https://www.avpgalaxy.net/merch/neca/predator/series/</x:v>
      </x:c>
      <x:c r="K495" s="24" t="str">
        <x:v>Preuve technique : public/game/assets/v136/gauntlets/scarface/01-arm.svg ; fichier distinct ne vaut pas texture ni proportions 1:1 ; heures non journalisées</x:v>
      </x:c>
    </x:row>
    <x:row r="496" ht="31" customHeight="1">
      <x:c r="A496" s="22" t="str">
        <x:v>scarface</x:v>
      </x:c>
      <x:c r="B496" s="22" t="str">
        <x:v>scarface-SHELL-C</x:v>
      </x:c>
      <x:c r="C496" s="22" t="str">
        <x:v>Coque fermée</x:v>
      </x:c>
      <x:c r="D496" s="24" t="str">
        <x:v>Profil latéral et attaches</x:v>
      </x:c>
      <x:c r="E496" s="22" t="str">
        <x:v>P2</x:v>
      </x:c>
      <x:c r="F496" s="22" t="str">
        <x:v>Coque individuelle SVG + PNG, non 1:1</x:v>
      </x:c>
      <x:c r="G496" s="22" t="n">
        <x:v>4.5</x:v>
      </x:c>
      <x:c r="H496" s="22" t="n">
        <x:v>0</x:v>
      </x:c>
      <x:c r="I496" s="22" t="str">
        <x:v>public/gauntlets/v132/scarface/shell-c.png</x:v>
      </x:c>
      <x:c r="J496" s="22" t="str">
        <x:v>https://www.avpgalaxy.net/merch/neca/predator/series/</x:v>
      </x:c>
      <x:c r="K496" s="24" t="str">
        <x:v>Preuve technique : public/game/assets/v136/gauntlets/scarface/02-shell.svg ; fichier distinct ne vaut pas texture ni proportions 1:1 ; heures non journalisées</x:v>
      </x:c>
    </x:row>
    <x:row r="497" ht="31" customHeight="1">
      <x:c r="A497" s="22" t="str">
        <x:v>scarface</x:v>
      </x:c>
      <x:c r="B497" s="22" t="str">
        <x:v>scarface-SHELL-O</x:v>
      </x:c>
      <x:c r="C497" s="22" t="str">
        <x:v>Coque ouverte</x:v>
      </x:c>
      <x:c r="D497" s="24" t="str">
        <x:v>Charnières et trappe</x:v>
      </x:c>
      <x:c r="E497" s="22" t="str">
        <x:v>P2</x:v>
      </x:c>
      <x:c r="F497" s="22" t="str">
        <x:v>Capot ouvrable en React/CSS, animation partielle</x:v>
      </x:c>
      <x:c r="G497" s="22" t="n">
        <x:v>4.5</x:v>
      </x:c>
      <x:c r="H497" s="22" t="n">
        <x:v>0</x:v>
      </x:c>
      <x:c r="I497" s="22" t="str">
        <x:v>public/gauntlets/v132/scarface/shell-o.png</x:v>
      </x:c>
      <x:c r="J497" s="22" t="str">
        <x:v>https://www.avpgalaxy.net/merch/neca/predator/series/</x:v>
      </x:c>
      <x:c r="K497" s="24" t="str">
        <x:v>Preuve technique : public/game/assets/v136/gauntlets/scarface/04-lid.svg ; fichier distinct ne vaut pas texture ni proportions 1:1 ; heures non journalisées</x:v>
      </x:c>
    </x:row>
    <x:row r="498" ht="31" customHeight="1">
      <x:c r="A498" s="22" t="str">
        <x:v>scarface</x:v>
      </x:c>
      <x:c r="B498" s="22" t="str">
        <x:v>scarface-UI-RED</x:v>
      </x:c>
      <x:c r="C498" s="22" t="str">
        <x:v>Contrôle / glyphes</x:v>
      </x:c>
      <x:c r="D498" s="24" t="str">
        <x:v>Texte + segments lumineux</x:v>
      </x:c>
      <x:c r="E498" s="22" t="str">
        <x:v>P2</x:v>
      </x:c>
      <x:c r="F498" s="22" t="str">
        <x:v>Interface distincte en SVG / couleurs non certifiées</x:v>
      </x:c>
      <x:c r="G498" s="22" t="n">
        <x:v>3</x:v>
      </x:c>
      <x:c r="H498" s="22" t="n">
        <x:v>0</x:v>
      </x:c>
      <x:c r="I498" s="22" t="str">
        <x:v>public/gauntlets/v132/scarface/ui-red.png</x:v>
      </x:c>
      <x:c r="J498" s="22" t="str">
        <x:v>https://www.avpgalaxy.net/merch/neca/predator/series/</x:v>
      </x:c>
      <x:c r="K498" s="24" t="str">
        <x:v>Preuve technique : public/game/assets/v136/gauntlets/scarface/03-interface.svg ; fichier distinct ne vaut pas texture ni proportions 1:1 ; heures non journalisées</x:v>
      </x:c>
    </x:row>
    <x:row r="499" ht="31" customHeight="1">
      <x:c r="A499" s="22" t="str">
        <x:v>scarface</x:v>
      </x:c>
      <x:c r="B499" s="22" t="str">
        <x:v>scarface-RIBS</x:v>
      </x:c>
      <x:c r="C499" s="22" t="str">
        <x:v>Ribures et mécanique</x:v>
      </x:c>
      <x:c r="D499" s="24" t="str">
        <x:v>Plaques, vis, tuyaux</x:v>
      </x:c>
      <x:c r="E499" s="22" t="str">
        <x:v>P2</x:v>
      </x:c>
      <x:c r="F499" s="22" t="str">
        <x:v>Détails de coque présents, sous-pièces non séparées</x:v>
      </x:c>
      <x:c r="G499" s="22" t="n">
        <x:v>3.5</x:v>
      </x:c>
      <x:c r="H499" s="22" t="n">
        <x:v>0</x:v>
      </x:c>
      <x:c r="I499" s="22" t="str">
        <x:v>public/gauntlets/v132/scarface/ribs.png</x:v>
      </x:c>
      <x:c r="J499" s="22" t="str">
        <x:v>https://www.avpgalaxy.net/merch/neca/predator/series/</x:v>
      </x:c>
      <x:c r="K499" s="24" t="str">
        <x:v>Preuve technique : public/game/assets/v136/gauntlets/scarface/02-shell.svg ; fichier distinct ne vaut pas texture ni proportions 1:1 ; heures non journalisées</x:v>
      </x:c>
    </x:row>
    <x:row r="500" ht="31" customHeight="1">
      <x:c r="A500" s="22" t="str">
        <x:v>scarface</x:v>
      </x:c>
      <x:c r="B500" s="22" t="str">
        <x:v>scarface-BEAM</x:v>
      </x:c>
      <x:c r="C500" s="22" t="str">
        <x:v>Émetteur holographique</x:v>
      </x:c>
      <x:c r="D500" s="24" t="str">
        <x:v>Projection originale de jeu</x:v>
      </x:c>
      <x:c r="E500" s="22" t="str">
        <x:v>P2</x:v>
      </x:c>
      <x:c r="F500" s="22" t="str">
        <x:v>Faisceau du projet (JH dédié, autres effet commun)</x:v>
      </x:c>
      <x:c r="G500" s="22" t="n">
        <x:v>2.5</x:v>
      </x:c>
      <x:c r="H500" s="22" t="n">
        <x:v>0</x:v>
      </x:c>
      <x:c r="I500" s="22" t="str">
        <x:v>public/gauntlets/v132/scarface/beam.png</x:v>
      </x:c>
      <x:c r="J500" s="22" t="str">
        <x:v>https://www.avpgalaxy.net/merch/neca/predator/series/</x:v>
      </x:c>
      <x:c r="K500" s="24" t="str">
        <x:v>Preuve technique : app/game/ClanWarGauntletV131.tsx ; fichier distinct ne vaut pas texture ni proportions 1:1 ; heures non journalisées</x:v>
      </x:c>
    </x:row>
    <x:row r="501" ht="31" customHeight="1">
      <x:c r="A501" s="22" t="str">
        <x:v>scarface</x:v>
      </x:c>
      <x:c r="B501" s="22" t="str">
        <x:v>scarface-MOVE</x:v>
      </x:c>
      <x:c r="C501" s="22" t="str">
        <x:v>Animations 4 états</x:v>
      </x:c>
      <x:c r="D501" s="24" t="str">
        <x:v>lever, ouvrir, projeter, ranger</x:v>
      </x:c>
      <x:c r="E501" s="22" t="str">
        <x:v>P2</x:v>
      </x:c>
      <x:c r="F501" s="22" t="str">
        <x:v>Capot ouvert/fermé ; 3 gestes complets restent à faire</x:v>
      </x:c>
      <x:c r="G501" s="22" t="n">
        <x:v>5</x:v>
      </x:c>
      <x:c r="H501" s="22" t="n">
        <x:v>0</x:v>
      </x:c>
      <x:c r="I501" s="22" t="str">
        <x:v>public/gauntlets/v132/scarface/move.png</x:v>
      </x:c>
      <x:c r="J501" s="22" t="str">
        <x:v>https://www.avpgalaxy.net/merch/neca/predator/series/</x:v>
      </x:c>
      <x:c r="K501" s="24" t="str">
        <x:v>Preuve technique : public/game/assets/v136/gauntlets/scarface/04-lid.svg ; fichier distinct ne vaut pas texture ni proportions 1:1 ; heures non journalisées</x:v>
      </x:c>
    </x:row>
    <x:row r="502" ht="31" customHeight="1">
      <x:c r="A502" s="22" t="str">
        <x:v>scarface</x:v>
      </x:c>
      <x:c r="B502" s="22" t="str">
        <x:v>scarface-SFX</x:v>
      </x:c>
      <x:c r="C502" s="22" t="str">
        <x:v>Identité sonore</x:v>
      </x:c>
      <x:c r="D502" s="24" t="str">
        <x:v>4 sources originales non soumises aux droits de film</x:v>
      </x:c>
      <x:c r="E502" s="22" t="str">
        <x:v>P2</x:v>
      </x:c>
      <x:c r="F502" s="22" t="str">
        <x:v>Signature sonore par thème (10 profils), source non cinéma</x:v>
      </x:c>
      <x:c r="G502" s="22" t="n">
        <x:v>2</x:v>
      </x:c>
      <x:c r="H502" s="22" t="n">
        <x:v>0</x:v>
      </x:c>
      <x:c r="I502" s="22" t="str">
        <x:v>public/gauntlets/v132/scarface/sfx.png</x:v>
      </x:c>
      <x:c r="J502" s="22" t="str">
        <x:v>https://www.avpgalaxy.net/merch/neca/predator/series/</x:v>
      </x:c>
      <x:c r="K502" s="24" t="str">
        <x:v>Preuve technique : app/game/sound.ts ; fichier distinct ne vaut pas texture ni proportions 1:1 ; heures non journalisées</x:v>
      </x:c>
    </x:row>
    <x:row r="503" ht="31" customHeight="1">
      <x:c r="A503" s="22" t="str">
        <x:v>scarface</x:v>
      </x:c>
      <x:c r="B503" s="22" t="str">
        <x:v>scarface-HUD</x:v>
      </x:c>
      <x:c r="C503" s="22" t="str">
        <x:v>Palette / projection</x:v>
      </x:c>
      <x:c r="D503" s="24" t="str">
        <x:v>UI 2D/3D cohérente avec la carte</x:v>
      </x:c>
      <x:c r="E503" s="22" t="str">
        <x:v>P2</x:v>
      </x:c>
      <x:c r="F503" s="22" t="str">
        <x:v>HUD connecté / simulation intacte ; QA visuelle restante</x:v>
      </x:c>
      <x:c r="G503" s="22" t="n">
        <x:v>3.5</x:v>
      </x:c>
      <x:c r="H503" s="22" t="n">
        <x:v>0</x:v>
      </x:c>
      <x:c r="I503" s="22" t="str">
        <x:v>public/gauntlets/v132/scarface/hud.png</x:v>
      </x:c>
      <x:c r="J503" s="22" t="str">
        <x:v>https://www.avpgalaxy.net/merch/neca/predator/series/</x:v>
      </x:c>
      <x:c r="K503" s="24" t="str">
        <x:v>Preuve technique : app/game/ClanWarGauntletV131.tsx ; fichier distinct ne vaut pas texture ni proportions 1:1 ; heures non journalisées</x:v>
      </x:c>
    </x:row>
    <x:row r="504" ht="31" customHeight="1">
      <x:c r="A504" s="22" t="str">
        <x:v>scarface</x:v>
      </x:c>
      <x:c r="B504" s="22" t="str">
        <x:v>scarface-QA</x:v>
      </x:c>
      <x:c r="C504" s="22" t="str">
        <x:v>Comparaisons + tests</x:v>
      </x:c>
      <x:c r="D504" s="24" t="str">
        <x:v>Pivots, alpha, mobile, focus, 3 vues</x:v>
      </x:c>
      <x:c r="E504" s="22" t="str">
        <x:v>P2</x:v>
      </x:c>
      <x:c r="F504" s="22" t="str">
        <x:v>Tests CI source / alpha / type / navigateur autonome ; 1:1 restant</x:v>
      </x:c>
      <x:c r="G504" s="22" t="n">
        <x:v>4</x:v>
      </x:c>
      <x:c r="H504" s="22" t="n">
        <x:v>0</x:v>
      </x:c>
      <x:c r="I504" s="22" t="str">
        <x:v>public/gauntlets/v132/scarface/qa.png</x:v>
      </x:c>
      <x:c r="J504" s="22" t="str">
        <x:v>https://www.avpgalaxy.net/merch/neca/predator/series/</x:v>
      </x:c>
      <x:c r="K504" s="24" t="str">
        <x:v>Preuve technique : tests/gauntlet-archive-studies-v136.test.mjs ; fichier distinct ne vaut pas texture ni proportions 1:1 ; heures non journalisées</x:v>
      </x:c>
    </x:row>
    <x:row r="505" ht="31" customHeight="1">
      <x:c r="A505" s="22" t="str">
        <x:v>stone-heart</x:v>
      </x:c>
      <x:c r="B505" s="22" t="str">
        <x:v>stone-heart-ARM-L</x:v>
      </x:c>
      <x:c r="C505" s="22" t="str">
        <x:v>Bras gauche / poignet</x:v>
      </x:c>
      <x:c r="D505" s="24" t="str">
        <x:v>Pivot &amp; peau / netting</x:v>
      </x:c>
      <x:c r="E505" s="22" t="str">
        <x:v>P2</x:v>
      </x:c>
      <x:c r="F505" s="22" t="str">
        <x:v>Prototype SVG individuel + alpha PNG</x:v>
      </x:c>
      <x:c r="G505" s="22" t="n">
        <x:v>3.5</x:v>
      </x:c>
      <x:c r="H505" s="22" t="n">
        <x:v>0</x:v>
      </x:c>
      <x:c r="I505" s="22" t="str">
        <x:v>public/gauntlets/v132/stone-heart/arm-l.png</x:v>
      </x:c>
      <x:c r="J505" s="22" t="str">
        <x:v>https://www.avpgalaxy.net/merch/neca/predator/series/</x:v>
      </x:c>
      <x:c r="K505" s="24" t="str">
        <x:v>Preuve technique : public/game/assets/v136/gauntlets/stone-heart/01-arm.svg ; fichier distinct ne vaut pas texture ni proportions 1:1 ; heures non journalisées</x:v>
      </x:c>
    </x:row>
    <x:row r="506" ht="31" customHeight="1">
      <x:c r="A506" s="22" t="str">
        <x:v>stone-heart</x:v>
      </x:c>
      <x:c r="B506" s="22" t="str">
        <x:v>stone-heart-SHELL-C</x:v>
      </x:c>
      <x:c r="C506" s="22" t="str">
        <x:v>Coque fermée</x:v>
      </x:c>
      <x:c r="D506" s="24" t="str">
        <x:v>Profil latéral et attaches</x:v>
      </x:c>
      <x:c r="E506" s="22" t="str">
        <x:v>P2</x:v>
      </x:c>
      <x:c r="F506" s="22" t="str">
        <x:v>Coque individuelle SVG + PNG, non 1:1</x:v>
      </x:c>
      <x:c r="G506" s="22" t="n">
        <x:v>4.5</x:v>
      </x:c>
      <x:c r="H506" s="22" t="n">
        <x:v>0</x:v>
      </x:c>
      <x:c r="I506" s="22" t="str">
        <x:v>public/gauntlets/v132/stone-heart/shell-c.png</x:v>
      </x:c>
      <x:c r="J506" s="22" t="str">
        <x:v>https://www.avpgalaxy.net/merch/neca/predator/series/</x:v>
      </x:c>
      <x:c r="K506" s="24" t="str">
        <x:v>Preuve technique : public/game/assets/v136/gauntlets/stone-heart/02-shell.svg ; fichier distinct ne vaut pas texture ni proportions 1:1 ; heures non journalisées</x:v>
      </x:c>
    </x:row>
    <x:row r="507" ht="31" customHeight="1">
      <x:c r="A507" s="22" t="str">
        <x:v>stone-heart</x:v>
      </x:c>
      <x:c r="B507" s="22" t="str">
        <x:v>stone-heart-SHELL-O</x:v>
      </x:c>
      <x:c r="C507" s="22" t="str">
        <x:v>Coque ouverte</x:v>
      </x:c>
      <x:c r="D507" s="24" t="str">
        <x:v>Charnières et trappe</x:v>
      </x:c>
      <x:c r="E507" s="22" t="str">
        <x:v>P2</x:v>
      </x:c>
      <x:c r="F507" s="22" t="str">
        <x:v>Capot ouvrable en React/CSS, animation partielle</x:v>
      </x:c>
      <x:c r="G507" s="22" t="n">
        <x:v>4.5</x:v>
      </x:c>
      <x:c r="H507" s="22" t="n">
        <x:v>0</x:v>
      </x:c>
      <x:c r="I507" s="22" t="str">
        <x:v>public/gauntlets/v132/stone-heart/shell-o.png</x:v>
      </x:c>
      <x:c r="J507" s="22" t="str">
        <x:v>https://www.avpgalaxy.net/merch/neca/predator/series/</x:v>
      </x:c>
      <x:c r="K507" s="24" t="str">
        <x:v>Preuve technique : public/game/assets/v136/gauntlets/stone-heart/04-lid.svg ; fichier distinct ne vaut pas texture ni proportions 1:1 ; heures non journalisées</x:v>
      </x:c>
    </x:row>
    <x:row r="508" ht="31" customHeight="1">
      <x:c r="A508" s="22" t="str">
        <x:v>stone-heart</x:v>
      </x:c>
      <x:c r="B508" s="22" t="str">
        <x:v>stone-heart-UI-RED</x:v>
      </x:c>
      <x:c r="C508" s="22" t="str">
        <x:v>Contrôle / glyphes</x:v>
      </x:c>
      <x:c r="D508" s="24" t="str">
        <x:v>Texte + segments lumineux</x:v>
      </x:c>
      <x:c r="E508" s="22" t="str">
        <x:v>P2</x:v>
      </x:c>
      <x:c r="F508" s="22" t="str">
        <x:v>Interface distincte en SVG / couleurs non certifiées</x:v>
      </x:c>
      <x:c r="G508" s="22" t="n">
        <x:v>3</x:v>
      </x:c>
      <x:c r="H508" s="22" t="n">
        <x:v>0</x:v>
      </x:c>
      <x:c r="I508" s="22" t="str">
        <x:v>public/gauntlets/v132/stone-heart/ui-red.png</x:v>
      </x:c>
      <x:c r="J508" s="22" t="str">
        <x:v>https://www.avpgalaxy.net/merch/neca/predator/series/</x:v>
      </x:c>
      <x:c r="K508" s="24" t="str">
        <x:v>Preuve technique : public/game/assets/v136/gauntlets/stone-heart/03-interface.svg ; fichier distinct ne vaut pas texture ni proportions 1:1 ; heures non journalisées</x:v>
      </x:c>
    </x:row>
    <x:row r="509" ht="31" customHeight="1">
      <x:c r="A509" s="22" t="str">
        <x:v>stone-heart</x:v>
      </x:c>
      <x:c r="B509" s="22" t="str">
        <x:v>stone-heart-RIBS</x:v>
      </x:c>
      <x:c r="C509" s="22" t="str">
        <x:v>Ribures et mécanique</x:v>
      </x:c>
      <x:c r="D509" s="24" t="str">
        <x:v>Plaques, vis, tuyaux</x:v>
      </x:c>
      <x:c r="E509" s="22" t="str">
        <x:v>P2</x:v>
      </x:c>
      <x:c r="F509" s="22" t="str">
        <x:v>Détails de coque présents, sous-pièces non séparées</x:v>
      </x:c>
      <x:c r="G509" s="22" t="n">
        <x:v>3.5</x:v>
      </x:c>
      <x:c r="H509" s="22" t="n">
        <x:v>0</x:v>
      </x:c>
      <x:c r="I509" s="22" t="str">
        <x:v>public/gauntlets/v132/stone-heart/ribs.png</x:v>
      </x:c>
      <x:c r="J509" s="22" t="str">
        <x:v>https://www.avpgalaxy.net/merch/neca/predator/series/</x:v>
      </x:c>
      <x:c r="K509" s="24" t="str">
        <x:v>Preuve technique : public/game/assets/v136/gauntlets/stone-heart/02-shell.svg ; fichier distinct ne vaut pas texture ni proportions 1:1 ; heures non journalisées</x:v>
      </x:c>
    </x:row>
    <x:row r="510" ht="31" customHeight="1">
      <x:c r="A510" s="22" t="str">
        <x:v>stone-heart</x:v>
      </x:c>
      <x:c r="B510" s="22" t="str">
        <x:v>stone-heart-BEAM</x:v>
      </x:c>
      <x:c r="C510" s="22" t="str">
        <x:v>Émetteur holographique</x:v>
      </x:c>
      <x:c r="D510" s="24" t="str">
        <x:v>Projection originale de jeu</x:v>
      </x:c>
      <x:c r="E510" s="22" t="str">
        <x:v>P2</x:v>
      </x:c>
      <x:c r="F510" s="22" t="str">
        <x:v>Faisceau du projet (JH dédié, autres effet commun)</x:v>
      </x:c>
      <x:c r="G510" s="22" t="n">
        <x:v>2.5</x:v>
      </x:c>
      <x:c r="H510" s="22" t="n">
        <x:v>0</x:v>
      </x:c>
      <x:c r="I510" s="22" t="str">
        <x:v>public/gauntlets/v132/stone-heart/beam.png</x:v>
      </x:c>
      <x:c r="J510" s="22" t="str">
        <x:v>https://www.avpgalaxy.net/merch/neca/predator/series/</x:v>
      </x:c>
      <x:c r="K510" s="24" t="str">
        <x:v>Preuve technique : app/game/ClanWarGauntletV131.tsx ; fichier distinct ne vaut pas texture ni proportions 1:1 ; heures non journalisées</x:v>
      </x:c>
    </x:row>
    <x:row r="511" ht="31" customHeight="1">
      <x:c r="A511" s="22" t="str">
        <x:v>stone-heart</x:v>
      </x:c>
      <x:c r="B511" s="22" t="str">
        <x:v>stone-heart-MOVE</x:v>
      </x:c>
      <x:c r="C511" s="22" t="str">
        <x:v>Animations 4 états</x:v>
      </x:c>
      <x:c r="D511" s="24" t="str">
        <x:v>lever, ouvrir, projeter, ranger</x:v>
      </x:c>
      <x:c r="E511" s="22" t="str">
        <x:v>P2</x:v>
      </x:c>
      <x:c r="F511" s="22" t="str">
        <x:v>Capot ouvert/fermé ; 3 gestes complets restent à faire</x:v>
      </x:c>
      <x:c r="G511" s="22" t="n">
        <x:v>5</x:v>
      </x:c>
      <x:c r="H511" s="22" t="n">
        <x:v>0</x:v>
      </x:c>
      <x:c r="I511" s="22" t="str">
        <x:v>public/gauntlets/v132/stone-heart/move.png</x:v>
      </x:c>
      <x:c r="J511" s="22" t="str">
        <x:v>https://www.avpgalaxy.net/merch/neca/predator/series/</x:v>
      </x:c>
      <x:c r="K511" s="24" t="str">
        <x:v>Preuve technique : public/game/assets/v136/gauntlets/stone-heart/04-lid.svg ; fichier distinct ne vaut pas texture ni proportions 1:1 ; heures non journalisées</x:v>
      </x:c>
    </x:row>
    <x:row r="512" ht="31" customHeight="1">
      <x:c r="A512" s="22" t="str">
        <x:v>stone-heart</x:v>
      </x:c>
      <x:c r="B512" s="22" t="str">
        <x:v>stone-heart-SFX</x:v>
      </x:c>
      <x:c r="C512" s="22" t="str">
        <x:v>Identité sonore</x:v>
      </x:c>
      <x:c r="D512" s="24" t="str">
        <x:v>4 sources originales non soumises aux droits de film</x:v>
      </x:c>
      <x:c r="E512" s="22" t="str">
        <x:v>P2</x:v>
      </x:c>
      <x:c r="F512" s="22" t="str">
        <x:v>Signature sonore par thème (10 profils), source non cinéma</x:v>
      </x:c>
      <x:c r="G512" s="22" t="n">
        <x:v>2</x:v>
      </x:c>
      <x:c r="H512" s="22" t="n">
        <x:v>0</x:v>
      </x:c>
      <x:c r="I512" s="22" t="str">
        <x:v>public/gauntlets/v132/stone-heart/sfx.png</x:v>
      </x:c>
      <x:c r="J512" s="22" t="str">
        <x:v>https://www.avpgalaxy.net/merch/neca/predator/series/</x:v>
      </x:c>
      <x:c r="K512" s="24" t="str">
        <x:v>Preuve technique : app/game/sound.ts ; fichier distinct ne vaut pas texture ni proportions 1:1 ; heures non journalisées</x:v>
      </x:c>
    </x:row>
    <x:row r="513" ht="31" customHeight="1">
      <x:c r="A513" s="22" t="str">
        <x:v>stone-heart</x:v>
      </x:c>
      <x:c r="B513" s="22" t="str">
        <x:v>stone-heart-HUD</x:v>
      </x:c>
      <x:c r="C513" s="22" t="str">
        <x:v>Palette / projection</x:v>
      </x:c>
      <x:c r="D513" s="24" t="str">
        <x:v>UI 2D/3D cohérente avec la carte</x:v>
      </x:c>
      <x:c r="E513" s="22" t="str">
        <x:v>P2</x:v>
      </x:c>
      <x:c r="F513" s="22" t="str">
        <x:v>HUD connecté / simulation intacte ; QA visuelle restante</x:v>
      </x:c>
      <x:c r="G513" s="22" t="n">
        <x:v>3.5</x:v>
      </x:c>
      <x:c r="H513" s="22" t="n">
        <x:v>0</x:v>
      </x:c>
      <x:c r="I513" s="22" t="str">
        <x:v>public/gauntlets/v132/stone-heart/hud.png</x:v>
      </x:c>
      <x:c r="J513" s="22" t="str">
        <x:v>https://www.avpgalaxy.net/merch/neca/predator/series/</x:v>
      </x:c>
      <x:c r="K513" s="24" t="str">
        <x:v>Preuve technique : app/game/ClanWarGauntletV131.tsx ; fichier distinct ne vaut pas texture ni proportions 1:1 ; heures non journalisées</x:v>
      </x:c>
    </x:row>
    <x:row r="514" ht="31" customHeight="1">
      <x:c r="A514" s="22" t="str">
        <x:v>stone-heart</x:v>
      </x:c>
      <x:c r="B514" s="22" t="str">
        <x:v>stone-heart-QA</x:v>
      </x:c>
      <x:c r="C514" s="22" t="str">
        <x:v>Comparaisons + tests</x:v>
      </x:c>
      <x:c r="D514" s="24" t="str">
        <x:v>Pivots, alpha, mobile, focus, 3 vues</x:v>
      </x:c>
      <x:c r="E514" s="22" t="str">
        <x:v>P2</x:v>
      </x:c>
      <x:c r="F514" s="22" t="str">
        <x:v>Tests CI source / alpha / type / navigateur autonome ; 1:1 restant</x:v>
      </x:c>
      <x:c r="G514" s="22" t="n">
        <x:v>4</x:v>
      </x:c>
      <x:c r="H514" s="22" t="n">
        <x:v>0</x:v>
      </x:c>
      <x:c r="I514" s="22" t="str">
        <x:v>public/gauntlets/v132/stone-heart/qa.png</x:v>
      </x:c>
      <x:c r="J514" s="22" t="str">
        <x:v>https://www.avpgalaxy.net/merch/neca/predator/series/</x:v>
      </x:c>
      <x:c r="K514" s="24" t="str">
        <x:v>Preuve technique : tests/gauntlet-archive-studies-v136.test.mjs ; fichier distinct ne vaut pas texture ni proportions 1:1 ; heures non journalisées</x:v>
      </x:c>
    </x:row>
    <x:row r="515" ht="31" customHeight="1">
      <x:c r="A515" s="22" t="str">
        <x:v>ahab</x:v>
      </x:c>
      <x:c r="B515" s="22" t="str">
        <x:v>ahab-ARM-L</x:v>
      </x:c>
      <x:c r="C515" s="22" t="str">
        <x:v>Bras gauche / poignet</x:v>
      </x:c>
      <x:c r="D515" s="24" t="str">
        <x:v>Pivot &amp; peau / netting</x:v>
      </x:c>
      <x:c r="E515" s="22" t="str">
        <x:v>P2</x:v>
      </x:c>
      <x:c r="F515" s="22" t="str">
        <x:v>Prototype SVG individuel + alpha PNG</x:v>
      </x:c>
      <x:c r="G515" s="22" t="n">
        <x:v>3.5</x:v>
      </x:c>
      <x:c r="H515" s="22" t="n">
        <x:v>0</x:v>
      </x:c>
      <x:c r="I515" s="22" t="str">
        <x:v>public/gauntlets/v132/ahab/arm-l.png</x:v>
      </x:c>
      <x:c r="J515" s="22" t="str">
        <x:v>https://www.avpgalaxy.net/merch/neca/predator/series/</x:v>
      </x:c>
      <x:c r="K515" s="24" t="str">
        <x:v>Preuve technique : public/game/assets/v136/gauntlets/ahab/01-arm.svg ; fichier distinct ne vaut pas texture ni proportions 1:1 ; heures non journalisées</x:v>
      </x:c>
    </x:row>
    <x:row r="516" ht="31" customHeight="1">
      <x:c r="A516" s="22" t="str">
        <x:v>ahab</x:v>
      </x:c>
      <x:c r="B516" s="22" t="str">
        <x:v>ahab-SHELL-C</x:v>
      </x:c>
      <x:c r="C516" s="22" t="str">
        <x:v>Coque fermée</x:v>
      </x:c>
      <x:c r="D516" s="24" t="str">
        <x:v>Profil latéral et attaches</x:v>
      </x:c>
      <x:c r="E516" s="22" t="str">
        <x:v>P2</x:v>
      </x:c>
      <x:c r="F516" s="22" t="str">
        <x:v>Coque individuelle SVG + PNG, non 1:1</x:v>
      </x:c>
      <x:c r="G516" s="22" t="n">
        <x:v>4.5</x:v>
      </x:c>
      <x:c r="H516" s="22" t="n">
        <x:v>0</x:v>
      </x:c>
      <x:c r="I516" s="22" t="str">
        <x:v>public/gauntlets/v132/ahab/shell-c.png</x:v>
      </x:c>
      <x:c r="J516" s="22" t="str">
        <x:v>https://www.avpgalaxy.net/merch/neca/predator/series/</x:v>
      </x:c>
      <x:c r="K516" s="24" t="str">
        <x:v>Preuve technique : public/game/assets/v136/gauntlets/ahab/02-shell.svg ; fichier distinct ne vaut pas texture ni proportions 1:1 ; heures non journalisées</x:v>
      </x:c>
    </x:row>
    <x:row r="517" ht="31" customHeight="1">
      <x:c r="A517" s="22" t="str">
        <x:v>ahab</x:v>
      </x:c>
      <x:c r="B517" s="22" t="str">
        <x:v>ahab-SHELL-O</x:v>
      </x:c>
      <x:c r="C517" s="22" t="str">
        <x:v>Coque ouverte</x:v>
      </x:c>
      <x:c r="D517" s="24" t="str">
        <x:v>Charnières et trappe</x:v>
      </x:c>
      <x:c r="E517" s="22" t="str">
        <x:v>P2</x:v>
      </x:c>
      <x:c r="F517" s="22" t="str">
        <x:v>Capot ouvrable en React/CSS, animation partielle</x:v>
      </x:c>
      <x:c r="G517" s="22" t="n">
        <x:v>4.5</x:v>
      </x:c>
      <x:c r="H517" s="22" t="n">
        <x:v>0</x:v>
      </x:c>
      <x:c r="I517" s="22" t="str">
        <x:v>public/gauntlets/v132/ahab/shell-o.png</x:v>
      </x:c>
      <x:c r="J517" s="22" t="str">
        <x:v>https://www.avpgalaxy.net/merch/neca/predator/series/</x:v>
      </x:c>
      <x:c r="K517" s="24" t="str">
        <x:v>Preuve technique : public/game/assets/v136/gauntlets/ahab/04-lid.svg ; fichier distinct ne vaut pas texture ni proportions 1:1 ; heures non journalisées</x:v>
      </x:c>
    </x:row>
    <x:row r="518" ht="31" customHeight="1">
      <x:c r="A518" s="22" t="str">
        <x:v>ahab</x:v>
      </x:c>
      <x:c r="B518" s="22" t="str">
        <x:v>ahab-UI-RED</x:v>
      </x:c>
      <x:c r="C518" s="22" t="str">
        <x:v>Contrôle / glyphes</x:v>
      </x:c>
      <x:c r="D518" s="24" t="str">
        <x:v>Texte + segments lumineux</x:v>
      </x:c>
      <x:c r="E518" s="22" t="str">
        <x:v>P2</x:v>
      </x:c>
      <x:c r="F518" s="22" t="str">
        <x:v>Interface distincte en SVG / couleurs non certifiées</x:v>
      </x:c>
      <x:c r="G518" s="22" t="n">
        <x:v>3</x:v>
      </x:c>
      <x:c r="H518" s="22" t="n">
        <x:v>0</x:v>
      </x:c>
      <x:c r="I518" s="22" t="str">
        <x:v>public/gauntlets/v132/ahab/ui-red.png</x:v>
      </x:c>
      <x:c r="J518" s="22" t="str">
        <x:v>https://www.avpgalaxy.net/merch/neca/predator/series/</x:v>
      </x:c>
      <x:c r="K518" s="24" t="str">
        <x:v>Preuve technique : public/game/assets/v136/gauntlets/ahab/03-interface.svg ; fichier distinct ne vaut pas texture ni proportions 1:1 ; heures non journalisées</x:v>
      </x:c>
    </x:row>
    <x:row r="519" ht="31" customHeight="1">
      <x:c r="A519" s="22" t="str">
        <x:v>ahab</x:v>
      </x:c>
      <x:c r="B519" s="22" t="str">
        <x:v>ahab-RIBS</x:v>
      </x:c>
      <x:c r="C519" s="22" t="str">
        <x:v>Ribures et mécanique</x:v>
      </x:c>
      <x:c r="D519" s="24" t="str">
        <x:v>Plaques, vis, tuyaux</x:v>
      </x:c>
      <x:c r="E519" s="22" t="str">
        <x:v>P2</x:v>
      </x:c>
      <x:c r="F519" s="22" t="str">
        <x:v>Détails de coque présents, sous-pièces non séparées</x:v>
      </x:c>
      <x:c r="G519" s="22" t="n">
        <x:v>3.5</x:v>
      </x:c>
      <x:c r="H519" s="22" t="n">
        <x:v>0</x:v>
      </x:c>
      <x:c r="I519" s="22" t="str">
        <x:v>public/gauntlets/v132/ahab/ribs.png</x:v>
      </x:c>
      <x:c r="J519" s="22" t="str">
        <x:v>https://www.avpgalaxy.net/merch/neca/predator/series/</x:v>
      </x:c>
      <x:c r="K519" s="24" t="str">
        <x:v>Preuve technique : public/game/assets/v136/gauntlets/ahab/02-shell.svg ; fichier distinct ne vaut pas texture ni proportions 1:1 ; heures non journalisées</x:v>
      </x:c>
    </x:row>
    <x:row r="520" ht="31" customHeight="1">
      <x:c r="A520" s="22" t="str">
        <x:v>ahab</x:v>
      </x:c>
      <x:c r="B520" s="22" t="str">
        <x:v>ahab-BEAM</x:v>
      </x:c>
      <x:c r="C520" s="22" t="str">
        <x:v>Émetteur holographique</x:v>
      </x:c>
      <x:c r="D520" s="24" t="str">
        <x:v>Projection originale de jeu</x:v>
      </x:c>
      <x:c r="E520" s="22" t="str">
        <x:v>P2</x:v>
      </x:c>
      <x:c r="F520" s="22" t="str">
        <x:v>Faisceau du projet (JH dédié, autres effet commun)</x:v>
      </x:c>
      <x:c r="G520" s="22" t="n">
        <x:v>2.5</x:v>
      </x:c>
      <x:c r="H520" s="22" t="n">
        <x:v>0</x:v>
      </x:c>
      <x:c r="I520" s="22" t="str">
        <x:v>public/gauntlets/v132/ahab/beam.png</x:v>
      </x:c>
      <x:c r="J520" s="22" t="str">
        <x:v>https://www.avpgalaxy.net/merch/neca/predator/series/</x:v>
      </x:c>
      <x:c r="K520" s="24" t="str">
        <x:v>Preuve technique : app/game/ClanWarGauntletV131.tsx ; fichier distinct ne vaut pas texture ni proportions 1:1 ; heures non journalisées</x:v>
      </x:c>
    </x:row>
    <x:row r="521" ht="31" customHeight="1">
      <x:c r="A521" s="22" t="str">
        <x:v>ahab</x:v>
      </x:c>
      <x:c r="B521" s="22" t="str">
        <x:v>ahab-MOVE</x:v>
      </x:c>
      <x:c r="C521" s="22" t="str">
        <x:v>Animations 4 états</x:v>
      </x:c>
      <x:c r="D521" s="24" t="str">
        <x:v>lever, ouvrir, projeter, ranger</x:v>
      </x:c>
      <x:c r="E521" s="22" t="str">
        <x:v>P2</x:v>
      </x:c>
      <x:c r="F521" s="22" t="str">
        <x:v>Capot ouvert/fermé ; 3 gestes complets restent à faire</x:v>
      </x:c>
      <x:c r="G521" s="22" t="n">
        <x:v>5</x:v>
      </x:c>
      <x:c r="H521" s="22" t="n">
        <x:v>0</x:v>
      </x:c>
      <x:c r="I521" s="22" t="str">
        <x:v>public/gauntlets/v132/ahab/move.png</x:v>
      </x:c>
      <x:c r="J521" s="22" t="str">
        <x:v>https://www.avpgalaxy.net/merch/neca/predator/series/</x:v>
      </x:c>
      <x:c r="K521" s="24" t="str">
        <x:v>Preuve technique : public/game/assets/v136/gauntlets/ahab/04-lid.svg ; fichier distinct ne vaut pas texture ni proportions 1:1 ; heures non journalisées</x:v>
      </x:c>
    </x:row>
    <x:row r="522" ht="31" customHeight="1">
      <x:c r="A522" s="22" t="str">
        <x:v>ahab</x:v>
      </x:c>
      <x:c r="B522" s="22" t="str">
        <x:v>ahab-SFX</x:v>
      </x:c>
      <x:c r="C522" s="22" t="str">
        <x:v>Identité sonore</x:v>
      </x:c>
      <x:c r="D522" s="24" t="str">
        <x:v>4 sources originales non soumises aux droits de film</x:v>
      </x:c>
      <x:c r="E522" s="22" t="str">
        <x:v>P2</x:v>
      </x:c>
      <x:c r="F522" s="22" t="str">
        <x:v>Signature sonore par thème (10 profils), source non cinéma</x:v>
      </x:c>
      <x:c r="G522" s="22" t="n">
        <x:v>2</x:v>
      </x:c>
      <x:c r="H522" s="22" t="n">
        <x:v>0</x:v>
      </x:c>
      <x:c r="I522" s="22" t="str">
        <x:v>public/gauntlets/v132/ahab/sfx.png</x:v>
      </x:c>
      <x:c r="J522" s="22" t="str">
        <x:v>https://www.avpgalaxy.net/merch/neca/predator/series/</x:v>
      </x:c>
      <x:c r="K522" s="24" t="str">
        <x:v>Preuve technique : app/game/sound.ts ; fichier distinct ne vaut pas texture ni proportions 1:1 ; heures non journalisées</x:v>
      </x:c>
    </x:row>
    <x:row r="523" ht="31" customHeight="1">
      <x:c r="A523" s="22" t="str">
        <x:v>ahab</x:v>
      </x:c>
      <x:c r="B523" s="22" t="str">
        <x:v>ahab-HUD</x:v>
      </x:c>
      <x:c r="C523" s="22" t="str">
        <x:v>Palette / projection</x:v>
      </x:c>
      <x:c r="D523" s="24" t="str">
        <x:v>UI 2D/3D cohérente avec la carte</x:v>
      </x:c>
      <x:c r="E523" s="22" t="str">
        <x:v>P2</x:v>
      </x:c>
      <x:c r="F523" s="22" t="str">
        <x:v>HUD connecté / simulation intacte ; QA visuelle restante</x:v>
      </x:c>
      <x:c r="G523" s="22" t="n">
        <x:v>3.5</x:v>
      </x:c>
      <x:c r="H523" s="22" t="n">
        <x:v>0</x:v>
      </x:c>
      <x:c r="I523" s="22" t="str">
        <x:v>public/gauntlets/v132/ahab/hud.png</x:v>
      </x:c>
      <x:c r="J523" s="22" t="str">
        <x:v>https://www.avpgalaxy.net/merch/neca/predator/series/</x:v>
      </x:c>
      <x:c r="K523" s="24" t="str">
        <x:v>Preuve technique : app/game/ClanWarGauntletV131.tsx ; fichier distinct ne vaut pas texture ni proportions 1:1 ; heures non journalisées</x:v>
      </x:c>
    </x:row>
    <x:row r="524" ht="31" customHeight="1">
      <x:c r="A524" s="22" t="str">
        <x:v>ahab</x:v>
      </x:c>
      <x:c r="B524" s="22" t="str">
        <x:v>ahab-QA</x:v>
      </x:c>
      <x:c r="C524" s="22" t="str">
        <x:v>Comparaisons + tests</x:v>
      </x:c>
      <x:c r="D524" s="24" t="str">
        <x:v>Pivots, alpha, mobile, focus, 3 vues</x:v>
      </x:c>
      <x:c r="E524" s="22" t="str">
        <x:v>P2</x:v>
      </x:c>
      <x:c r="F524" s="22" t="str">
        <x:v>Tests CI source / alpha / type / navigateur autonome ; 1:1 restant</x:v>
      </x:c>
      <x:c r="G524" s="22" t="n">
        <x:v>4</x:v>
      </x:c>
      <x:c r="H524" s="22" t="n">
        <x:v>0</x:v>
      </x:c>
      <x:c r="I524" s="22" t="str">
        <x:v>public/gauntlets/v132/ahab/qa.png</x:v>
      </x:c>
      <x:c r="J524" s="22" t="str">
        <x:v>https://www.avpgalaxy.net/merch/neca/predator/series/</x:v>
      </x:c>
      <x:c r="K524" s="24" t="str">
        <x:v>Preuve technique : tests/gauntlet-archive-studies-v136.test.mjs ; fichier distinct ne vaut pas texture ni proportions 1:1 ; heures non journalisées</x:v>
      </x:c>
    </x:row>
    <x:row r="525" ht="31" customHeight="1">
      <x:c r="A525" s="22" t="str">
        <x:v>dark-2010</x:v>
      </x:c>
      <x:c r="B525" s="22" t="str">
        <x:v>dark-2010-ARM-L</x:v>
      </x:c>
      <x:c r="C525" s="22" t="str">
        <x:v>Bras gauche / poignet</x:v>
      </x:c>
      <x:c r="D525" s="24" t="str">
        <x:v>Pivot &amp; peau / netting</x:v>
      </x:c>
      <x:c r="E525" s="22" t="str">
        <x:v>P2</x:v>
      </x:c>
      <x:c r="F525" s="22" t="str">
        <x:v>Prototype SVG individuel + alpha PNG</x:v>
      </x:c>
      <x:c r="G525" s="22" t="n">
        <x:v>3.5</x:v>
      </x:c>
      <x:c r="H525" s="22" t="n">
        <x:v>0</x:v>
      </x:c>
      <x:c r="I525" s="22" t="str">
        <x:v>public/gauntlets/v132/dark-2010/arm-l.png</x:v>
      </x:c>
      <x:c r="J525" s="22" t="str">
        <x:v>https://www.avpgalaxy.net/merch/neca/predator/series/</x:v>
      </x:c>
      <x:c r="K525" s="24" t="str">
        <x:v>Preuve technique : public/game/assets/v136/gauntlets/dark-2010/01-arm.svg ; fichier distinct ne vaut pas texture ni proportions 1:1 ; heures non journalisées</x:v>
      </x:c>
    </x:row>
    <x:row r="526" ht="31" customHeight="1">
      <x:c r="A526" s="22" t="str">
        <x:v>dark-2010</x:v>
      </x:c>
      <x:c r="B526" s="22" t="str">
        <x:v>dark-2010-SHELL-C</x:v>
      </x:c>
      <x:c r="C526" s="22" t="str">
        <x:v>Coque fermée</x:v>
      </x:c>
      <x:c r="D526" s="24" t="str">
        <x:v>Profil latéral et attaches</x:v>
      </x:c>
      <x:c r="E526" s="22" t="str">
        <x:v>P2</x:v>
      </x:c>
      <x:c r="F526" s="22" t="str">
        <x:v>Coque individuelle SVG + PNG, non 1:1</x:v>
      </x:c>
      <x:c r="G526" s="22" t="n">
        <x:v>4.5</x:v>
      </x:c>
      <x:c r="H526" s="22" t="n">
        <x:v>0</x:v>
      </x:c>
      <x:c r="I526" s="22" t="str">
        <x:v>public/gauntlets/v132/dark-2010/shell-c.png</x:v>
      </x:c>
      <x:c r="J526" s="22" t="str">
        <x:v>https://www.avpgalaxy.net/merch/neca/predator/series/</x:v>
      </x:c>
      <x:c r="K526" s="24" t="str">
        <x:v>Preuve technique : public/game/assets/v136/gauntlets/dark-2010/02-shell.svg ; fichier distinct ne vaut pas texture ni proportions 1:1 ; heures non journalisées</x:v>
      </x:c>
    </x:row>
    <x:row r="527" ht="31" customHeight="1">
      <x:c r="A527" s="22" t="str">
        <x:v>dark-2010</x:v>
      </x:c>
      <x:c r="B527" s="22" t="str">
        <x:v>dark-2010-SHELL-O</x:v>
      </x:c>
      <x:c r="C527" s="22" t="str">
        <x:v>Coque ouverte</x:v>
      </x:c>
      <x:c r="D527" s="24" t="str">
        <x:v>Charnières et trappe</x:v>
      </x:c>
      <x:c r="E527" s="22" t="str">
        <x:v>P2</x:v>
      </x:c>
      <x:c r="F527" s="22" t="str">
        <x:v>Capot ouvrable en React/CSS, animation partielle</x:v>
      </x:c>
      <x:c r="G527" s="22" t="n">
        <x:v>4.5</x:v>
      </x:c>
      <x:c r="H527" s="22" t="n">
        <x:v>0</x:v>
      </x:c>
      <x:c r="I527" s="22" t="str">
        <x:v>public/gauntlets/v132/dark-2010/shell-o.png</x:v>
      </x:c>
      <x:c r="J527" s="22" t="str">
        <x:v>https://www.avpgalaxy.net/merch/neca/predator/series/</x:v>
      </x:c>
      <x:c r="K527" s="24" t="str">
        <x:v>Preuve technique : public/game/assets/v136/gauntlets/dark-2010/04-lid.svg ; fichier distinct ne vaut pas texture ni proportions 1:1 ; heures non journalisées</x:v>
      </x:c>
    </x:row>
    <x:row r="528" ht="31" customHeight="1">
      <x:c r="A528" s="22" t="str">
        <x:v>dark-2010</x:v>
      </x:c>
      <x:c r="B528" s="22" t="str">
        <x:v>dark-2010-UI-RED</x:v>
      </x:c>
      <x:c r="C528" s="22" t="str">
        <x:v>Contrôle / glyphes</x:v>
      </x:c>
      <x:c r="D528" s="24" t="str">
        <x:v>Texte + segments lumineux</x:v>
      </x:c>
      <x:c r="E528" s="22" t="str">
        <x:v>P2</x:v>
      </x:c>
      <x:c r="F528" s="22" t="str">
        <x:v>Interface distincte en SVG / couleurs non certifiées</x:v>
      </x:c>
      <x:c r="G528" s="22" t="n">
        <x:v>3</x:v>
      </x:c>
      <x:c r="H528" s="22" t="n">
        <x:v>0</x:v>
      </x:c>
      <x:c r="I528" s="22" t="str">
        <x:v>public/gauntlets/v132/dark-2010/ui-red.png</x:v>
      </x:c>
      <x:c r="J528" s="22" t="str">
        <x:v>https://www.avpgalaxy.net/merch/neca/predator/series/</x:v>
      </x:c>
      <x:c r="K528" s="24" t="str">
        <x:v>Preuve technique : public/game/assets/v136/gauntlets/dark-2010/03-interface.svg ; fichier distinct ne vaut pas texture ni proportions 1:1 ; heures non journalisées</x:v>
      </x:c>
    </x:row>
    <x:row r="529" ht="31" customHeight="1">
      <x:c r="A529" s="22" t="str">
        <x:v>dark-2010</x:v>
      </x:c>
      <x:c r="B529" s="22" t="str">
        <x:v>dark-2010-RIBS</x:v>
      </x:c>
      <x:c r="C529" s="22" t="str">
        <x:v>Ribures et mécanique</x:v>
      </x:c>
      <x:c r="D529" s="24" t="str">
        <x:v>Plaques, vis, tuyaux</x:v>
      </x:c>
      <x:c r="E529" s="22" t="str">
        <x:v>P2</x:v>
      </x:c>
      <x:c r="F529" s="22" t="str">
        <x:v>Détails de coque présents, sous-pièces non séparées</x:v>
      </x:c>
      <x:c r="G529" s="22" t="n">
        <x:v>3.5</x:v>
      </x:c>
      <x:c r="H529" s="22" t="n">
        <x:v>0</x:v>
      </x:c>
      <x:c r="I529" s="22" t="str">
        <x:v>public/gauntlets/v132/dark-2010/ribs.png</x:v>
      </x:c>
      <x:c r="J529" s="22" t="str">
        <x:v>https://www.avpgalaxy.net/merch/neca/predator/series/</x:v>
      </x:c>
      <x:c r="K529" s="24" t="str">
        <x:v>Preuve technique : public/game/assets/v136/gauntlets/dark-2010/02-shell.svg ; fichier distinct ne vaut pas texture ni proportions 1:1 ; heures non journalisées</x:v>
      </x:c>
    </x:row>
    <x:row r="530" ht="31" customHeight="1">
      <x:c r="A530" s="22" t="str">
        <x:v>dark-2010</x:v>
      </x:c>
      <x:c r="B530" s="22" t="str">
        <x:v>dark-2010-BEAM</x:v>
      </x:c>
      <x:c r="C530" s="22" t="str">
        <x:v>Émetteur holographique</x:v>
      </x:c>
      <x:c r="D530" s="24" t="str">
        <x:v>Projection originale de jeu</x:v>
      </x:c>
      <x:c r="E530" s="22" t="str">
        <x:v>P2</x:v>
      </x:c>
      <x:c r="F530" s="22" t="str">
        <x:v>Faisceau du projet (JH dédié, autres effet commun)</x:v>
      </x:c>
      <x:c r="G530" s="22" t="n">
        <x:v>2.5</x:v>
      </x:c>
      <x:c r="H530" s="22" t="n">
        <x:v>0</x:v>
      </x:c>
      <x:c r="I530" s="22" t="str">
        <x:v>public/gauntlets/v132/dark-2010/beam.png</x:v>
      </x:c>
      <x:c r="J530" s="22" t="str">
        <x:v>https://www.avpgalaxy.net/merch/neca/predator/series/</x:v>
      </x:c>
      <x:c r="K530" s="24" t="str">
        <x:v>Preuve technique : app/game/ClanWarGauntletV131.tsx ; fichier distinct ne vaut pas texture ni proportions 1:1 ; heures non journalisées</x:v>
      </x:c>
    </x:row>
    <x:row r="531" ht="31" customHeight="1">
      <x:c r="A531" s="22" t="str">
        <x:v>dark-2010</x:v>
      </x:c>
      <x:c r="B531" s="22" t="str">
        <x:v>dark-2010-MOVE</x:v>
      </x:c>
      <x:c r="C531" s="22" t="str">
        <x:v>Animations 4 états</x:v>
      </x:c>
      <x:c r="D531" s="24" t="str">
        <x:v>lever, ouvrir, projeter, ranger</x:v>
      </x:c>
      <x:c r="E531" s="22" t="str">
        <x:v>P2</x:v>
      </x:c>
      <x:c r="F531" s="22" t="str">
        <x:v>Capot ouvert/fermé ; 3 gestes complets restent à faire</x:v>
      </x:c>
      <x:c r="G531" s="22" t="n">
        <x:v>5</x:v>
      </x:c>
      <x:c r="H531" s="22" t="n">
        <x:v>0</x:v>
      </x:c>
      <x:c r="I531" s="22" t="str">
        <x:v>public/gauntlets/v132/dark-2010/move.png</x:v>
      </x:c>
      <x:c r="J531" s="22" t="str">
        <x:v>https://www.avpgalaxy.net/merch/neca/predator/series/</x:v>
      </x:c>
      <x:c r="K531" s="24" t="str">
        <x:v>Preuve technique : public/game/assets/v136/gauntlets/dark-2010/04-lid.svg ; fichier distinct ne vaut pas texture ni proportions 1:1 ; heures non journalisées</x:v>
      </x:c>
    </x:row>
    <x:row r="532" ht="31" customHeight="1">
      <x:c r="A532" s="22" t="str">
        <x:v>dark-2010</x:v>
      </x:c>
      <x:c r="B532" s="22" t="str">
        <x:v>dark-2010-SFX</x:v>
      </x:c>
      <x:c r="C532" s="22" t="str">
        <x:v>Identité sonore</x:v>
      </x:c>
      <x:c r="D532" s="24" t="str">
        <x:v>4 sources originales non soumises aux droits de film</x:v>
      </x:c>
      <x:c r="E532" s="22" t="str">
        <x:v>P2</x:v>
      </x:c>
      <x:c r="F532" s="22" t="str">
        <x:v>Signature sonore par thème (10 profils), source non cinéma</x:v>
      </x:c>
      <x:c r="G532" s="22" t="n">
        <x:v>2</x:v>
      </x:c>
      <x:c r="H532" s="22" t="n">
        <x:v>0</x:v>
      </x:c>
      <x:c r="I532" s="22" t="str">
        <x:v>public/gauntlets/v132/dark-2010/sfx.png</x:v>
      </x:c>
      <x:c r="J532" s="22" t="str">
        <x:v>https://www.avpgalaxy.net/merch/neca/predator/series/</x:v>
      </x:c>
      <x:c r="K532" s="24" t="str">
        <x:v>Preuve technique : app/game/sound.ts ; fichier distinct ne vaut pas texture ni proportions 1:1 ; heures non journalisées</x:v>
      </x:c>
    </x:row>
    <x:row r="533" ht="31" customHeight="1">
      <x:c r="A533" s="22" t="str">
        <x:v>dark-2010</x:v>
      </x:c>
      <x:c r="B533" s="22" t="str">
        <x:v>dark-2010-HUD</x:v>
      </x:c>
      <x:c r="C533" s="22" t="str">
        <x:v>Palette / projection</x:v>
      </x:c>
      <x:c r="D533" s="24" t="str">
        <x:v>UI 2D/3D cohérente avec la carte</x:v>
      </x:c>
      <x:c r="E533" s="22" t="str">
        <x:v>P2</x:v>
      </x:c>
      <x:c r="F533" s="22" t="str">
        <x:v>HUD connecté / simulation intacte ; QA visuelle restante</x:v>
      </x:c>
      <x:c r="G533" s="22" t="n">
        <x:v>3.5</x:v>
      </x:c>
      <x:c r="H533" s="22" t="n">
        <x:v>0</x:v>
      </x:c>
      <x:c r="I533" s="22" t="str">
        <x:v>public/gauntlets/v132/dark-2010/hud.png</x:v>
      </x:c>
      <x:c r="J533" s="22" t="str">
        <x:v>https://www.avpgalaxy.net/merch/neca/predator/series/</x:v>
      </x:c>
      <x:c r="K533" s="24" t="str">
        <x:v>Preuve technique : app/game/ClanWarGauntletV131.tsx ; fichier distinct ne vaut pas texture ni proportions 1:1 ; heures non journalisées</x:v>
      </x:c>
    </x:row>
    <x:row r="534" ht="31" customHeight="1">
      <x:c r="A534" s="22" t="str">
        <x:v>dark-2010</x:v>
      </x:c>
      <x:c r="B534" s="22" t="str">
        <x:v>dark-2010-QA</x:v>
      </x:c>
      <x:c r="C534" s="22" t="str">
        <x:v>Comparaisons + tests</x:v>
      </x:c>
      <x:c r="D534" s="24" t="str">
        <x:v>Pivots, alpha, mobile, focus, 3 vues</x:v>
      </x:c>
      <x:c r="E534" s="22" t="str">
        <x:v>P2</x:v>
      </x:c>
      <x:c r="F534" s="22" t="str">
        <x:v>Tests CI source / alpha / type / navigateur autonome ; 1:1 restant</x:v>
      </x:c>
      <x:c r="G534" s="22" t="n">
        <x:v>4</x:v>
      </x:c>
      <x:c r="H534" s="22" t="n">
        <x:v>0</x:v>
      </x:c>
      <x:c r="I534" s="22" t="str">
        <x:v>public/gauntlets/v132/dark-2010/qa.png</x:v>
      </x:c>
      <x:c r="J534" s="22" t="str">
        <x:v>https://www.avpgalaxy.net/merch/neca/predator/series/</x:v>
      </x:c>
      <x:c r="K534" s="24" t="str">
        <x:v>Preuve technique : tests/gauntlet-archive-studies-v136.test.mjs ; fichier distinct ne vaut pas texture ni proportions 1:1 ; heures non journalisées</x:v>
      </x:c>
    </x:row>
    <x:row r="535" ht="31" customHeight="1">
      <x:c r="A535" s="22" t="str">
        <x:v>phg-captured</x:v>
      </x:c>
      <x:c r="B535" s="22" t="str">
        <x:v>phg-captured-ARM-L</x:v>
      </x:c>
      <x:c r="C535" s="22" t="str">
        <x:v>Bras gauche / poignet</x:v>
      </x:c>
      <x:c r="D535" s="24" t="str">
        <x:v>Pivot &amp; peau / netting</x:v>
      </x:c>
      <x:c r="E535" s="22" t="str">
        <x:v>P2</x:v>
      </x:c>
      <x:c r="F535" s="22" t="str">
        <x:v>Prototype SVG individuel + alpha PNG</x:v>
      </x:c>
      <x:c r="G535" s="22" t="n">
        <x:v>3.5</x:v>
      </x:c>
      <x:c r="H535" s="22" t="n">
        <x:v>0</x:v>
      </x:c>
      <x:c r="I535" s="22" t="str">
        <x:v>public/gauntlets/v132/phg-captured/arm-l.png</x:v>
      </x:c>
      <x:c r="J535" s="22" t="str">
        <x:v>https://predator.illfonic.com/</x:v>
      </x:c>
      <x:c r="K535" s="24" t="str">
        <x:v>Preuve technique : public/game/assets/v136/gauntlets/phg-captured/01-arm.svg ; fichier distinct ne vaut pas texture ni proportions 1:1 ; heures non journalisées</x:v>
      </x:c>
    </x:row>
    <x:row r="536" ht="31" customHeight="1">
      <x:c r="A536" s="22" t="str">
        <x:v>phg-captured</x:v>
      </x:c>
      <x:c r="B536" s="22" t="str">
        <x:v>phg-captured-SHELL-C</x:v>
      </x:c>
      <x:c r="C536" s="22" t="str">
        <x:v>Coque fermée</x:v>
      </x:c>
      <x:c r="D536" s="24" t="str">
        <x:v>Profil latéral et attaches</x:v>
      </x:c>
      <x:c r="E536" s="22" t="str">
        <x:v>P2</x:v>
      </x:c>
      <x:c r="F536" s="22" t="str">
        <x:v>Coque individuelle SVG + PNG, non 1:1</x:v>
      </x:c>
      <x:c r="G536" s="22" t="n">
        <x:v>4.5</x:v>
      </x:c>
      <x:c r="H536" s="22" t="n">
        <x:v>0</x:v>
      </x:c>
      <x:c r="I536" s="22" t="str">
        <x:v>public/gauntlets/v132/phg-captured/shell-c.png</x:v>
      </x:c>
      <x:c r="J536" s="22" t="str">
        <x:v>https://predator.illfonic.com/</x:v>
      </x:c>
      <x:c r="K536" s="24" t="str">
        <x:v>Preuve technique : public/game/assets/v136/gauntlets/phg-captured/02-shell.svg ; fichier distinct ne vaut pas texture ni proportions 1:1 ; heures non journalisées</x:v>
      </x:c>
    </x:row>
    <x:row r="537" ht="31" customHeight="1">
      <x:c r="A537" s="22" t="str">
        <x:v>phg-captured</x:v>
      </x:c>
      <x:c r="B537" s="22" t="str">
        <x:v>phg-captured-SHELL-O</x:v>
      </x:c>
      <x:c r="C537" s="22" t="str">
        <x:v>Coque ouverte</x:v>
      </x:c>
      <x:c r="D537" s="24" t="str">
        <x:v>Charnières et trappe</x:v>
      </x:c>
      <x:c r="E537" s="22" t="str">
        <x:v>P2</x:v>
      </x:c>
      <x:c r="F537" s="22" t="str">
        <x:v>Capot ouvrable en React/CSS, animation partielle</x:v>
      </x:c>
      <x:c r="G537" s="22" t="n">
        <x:v>4.5</x:v>
      </x:c>
      <x:c r="H537" s="22" t="n">
        <x:v>0</x:v>
      </x:c>
      <x:c r="I537" s="22" t="str">
        <x:v>public/gauntlets/v132/phg-captured/shell-o.png</x:v>
      </x:c>
      <x:c r="J537" s="22" t="str">
        <x:v>https://predator.illfonic.com/</x:v>
      </x:c>
      <x:c r="K537" s="24" t="str">
        <x:v>Preuve technique : public/game/assets/v136/gauntlets/phg-captured/04-lid.svg ; fichier distinct ne vaut pas texture ni proportions 1:1 ; heures non journalisées</x:v>
      </x:c>
    </x:row>
    <x:row r="538" ht="31" customHeight="1">
      <x:c r="A538" s="22" t="str">
        <x:v>phg-captured</x:v>
      </x:c>
      <x:c r="B538" s="22" t="str">
        <x:v>phg-captured-UI-RED</x:v>
      </x:c>
      <x:c r="C538" s="22" t="str">
        <x:v>Contrôle / glyphes</x:v>
      </x:c>
      <x:c r="D538" s="24" t="str">
        <x:v>Texte + segments lumineux</x:v>
      </x:c>
      <x:c r="E538" s="22" t="str">
        <x:v>P2</x:v>
      </x:c>
      <x:c r="F538" s="22" t="str">
        <x:v>Interface distincte en SVG / couleurs non certifiées</x:v>
      </x:c>
      <x:c r="G538" s="22" t="n">
        <x:v>3</x:v>
      </x:c>
      <x:c r="H538" s="22" t="n">
        <x:v>0</x:v>
      </x:c>
      <x:c r="I538" s="22" t="str">
        <x:v>public/gauntlets/v132/phg-captured/ui-red.png</x:v>
      </x:c>
      <x:c r="J538" s="22" t="str">
        <x:v>https://predator.illfonic.com/</x:v>
      </x:c>
      <x:c r="K538" s="24" t="str">
        <x:v>Preuve technique : public/game/assets/v136/gauntlets/phg-captured/03-interface.svg ; fichier distinct ne vaut pas texture ni proportions 1:1 ; heures non journalisées</x:v>
      </x:c>
    </x:row>
    <x:row r="539" ht="31" customHeight="1">
      <x:c r="A539" s="22" t="str">
        <x:v>phg-captured</x:v>
      </x:c>
      <x:c r="B539" s="22" t="str">
        <x:v>phg-captured-RIBS</x:v>
      </x:c>
      <x:c r="C539" s="22" t="str">
        <x:v>Ribures et mécanique</x:v>
      </x:c>
      <x:c r="D539" s="24" t="str">
        <x:v>Plaques, vis, tuyaux</x:v>
      </x:c>
      <x:c r="E539" s="22" t="str">
        <x:v>P2</x:v>
      </x:c>
      <x:c r="F539" s="22" t="str">
        <x:v>Détails de coque présents, sous-pièces non séparées</x:v>
      </x:c>
      <x:c r="G539" s="22" t="n">
        <x:v>3.5</x:v>
      </x:c>
      <x:c r="H539" s="22" t="n">
        <x:v>0</x:v>
      </x:c>
      <x:c r="I539" s="22" t="str">
        <x:v>public/gauntlets/v132/phg-captured/ribs.png</x:v>
      </x:c>
      <x:c r="J539" s="22" t="str">
        <x:v>https://predator.illfonic.com/</x:v>
      </x:c>
      <x:c r="K539" s="24" t="str">
        <x:v>Preuve technique : public/game/assets/v136/gauntlets/phg-captured/02-shell.svg ; fichier distinct ne vaut pas texture ni proportions 1:1 ; heures non journalisées</x:v>
      </x:c>
    </x:row>
    <x:row r="540" ht="31" customHeight="1">
      <x:c r="A540" s="22" t="str">
        <x:v>phg-captured</x:v>
      </x:c>
      <x:c r="B540" s="22" t="str">
        <x:v>phg-captured-BEAM</x:v>
      </x:c>
      <x:c r="C540" s="22" t="str">
        <x:v>Émetteur holographique</x:v>
      </x:c>
      <x:c r="D540" s="24" t="str">
        <x:v>Projection originale de jeu</x:v>
      </x:c>
      <x:c r="E540" s="22" t="str">
        <x:v>P2</x:v>
      </x:c>
      <x:c r="F540" s="22" t="str">
        <x:v>Faisceau du projet (JH dédié, autres effet commun)</x:v>
      </x:c>
      <x:c r="G540" s="22" t="n">
        <x:v>2.5</x:v>
      </x:c>
      <x:c r="H540" s="22" t="n">
        <x:v>0</x:v>
      </x:c>
      <x:c r="I540" s="22" t="str">
        <x:v>public/gauntlets/v132/phg-captured/beam.png</x:v>
      </x:c>
      <x:c r="J540" s="22" t="str">
        <x:v>https://predator.illfonic.com/</x:v>
      </x:c>
      <x:c r="K540" s="24" t="str">
        <x:v>Preuve technique : app/game/ClanWarGauntletV131.tsx ; fichier distinct ne vaut pas texture ni proportions 1:1 ; heures non journalisées</x:v>
      </x:c>
    </x:row>
    <x:row r="541" ht="31" customHeight="1">
      <x:c r="A541" s="22" t="str">
        <x:v>phg-captured</x:v>
      </x:c>
      <x:c r="B541" s="22" t="str">
        <x:v>phg-captured-MOVE</x:v>
      </x:c>
      <x:c r="C541" s="22" t="str">
        <x:v>Animations 4 états</x:v>
      </x:c>
      <x:c r="D541" s="24" t="str">
        <x:v>lever, ouvrir, projeter, ranger</x:v>
      </x:c>
      <x:c r="E541" s="22" t="str">
        <x:v>P2</x:v>
      </x:c>
      <x:c r="F541" s="22" t="str">
        <x:v>Capot ouvert/fermé ; 3 gestes complets restent à faire</x:v>
      </x:c>
      <x:c r="G541" s="22" t="n">
        <x:v>5</x:v>
      </x:c>
      <x:c r="H541" s="22" t="n">
        <x:v>0</x:v>
      </x:c>
      <x:c r="I541" s="22" t="str">
        <x:v>public/gauntlets/v132/phg-captured/move.png</x:v>
      </x:c>
      <x:c r="J541" s="22" t="str">
        <x:v>https://predator.illfonic.com/</x:v>
      </x:c>
      <x:c r="K541" s="24" t="str">
        <x:v>Preuve technique : public/game/assets/v136/gauntlets/phg-captured/04-lid.svg ; fichier distinct ne vaut pas texture ni proportions 1:1 ; heures non journalisées</x:v>
      </x:c>
    </x:row>
    <x:row r="542" ht="31" customHeight="1">
      <x:c r="A542" s="22" t="str">
        <x:v>phg-captured</x:v>
      </x:c>
      <x:c r="B542" s="22" t="str">
        <x:v>phg-captured-SFX</x:v>
      </x:c>
      <x:c r="C542" s="22" t="str">
        <x:v>Identité sonore</x:v>
      </x:c>
      <x:c r="D542" s="24" t="str">
        <x:v>4 sources originales non soumises aux droits de film</x:v>
      </x:c>
      <x:c r="E542" s="22" t="str">
        <x:v>P2</x:v>
      </x:c>
      <x:c r="F542" s="22" t="str">
        <x:v>Signature sonore par thème (10 profils), source non cinéma</x:v>
      </x:c>
      <x:c r="G542" s="22" t="n">
        <x:v>2</x:v>
      </x:c>
      <x:c r="H542" s="22" t="n">
        <x:v>0</x:v>
      </x:c>
      <x:c r="I542" s="22" t="str">
        <x:v>public/gauntlets/v132/phg-captured/sfx.png</x:v>
      </x:c>
      <x:c r="J542" s="22" t="str">
        <x:v>https://predator.illfonic.com/</x:v>
      </x:c>
      <x:c r="K542" s="24" t="str">
        <x:v>Preuve technique : app/game/sound.ts ; fichier distinct ne vaut pas texture ni proportions 1:1 ; heures non journalisées</x:v>
      </x:c>
    </x:row>
    <x:row r="543" ht="31" customHeight="1">
      <x:c r="A543" s="22" t="str">
        <x:v>phg-captured</x:v>
      </x:c>
      <x:c r="B543" s="22" t="str">
        <x:v>phg-captured-HUD</x:v>
      </x:c>
      <x:c r="C543" s="22" t="str">
        <x:v>Palette / projection</x:v>
      </x:c>
      <x:c r="D543" s="24" t="str">
        <x:v>UI 2D/3D cohérente avec la carte</x:v>
      </x:c>
      <x:c r="E543" s="22" t="str">
        <x:v>P2</x:v>
      </x:c>
      <x:c r="F543" s="22" t="str">
        <x:v>HUD connecté / simulation intacte ; QA visuelle restante</x:v>
      </x:c>
      <x:c r="G543" s="22" t="n">
        <x:v>3.5</x:v>
      </x:c>
      <x:c r="H543" s="22" t="n">
        <x:v>0</x:v>
      </x:c>
      <x:c r="I543" s="22" t="str">
        <x:v>public/gauntlets/v132/phg-captured/hud.png</x:v>
      </x:c>
      <x:c r="J543" s="22" t="str">
        <x:v>https://predator.illfonic.com/</x:v>
      </x:c>
      <x:c r="K543" s="24" t="str">
        <x:v>Preuve technique : app/game/ClanWarGauntletV131.tsx ; fichier distinct ne vaut pas texture ni proportions 1:1 ; heures non journalisées</x:v>
      </x:c>
    </x:row>
    <x:row r="544" ht="31" customHeight="1">
      <x:c r="A544" s="22" t="str">
        <x:v>phg-captured</x:v>
      </x:c>
      <x:c r="B544" s="22" t="str">
        <x:v>phg-captured-QA</x:v>
      </x:c>
      <x:c r="C544" s="22" t="str">
        <x:v>Comparaisons + tests</x:v>
      </x:c>
      <x:c r="D544" s="24" t="str">
        <x:v>Pivots, alpha, mobile, focus, 3 vues</x:v>
      </x:c>
      <x:c r="E544" s="22" t="str">
        <x:v>P2</x:v>
      </x:c>
      <x:c r="F544" s="22" t="str">
        <x:v>Tests CI source / alpha / type / navigateur autonome ; 1:1 restant</x:v>
      </x:c>
      <x:c r="G544" s="22" t="n">
        <x:v>4</x:v>
      </x:c>
      <x:c r="H544" s="22" t="n">
        <x:v>0</x:v>
      </x:c>
      <x:c r="I544" s="22" t="str">
        <x:v>public/gauntlets/v132/phg-captured/qa.png</x:v>
      </x:c>
      <x:c r="J544" s="22" t="str">
        <x:v>https://predator.illfonic.com/</x:v>
      </x:c>
      <x:c r="K544" s="24" t="str">
        <x:v>Preuve technique : tests/gauntlet-archive-studies-v136.test.mjs ; fichier distinct ne vaut pas texture ni proportions 1:1 ; heures non journalisées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5a3de2391284f4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39" hidden="0" customWidth="1"/>
    <x:col min="4" max="4" width="51" hidden="0" customWidth="1"/>
    <x:col min="5" max="5" width="12" hidden="0" customWidth="1"/>
    <x:col min="6" max="6" width="23" hidden="0" customWidth="1"/>
    <x:col min="7" max="7" width="29" hidden="0" customWidth="1"/>
    <x:col min="8" max="8" width="17" hidden="0" customWidth="1"/>
    <x:col min="9" max="9" width="16" hidden="0" customWidth="1"/>
    <x:col min="10" max="10" width="56" hidden="0" customWidth="1"/>
    <x:col min="11" max="11" width="18" hidden="0" customWidth="1"/>
    <x:col min="12" max="12" width="43" hidden="0" customWidth="1"/>
  </x:cols>
  <x:sheetData>
    <x:row r="1" ht="38" customHeight="1">
      <x:c r="A1" s="4" t="str">
        <x:v>CHENIL DE PRODUCTION · ARSENAL V132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Chaque tâche distingue code disponible, réalisation artistique, test en jeu et acceptation 1:1. Durées = hypothèses de planning, pas mesures réelles.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ID</x:v>
      </x:c>
      <x:c r="B4" s="17" t="str">
        <x:v>Domaine</x:v>
      </x:c>
      <x:c r="C4" s="17" t="str">
        <x:v>Tâche</x:v>
      </x:c>
      <x:c r="D4" s="17" t="str">
        <x:v>Critère d'acceptation</x:v>
      </x:c>
      <x:c r="E4" s="17" t="str">
        <x:v>Prio</x:v>
      </x:c>
      <x:c r="F4" s="17" t="str">
        <x:v>Discipline</x:v>
      </x:c>
      <x:c r="G4" s="17" t="str">
        <x:v>État</x:v>
      </x:c>
      <x:c r="H4" s="17" t="str">
        <x:v>Estimation h</x:v>
      </x:c>
      <x:c r="I4" s="17" t="str">
        <x:v>Réalisé h</x:v>
      </x:c>
      <x:c r="J4" s="17" t="str">
        <x:v>Branche / PR</x:v>
      </x:c>
      <x:c r="K4" s="17" t="str">
        <x:v>Code existant</x:v>
      </x:c>
      <x:c r="L4" s="17" t="str">
        <x:v>Réserve</x:v>
      </x:c>
    </x:row>
    <x:row r="5" ht="30" customHeight="1">
      <x:c r="A5" s="22" t="str">
        <x:v>R01</x:v>
      </x:c>
      <x:c r="B5" s="22" t="str">
        <x:v>Références</x:v>
      </x:c>
      <x:c r="C5" s="24" t="str">
        <x:v>Comparer 1987 prop + film + NECA</x:v>
      </x:c>
      <x:c r="D5" s="24" t="str">
        <x:v>Retenir captures dossier avec 3 angles</x:v>
      </x:c>
      <x:c r="E5" s="22" t="str">
        <x:v>P0</x:v>
      </x:c>
      <x:c r="F5" s="22" t="str">
        <x:v>Direction artistique</x:v>
      </x:c>
      <x:c r="G5" s="22" t="str">
        <x:v>Ouvert · références ou contenu canonique manquants</x:v>
      </x:c>
      <x:c r="H5" s="22" t="n">
        <x:v>5</x:v>
      </x:c>
      <x:c r="I5" s="22" t="n">
        <x:v>0</x:v>
      </x:c>
      <x:c r="J5" s="22" t="str">
        <x:v>PR #42 · 41196187434</x:v>
      </x:c>
      <x:c r="K5" s="22" t="str">
        <x:v>Non</x:v>
      </x:c>
      <x:c r="L5" s="24" t="str">
        <x:v>Le code présent ne vaut pas validation artistique</x:v>
      </x:c>
    </x:row>
    <x:row r="6" ht="30" customHeight="1">
      <x:c r="A6" s="22" t="str">
        <x:v>R02</x:v>
      </x:c>
      <x:c r="B6" s="22" t="str">
        <x:v>Références</x:v>
      </x:c>
      <x:c r="C6" s="24" t="str">
        <x:v>Inventorier 1990 City Hunter + Greyback</x:v>
      </x:c>
      <x:c r="D6" s="24" t="str">
        <x:v>Établir les vues utilisables des ordinateurs de poignet</x:v>
      </x:c>
      <x:c r="E6" s="22" t="str">
        <x:v>P1</x:v>
      </x:c>
      <x:c r="F6" s="22" t="str">
        <x:v>Références</x:v>
      </x:c>
      <x:c r="G6" s="22" t="str">
        <x:v>Partiel · prototype / preuve technique, finition ouverte</x:v>
      </x:c>
      <x:c r="H6" s="22" t="n">
        <x:v>4</x:v>
      </x:c>
      <x:c r="I6" s="22" t="n">
        <x:v>0</x:v>
      </x:c>
      <x:c r="J6" s="22" t="str">
        <x:v>PR #42 · 41196187434</x:v>
      </x:c>
      <x:c r="K6" s="22" t="str">
        <x:v>Partiellement · consulter backlog et rapport V137</x:v>
      </x:c>
      <x:c r="L6" s="24" t="str">
        <x:v>Le code présent ne vaut pas validation artistique</x:v>
      </x:c>
    </x:row>
    <x:row r="7" ht="30" customHeight="1">
      <x:c r="A7" s="22" t="str">
        <x:v>R03</x:v>
      </x:c>
      <x:c r="B7" s="22" t="str">
        <x:v>Références</x:v>
      </x:c>
      <x:c r="C7" s="24" t="str">
        <x:v>Séparer ordinateur de poignet et wristblades</x:v>
      </x:c>
      <x:c r="D7" s="24" t="str">
        <x:v>Étiquettes et pièces indépendantes sans confusion</x:v>
      </x:c>
      <x:c r="E7" s="22" t="str">
        <x:v>P0</x:v>
      </x:c>
      <x:c r="F7" s="22" t="str">
        <x:v>Direction artistique</x:v>
      </x:c>
      <x:c r="G7" s="22" t="str">
        <x:v>Partiel · prototype / preuve technique, finition ouverte</x:v>
      </x:c>
      <x:c r="H7" s="22" t="n">
        <x:v>2</x:v>
      </x:c>
      <x:c r="I7" s="22" t="n">
        <x:v>0</x:v>
      </x:c>
      <x:c r="J7" s="22" t="str">
        <x:v>PR #42 · 41196187434</x:v>
      </x:c>
      <x:c r="K7" s="22" t="str">
        <x:v>Partiellement · consulter backlog et rapport V137</x:v>
      </x:c>
      <x:c r="L7" s="24" t="str">
        <x:v>Le code présent ne vaut pas validation artistique</x:v>
      </x:c>
    </x:row>
    <x:row r="8" ht="30" customHeight="1">
      <x:c r="A8" s="22" t="str">
        <x:v>R04</x:v>
      </x:c>
      <x:c r="B8" s="22" t="str">
        <x:v>Références</x:v>
      </x:c>
      <x:c r="C8" s="24" t="str">
        <x:v>Relever Scar / Celtic / Chopper</x:v>
      </x:c>
      <x:c r="D8" s="24" t="str">
        <x:v>Au moins deux vues par propriétaire avant 1:1</x:v>
      </x:c>
      <x:c r="E8" s="22" t="str">
        <x:v>P1</x:v>
      </x:c>
      <x:c r="F8" s="22" t="str">
        <x:v>Références</x:v>
      </x:c>
      <x:c r="G8" s="22" t="str">
        <x:v>Ouvert · références ou contenu canonique manquants</x:v>
      </x:c>
      <x:c r="H8" s="22" t="n">
        <x:v>5</x:v>
      </x:c>
      <x:c r="I8" s="22" t="n">
        <x:v>0</x:v>
      </x:c>
      <x:c r="J8" s="22" t="str">
        <x:v>PR #42 · 41196187434</x:v>
      </x:c>
      <x:c r="K8" s="22" t="str">
        <x:v>Non</x:v>
      </x:c>
      <x:c r="L8" s="24" t="str">
        <x:v>Le code présent ne vaut pas validation artistique</x:v>
      </x:c>
    </x:row>
    <x:row r="9" ht="30" customHeight="1">
      <x:c r="A9" s="22" t="str">
        <x:v>R05</x:v>
      </x:c>
      <x:c r="B9" s="22" t="str">
        <x:v>Références</x:v>
      </x:c>
      <x:c r="C9" s="24" t="str">
        <x:v>Relever Wolf 2007</x:v>
      </x:c>
      <x:c r="D9" s="24" t="str">
        <x:v>Identifier bras gauche et emplacements réels</x:v>
      </x:c>
      <x:c r="E9" s="22" t="str">
        <x:v>P1</x:v>
      </x:c>
      <x:c r="F9" s="22" t="str">
        <x:v>Références</x:v>
      </x:c>
      <x:c r="G9" s="22" t="str">
        <x:v>Partiel · prototype / preuve technique, finition ouverte</x:v>
      </x:c>
      <x:c r="H9" s="22" t="n">
        <x:v>4</x:v>
      </x:c>
      <x:c r="I9" s="22" t="n">
        <x:v>0</x:v>
      </x:c>
      <x:c r="J9" s="22" t="str">
        <x:v>PR #42 · 41196187434</x:v>
      </x:c>
      <x:c r="K9" s="22" t="str">
        <x:v>Partiellement · consulter backlog et rapport V137</x:v>
      </x:c>
      <x:c r="L9" s="24" t="str">
        <x:v>Le code présent ne vaut pas validation artistique</x:v>
      </x:c>
    </x:row>
    <x:row r="10" ht="30" customHeight="1">
      <x:c r="A10" s="22" t="str">
        <x:v>R06</x:v>
      </x:c>
      <x:c r="B10" s="22" t="str">
        <x:v>Références</x:v>
      </x:c>
      <x:c r="C10" s="24" t="str">
        <x:v>Relever Predators 2010 (4 modèles)</x:v>
      </x:c>
      <x:c r="D10" s="24" t="str">
        <x:v>Ne pas dupliquer sans preuves de géométrie</x:v>
      </x:c>
      <x:c r="E10" s="22" t="str">
        <x:v>P1</x:v>
      </x:c>
      <x:c r="F10" s="22" t="str">
        <x:v>Références</x:v>
      </x:c>
      <x:c r="G10" s="22" t="str">
        <x:v>Ouvert · références ou contenu canonique manquants</x:v>
      </x:c>
      <x:c r="H10" s="22" t="n">
        <x:v>5</x:v>
      </x:c>
      <x:c r="I10" s="22" t="n">
        <x:v>0</x:v>
      </x:c>
      <x:c r="J10" s="22" t="str">
        <x:v>PR #42 · 41196187434</x:v>
      </x:c>
      <x:c r="K10" s="22" t="str">
        <x:v>Non</x:v>
      </x:c>
      <x:c r="L10" s="24" t="str">
        <x:v>Le code présent ne vaut pas validation artistique</x:v>
      </x:c>
    </x:row>
    <x:row r="11" ht="30" customHeight="1">
      <x:c r="A11" s="22" t="str">
        <x:v>R07</x:v>
      </x:c>
      <x:c r="B11" s="22" t="str">
        <x:v>Références</x:v>
      </x:c>
      <x:c r="C11" s="24" t="str">
        <x:v>Relever Fugitive / Assassin</x:v>
      </x:c>
      <x:c r="D11" s="24" t="str">
        <x:v>Établir fiches distinctes des films 2018</x:v>
      </x:c>
      <x:c r="E11" s="22" t="str">
        <x:v>P2</x:v>
      </x:c>
      <x:c r="F11" s="22" t="str">
        <x:v>Références</x:v>
      </x:c>
      <x:c r="G11" s="22" t="str">
        <x:v>Ouvert · références ou contenu canonique manquants</x:v>
      </x:c>
      <x:c r="H11" s="22" t="n">
        <x:v>3</x:v>
      </x:c>
      <x:c r="I11" s="22" t="n">
        <x:v>0</x:v>
      </x:c>
      <x:c r="J11" s="22" t="str">
        <x:v>PR #42 · 41196187434</x:v>
      </x:c>
      <x:c r="K11" s="22" t="str">
        <x:v>Non</x:v>
      </x:c>
      <x:c r="L11" s="24" t="str">
        <x:v>Le code présent ne vaut pas validation artistique</x:v>
      </x:c>
    </x:row>
    <x:row r="12" ht="30" customHeight="1">
      <x:c r="A12" s="22" t="str">
        <x:v>R08</x:v>
      </x:c>
      <x:c r="B12" s="22" t="str">
        <x:v>Références</x:v>
      </x:c>
      <x:c r="C12" s="24" t="str">
        <x:v>Relever Feral Prey</x:v>
      </x:c>
      <x:c r="D12" s="24" t="str">
        <x:v>Os/métal ; distinguer affichage et arme</x:v>
      </x:c>
      <x:c r="E12" s="22" t="str">
        <x:v>P1</x:v>
      </x:c>
      <x:c r="F12" s="22" t="str">
        <x:v>Références</x:v>
      </x:c>
      <x:c r="G12" s="22" t="str">
        <x:v>Partiel · prototype / preuve technique, finition ouverte</x:v>
      </x:c>
      <x:c r="H12" s="22" t="n">
        <x:v>5</x:v>
      </x:c>
      <x:c r="I12" s="22" t="n">
        <x:v>0</x:v>
      </x:c>
      <x:c r="J12" s="22" t="str">
        <x:v>PR #42 · 41196187434</x:v>
      </x:c>
      <x:c r="K12" s="22" t="str">
        <x:v>Partiellement · consulter backlog et rapport V137</x:v>
      </x:c>
      <x:c r="L12" s="24" t="str">
        <x:v>Le code présent ne vaut pas validation artistique</x:v>
      </x:c>
    </x:row>
    <x:row r="13" ht="30" customHeight="1">
      <x:c r="A13" s="22" t="str">
        <x:v>R09</x:v>
      </x:c>
      <x:c r="B13" s="22" t="str">
        <x:v>Références</x:v>
      </x:c>
      <x:c r="C13" s="24" t="str">
        <x:v>Comparer Wētā Dek/Kwei/Njohrr</x:v>
      </x:c>
      <x:c r="D13" s="24" t="str">
        <x:v>Séparer art de studio, costume final et hypothèse</x:v>
      </x:c>
      <x:c r="E13" s="22" t="str">
        <x:v>P1</x:v>
      </x:c>
      <x:c r="F13" s="22" t="str">
        <x:v>Références</x:v>
      </x:c>
      <x:c r="G13" s="22" t="str">
        <x:v>Partiel · prototype / preuve technique, finition ouverte</x:v>
      </x:c>
      <x:c r="H13" s="22" t="n">
        <x:v>4</x:v>
      </x:c>
      <x:c r="I13" s="22" t="n">
        <x:v>0</x:v>
      </x:c>
      <x:c r="J13" s="22" t="str">
        <x:v>PR #42 · 41196187434</x:v>
      </x:c>
      <x:c r="K13" s="22" t="str">
        <x:v>Partiellement · consulter backlog et rapport V137</x:v>
      </x:c>
      <x:c r="L13" s="24" t="str">
        <x:v>Le code présent ne vaut pas validation artistique</x:v>
      </x:c>
    </x:row>
    <x:row r="14" ht="30" customHeight="1">
      <x:c r="A14" s="22" t="str">
        <x:v>R10</x:v>
      </x:c>
      <x:c r="B14" s="22" t="str">
        <x:v>Références</x:v>
      </x:c>
      <x:c r="C14" s="24" t="str">
        <x:v>Référencer Killer of Killers</x:v>
      </x:c>
      <x:c r="D14" s="24" t="str">
        <x:v>Ne pas confondre ses Vikings/Ninjas avec PHG</x:v>
      </x:c>
      <x:c r="E14" s="22" t="str">
        <x:v>P2</x:v>
      </x:c>
      <x:c r="F14" s="22" t="str">
        <x:v>Références</x:v>
      </x:c>
      <x:c r="G14" s="22" t="str">
        <x:v>Ouvert · références ou contenu canonique manquants</x:v>
      </x:c>
      <x:c r="H14" s="22" t="n">
        <x:v>4</x:v>
      </x:c>
      <x:c r="I14" s="22" t="n">
        <x:v>0</x:v>
      </x:c>
      <x:c r="J14" s="22" t="str">
        <x:v>PR #42 · 41196187434</x:v>
      </x:c>
      <x:c r="K14" s="22" t="str">
        <x:v>Non</x:v>
      </x:c>
      <x:c r="L14" s="24" t="str">
        <x:v>Le code présent ne vaut pas validation artistique</x:v>
      </x:c>
    </x:row>
    <x:row r="15" ht="30" customHeight="1">
      <x:c r="A15" s="22" t="str">
        <x:v>R11</x:v>
      </x:c>
      <x:c r="B15" s="22" t="str">
        <x:v>Références</x:v>
      </x:c>
      <x:c r="C15" s="24" t="str">
        <x:v>Référencer PHG base/DLC/MAJ</x:v>
      </x:c>
      <x:c r="D15" s="24" t="str">
        <x:v>Nom et apparence des 20 classes vérifiés</x:v>
      </x:c>
      <x:c r="E15" s="22" t="str">
        <x:v>P1</x:v>
      </x:c>
      <x:c r="F15" s="22" t="str">
        <x:v>Références</x:v>
      </x:c>
      <x:c r="G15" s="22" t="str">
        <x:v>Ouvert · références ou contenu canonique manquants</x:v>
      </x:c>
      <x:c r="H15" s="22" t="n">
        <x:v>6</x:v>
      </x:c>
      <x:c r="I15" s="22" t="n">
        <x:v>0</x:v>
      </x:c>
      <x:c r="J15" s="22" t="str">
        <x:v>PR #42 · 41196187434</x:v>
      </x:c>
      <x:c r="K15" s="22" t="str">
        <x:v>Non</x:v>
      </x:c>
      <x:c r="L15" s="24" t="str">
        <x:v>Le code présent ne vaut pas validation artistique</x:v>
      </x:c>
    </x:row>
    <x:row r="16" ht="30" customHeight="1">
      <x:c r="A16" s="22" t="str">
        <x:v>R12</x:v>
      </x:c>
      <x:c r="B16" s="22" t="str">
        <x:v>Références</x:v>
      </x:c>
      <x:c r="C16" s="24" t="str">
        <x:v>Identifier grands noms comics/jeux</x:v>
      </x:c>
      <x:c r="D16" s="24" t="str">
        <x:v>Aucun personnage présenté comme gauntlet certifié</x:v>
      </x:c>
      <x:c r="E16" s="22" t="str">
        <x:v>P2</x:v>
      </x:c>
      <x:c r="F16" s="22" t="str">
        <x:v>Références</x:v>
      </x:c>
      <x:c r="G16" s="22" t="str">
        <x:v>Ouvert · références ou contenu canonique manquants</x:v>
      </x:c>
      <x:c r="H16" s="22" t="n">
        <x:v>6</x:v>
      </x:c>
      <x:c r="I16" s="22" t="n">
        <x:v>0</x:v>
      </x:c>
      <x:c r="J16" s="22" t="str">
        <x:v>PR #42 · 41196187434</x:v>
      </x:c>
      <x:c r="K16" s="22" t="str">
        <x:v>Non</x:v>
      </x:c>
      <x:c r="L16" s="24" t="str">
        <x:v>Le code présent ne vaut pas validation artistique</x:v>
      </x:c>
    </x:row>
    <x:row r="17" ht="30" customHeight="1">
      <x:c r="A17" s="22" t="str">
        <x:v>I01</x:v>
      </x:c>
      <x:c r="B17" s="22" t="str">
        <x:v>Moteur UI</x:v>
      </x:c>
      <x:c r="C17" s="24" t="str">
        <x:v>Intégrer catalogue V132</x:v>
      </x:c>
      <x:c r="D17" s="24" t="str">
        <x:v>54 IDs uniques et sourceURL contrôlée</x:v>
      </x:c>
      <x:c r="E17" s="22" t="str">
        <x:v>P0</x:v>
      </x:c>
      <x:c r="F17" s="22" t="str">
        <x:v>Tech</x:v>
      </x:c>
      <x:c r="G17" s="22" t="str">
        <x:v>Code couvert · CI ciblée PASS ; validation artistique éventuelle ouverte</x:v>
      </x:c>
      <x:c r="H17" s="22" t="n">
        <x:v>3</x:v>
      </x:c>
      <x:c r="I17" s="22" t="n">
        <x:v>0</x:v>
      </x:c>
      <x:c r="J17" s="22" t="str">
        <x:v>PR #42 · 41196187434</x:v>
      </x:c>
      <x:c r="K17" s="22" t="str">
        <x:v>Oui · PR #42, tests ciblés V131–V137</x:v>
      </x:c>
      <x:c r="L17" s="24" t="str">
        <x:v>Le code présent ne vaut pas validation artistique</x:v>
      </x:c>
    </x:row>
    <x:row r="18" ht="30" customHeight="1">
      <x:c r="A18" s="22" t="str">
        <x:v>I02</x:v>
      </x:c>
      <x:c r="B18" s="22" t="str">
        <x:v>Moteur UI</x:v>
      </x:c>
      <x:c r="C18" s="24" t="str">
        <x:v>Deux vues communes V131</x:v>
      </x:c>
      <x:c r="D18" s="24" t="str">
        <x:v>Un seul Atlas V95 monté</x:v>
      </x:c>
      <x:c r="E18" s="22" t="str">
        <x:v>P0</x:v>
      </x:c>
      <x:c r="F18" s="22" t="str">
        <x:v>Tech</x:v>
      </x:c>
      <x:c r="G18" s="22" t="str">
        <x:v>Code couvert · CI ciblée PASS ; validation artistique éventuelle ouverte</x:v>
      </x:c>
      <x:c r="H18" s="22" t="n">
        <x:v>3</x:v>
      </x:c>
      <x:c r="I18" s="22" t="n">
        <x:v>0</x:v>
      </x:c>
      <x:c r="J18" s="22" t="str">
        <x:v>PR #42 · 41196187434</x:v>
      </x:c>
      <x:c r="K18" s="22" t="str">
        <x:v>Oui · PR #42, tests ciblés V131–V137</x:v>
      </x:c>
      <x:c r="L18" s="24" t="str">
        <x:v>Le code présent ne vaut pas validation artistique</x:v>
      </x:c>
    </x:row>
    <x:row r="19" ht="30" customHeight="1">
      <x:c r="A19" s="22" t="str">
        <x:v>I03</x:v>
      </x:c>
      <x:c r="B19" s="22" t="str">
        <x:v>Moteur UI</x:v>
      </x:c>
      <x:c r="C19" s="24" t="str">
        <x:v>Conserver zoom/rotation et filtres</x:v>
      </x:c>
      <x:c r="D19" s="24" t="str">
        <x:v>Bascule sans remonter la carte</x:v>
      </x:c>
      <x:c r="E19" s="22" t="str">
        <x:v>P0</x:v>
      </x:c>
      <x:c r="F19" s="22" t="str">
        <x:v>Tech</x:v>
      </x:c>
      <x:c r="G19" s="22" t="str">
        <x:v>Code couvert · CI ciblée PASS ; validation artistique éventuelle ouverte</x:v>
      </x:c>
      <x:c r="H19" s="22" t="n">
        <x:v>3</x:v>
      </x:c>
      <x:c r="I19" s="22" t="n">
        <x:v>0</x:v>
      </x:c>
      <x:c r="J19" s="22" t="str">
        <x:v>PR #42 · 41196187434</x:v>
      </x:c>
      <x:c r="K19" s="22" t="str">
        <x:v>Oui · PR #42, tests ciblés V131–V137</x:v>
      </x:c>
      <x:c r="L19" s="24" t="str">
        <x:v>Le code présent ne vaut pas validation artistique</x:v>
      </x:c>
    </x:row>
    <x:row r="20" ht="30" customHeight="1">
      <x:c r="A20" s="22" t="str">
        <x:v>I04</x:v>
      </x:c>
      <x:c r="B20" s="22" t="str">
        <x:v>Moteur UI</x:v>
      </x:c>
      <x:c r="C20" s="24" t="str">
        <x:v>Armurerie recherche 54 pièces</x:v>
      </x:c>
      <x:c r="D20" s="24" t="str">
        <x:v>Filtres et pagination accessibles</x:v>
      </x:c>
      <x:c r="E20" s="22" t="str">
        <x:v>P0</x:v>
      </x:c>
      <x:c r="F20" s="22" t="str">
        <x:v>Tech</x:v>
      </x:c>
      <x:c r="G20" s="22" t="str">
        <x:v>Code couvert · CI ciblée PASS ; validation artistique éventuelle ouverte</x:v>
      </x:c>
      <x:c r="H20" s="22" t="n">
        <x:v>4</x:v>
      </x:c>
      <x:c r="I20" s="22" t="n">
        <x:v>0</x:v>
      </x:c>
      <x:c r="J20" s="22" t="str">
        <x:v>PR #42 · 41196187434</x:v>
      </x:c>
      <x:c r="K20" s="22" t="str">
        <x:v>Oui · PR #42, tests ciblés V131–V137</x:v>
      </x:c>
      <x:c r="L20" s="24" t="str">
        <x:v>Le code présent ne vaut pas validation artistique</x:v>
      </x:c>
    </x:row>
    <x:row r="21" ht="30" customHeight="1">
      <x:c r="A21" s="22" t="str">
        <x:v>I05</x:v>
      </x:c>
      <x:c r="B21" s="22" t="str">
        <x:v>Moteur UI</x:v>
      </x:c>
      <x:c r="C21" s="24" t="str">
        <x:v>Prévisualisation des modèles verrouillés</x:v>
      </x:c>
      <x:c r="D21" s="24" t="str">
        <x:v>Lire les fiches sans pouvoir équiper</x:v>
      </x:c>
      <x:c r="E21" s="22" t="str">
        <x:v>P1</x:v>
      </x:c>
      <x:c r="F21" s="22" t="str">
        <x:v>Tech</x:v>
      </x:c>
      <x:c r="G21" s="22" t="str">
        <x:v>Code couvert · CI ciblée PASS ; validation artistique éventuelle ouverte</x:v>
      </x:c>
      <x:c r="H21" s="22" t="n">
        <x:v>2</x:v>
      </x:c>
      <x:c r="I21" s="22" t="n">
        <x:v>0</x:v>
      </x:c>
      <x:c r="J21" s="22" t="str">
        <x:v>PR #42 · 41196187434</x:v>
      </x:c>
      <x:c r="K21" s="22" t="str">
        <x:v>Oui · PR #42, tests ciblés V131–V137</x:v>
      </x:c>
      <x:c r="L21" s="24" t="str">
        <x:v>Le code présent ne vaut pas validation artistique</x:v>
      </x:c>
    </x:row>
    <x:row r="22" ht="30" customHeight="1">
      <x:c r="A22" s="22" t="str">
        <x:v>I06</x:v>
      </x:c>
      <x:c r="B22" s="22" t="str">
        <x:v>Moteur UI</x:v>
      </x:c>
      <x:c r="C22" s="24" t="str">
        <x:v>Rendre palette de la gauntlet équipée</x:v>
      </x:c>
      <x:c r="D22" s="24" t="str">
        <x:v>CSS variables et contraste</x:v>
      </x:c>
      <x:c r="E22" s="22" t="str">
        <x:v>P0</x:v>
      </x:c>
      <x:c r="F22" s="22" t="str">
        <x:v>Tech</x:v>
      </x:c>
      <x:c r="G22" s="22" t="str">
        <x:v>Code couvert · CI ciblée PASS ; validation artistique éventuelle ouverte</x:v>
      </x:c>
      <x:c r="H22" s="22" t="n">
        <x:v>3</x:v>
      </x:c>
      <x:c r="I22" s="22" t="n">
        <x:v>0</x:v>
      </x:c>
      <x:c r="J22" s="22" t="str">
        <x:v>PR #42 · 41196187434</x:v>
      </x:c>
      <x:c r="K22" s="22" t="str">
        <x:v>Oui · PR #42, tests ciblés V131–V137</x:v>
      </x:c>
      <x:c r="L22" s="24" t="str">
        <x:v>Le code présent ne vaut pas validation artistique</x:v>
      </x:c>
    </x:row>
    <x:row r="23" ht="30" customHeight="1">
      <x:c r="A23" s="22" t="str">
        <x:v>I07</x:v>
      </x:c>
      <x:c r="B23" s="22" t="str">
        <x:v>Moteur UI</x:v>
      </x:c>
      <x:c r="C23" s="24" t="str">
        <x:v>Lier télémétrie à simulation réelle</x:v>
      </x:c>
      <x:c r="D23" s="24" t="str">
        <x:v>Ne jamais exposer du renseignement caché</x:v>
      </x:c>
      <x:c r="E23" s="22" t="str">
        <x:v>P0</x:v>
      </x:c>
      <x:c r="F23" s="22" t="str">
        <x:v>Tech</x:v>
      </x:c>
      <x:c r="G23" s="22" t="str">
        <x:v>Code couvert · CI ciblée PASS ; validation artistique éventuelle ouverte</x:v>
      </x:c>
      <x:c r="H23" s="22" t="n">
        <x:v>3</x:v>
      </x:c>
      <x:c r="I23" s="22" t="n">
        <x:v>0</x:v>
      </x:c>
      <x:c r="J23" s="22" t="str">
        <x:v>PR #42 · 41196187434</x:v>
      </x:c>
      <x:c r="K23" s="22" t="str">
        <x:v>Oui · PR #42, tests ciblés V131–V137</x:v>
      </x:c>
      <x:c r="L23" s="24" t="str">
        <x:v>Le code présent ne vaut pas validation artistique</x:v>
      </x:c>
    </x:row>
    <x:row r="24" ht="30" customHeight="1">
      <x:c r="A24" s="22" t="str">
        <x:v>I08</x:v>
      </x:c>
      <x:c r="B24" s="22" t="str">
        <x:v>Moteur UI</x:v>
      </x:c>
      <x:c r="C24" s="24" t="str">
        <x:v>Restreindre effets B aux HUD</x:v>
      </x:c>
      <x:c r="D24" s="24" t="str">
        <x:v>Aucun changement de dégâts/coûts/rang</x:v>
      </x:c>
      <x:c r="E24" s="22" t="str">
        <x:v>P0</x:v>
      </x:c>
      <x:c r="F24" s="22" t="str">
        <x:v>Game balance</x:v>
      </x:c>
      <x:c r="G24" s="22" t="str">
        <x:v>Code couvert · CI ciblée PASS ; validation artistique éventuelle ouverte</x:v>
      </x:c>
      <x:c r="H24" s="22" t="n">
        <x:v>3</x:v>
      </x:c>
      <x:c r="I24" s="22" t="n">
        <x:v>0</x:v>
      </x:c>
      <x:c r="J24" s="22" t="str">
        <x:v>PR #42 · 41196187434</x:v>
      </x:c>
      <x:c r="K24" s="22" t="str">
        <x:v>Oui · PR #42, tests ciblés V131–V137</x:v>
      </x:c>
      <x:c r="L24" s="24" t="str">
        <x:v>Le code présent ne vaut pas validation artistique</x:v>
      </x:c>
    </x:row>
    <x:row r="25" ht="30" customHeight="1">
      <x:c r="A25" s="22" t="str">
        <x:v>I09</x:v>
      </x:c>
      <x:c r="B25" s="22" t="str">
        <x:v>Moteur UI</x:v>
      </x:c>
      <x:c r="C25" s="24" t="str">
        <x:v>Produire animation d'ouverture propre</x:v>
      </x:c>
      <x:c r="D25" s="24" t="str">
        <x:v>Pose/charnière alignées au gauntlet</x:v>
      </x:c>
      <x:c r="E25" s="22" t="str">
        <x:v>P1</x:v>
      </x:c>
      <x:c r="F25" s="22" t="str">
        <x:v>Animation</x:v>
      </x:c>
      <x:c r="G25" s="22" t="str">
        <x:v>Partiel · prototype / preuve technique, finition ouverte</x:v>
      </x:c>
      <x:c r="H25" s="22" t="n">
        <x:v>6</x:v>
      </x:c>
      <x:c r="I25" s="22" t="n">
        <x:v>0</x:v>
      </x:c>
      <x:c r="J25" s="22" t="str">
        <x:v>PR #42 · 41196187434</x:v>
      </x:c>
      <x:c r="K25" s="22" t="str">
        <x:v>Partiellement · consulter backlog et rapport V137</x:v>
      </x:c>
      <x:c r="L25" s="24" t="str">
        <x:v>Le code présent ne vaut pas validation artistique</x:v>
      </x:c>
    </x:row>
    <x:row r="26" ht="30" customHeight="1">
      <x:c r="A26" s="22" t="str">
        <x:v>I10</x:v>
      </x:c>
      <x:c r="B26" s="22" t="str">
        <x:v>Moteur UI</x:v>
      </x:c>
      <x:c r="C26" s="24" t="str">
        <x:v>Produire animation de fermeture propre</x:v>
      </x:c>
      <x:c r="D26" s="24" t="str">
        <x:v>Transitions réversibles</x:v>
      </x:c>
      <x:c r="E26" s="22" t="str">
        <x:v>P1</x:v>
      </x:c>
      <x:c r="F26" s="22" t="str">
        <x:v>Animation</x:v>
      </x:c>
      <x:c r="G26" s="22" t="str">
        <x:v>Partiel · prototype / preuve technique, finition ouverte</x:v>
      </x:c>
      <x:c r="H26" s="22" t="n">
        <x:v>4</x:v>
      </x:c>
      <x:c r="I26" s="22" t="n">
        <x:v>0</x:v>
      </x:c>
      <x:c r="J26" s="22" t="str">
        <x:v>PR #42 · 41196187434</x:v>
      </x:c>
      <x:c r="K26" s="22" t="str">
        <x:v>Partiellement · consulter backlog et rapport V137</x:v>
      </x:c>
      <x:c r="L26" s="24" t="str">
        <x:v>Le code présent ne vaut pas validation artistique</x:v>
      </x:c>
    </x:row>
    <x:row r="27" ht="30" customHeight="1">
      <x:c r="A27" s="22" t="str">
        <x:v>I11</x:v>
      </x:c>
      <x:c r="B27" s="22" t="str">
        <x:v>Moteur UI</x:v>
      </x:c>
      <x:c r="C27" s="24" t="str">
        <x:v>Rendu globo / atlas sous faisceau</x:v>
      </x:c>
      <x:c r="D27" s="24" t="str">
        <x:v>Carte provenant de la même simulation</x:v>
      </x:c>
      <x:c r="E27" s="22" t="str">
        <x:v>P0</x:v>
      </x:c>
      <x:c r="F27" s="22" t="str">
        <x:v>Tech</x:v>
      </x:c>
      <x:c r="G27" s="22" t="str">
        <x:v>Partiel · prototype / preuve technique, finition ouverte</x:v>
      </x:c>
      <x:c r="H27" s="22" t="n">
        <x:v>5</x:v>
      </x:c>
      <x:c r="I27" s="22" t="n">
        <x:v>0</x:v>
      </x:c>
      <x:c r="J27" s="22" t="str">
        <x:v>PR #42 · 41196187434</x:v>
      </x:c>
      <x:c r="K27" s="22" t="str">
        <x:v>Partiellement · consulter backlog et rapport V137</x:v>
      </x:c>
      <x:c r="L27" s="24" t="str">
        <x:v>Le code présent ne vaut pas validation artistique</x:v>
      </x:c>
    </x:row>
    <x:row r="28" ht="30" customHeight="1">
      <x:c r="A28" s="22" t="str">
        <x:v>I12</x:v>
      </x:c>
      <x:c r="B28" s="22" t="str">
        <x:v>Moteur UI</x:v>
      </x:c>
      <x:c r="C28" s="24" t="str">
        <x:v>Distinguer caméra personnage et écran de guerre</x:v>
      </x:c>
      <x:c r="D28" s="24" t="str">
        <x:v>Ouverture depuis Homeworld/chasse sans retcon</x:v>
      </x:c>
      <x:c r="E28" s="22" t="str">
        <x:v>P1</x:v>
      </x:c>
      <x:c r="F28" s="22" t="str">
        <x:v>Level design</x:v>
      </x:c>
      <x:c r="G28" s="22" t="str">
        <x:v>Partiel · prototype / preuve technique, finition ouverte</x:v>
      </x:c>
      <x:c r="H28" s="22" t="n">
        <x:v>4</x:v>
      </x:c>
      <x:c r="I28" s="22" t="n">
        <x:v>0</x:v>
      </x:c>
      <x:c r="J28" s="22" t="str">
        <x:v>PR #42 · 41196187434</x:v>
      </x:c>
      <x:c r="K28" s="22" t="str">
        <x:v>Partiellement · consulter backlog et rapport V137</x:v>
      </x:c>
      <x:c r="L28" s="24" t="str">
        <x:v>Le code présent ne vaut pas validation artistique</x:v>
      </x:c>
    </x:row>
    <x:row r="29" ht="30" customHeight="1">
      <x:c r="A29" s="22" t="str">
        <x:v>I13</x:v>
      </x:c>
      <x:c r="B29" s="22" t="str">
        <x:v>Moteur UI</x:v>
      </x:c>
      <x:c r="C29" s="24" t="str">
        <x:v>Intégrer accès menu Équipement global</x:v>
      </x:c>
      <x:c r="D29" s="24" t="str">
        <x:v>Menu futur lié à SaveGame ou registre protégé</x:v>
      </x:c>
      <x:c r="E29" s="22" t="str">
        <x:v>P1</x:v>
      </x:c>
      <x:c r="F29" s="22" t="str">
        <x:v>Game UI</x:v>
      </x:c>
      <x:c r="G29" s="22" t="str">
        <x:v>Code couvert · CI ciblée PASS ; validation artistique éventuelle ouverte</x:v>
      </x:c>
      <x:c r="H29" s="22" t="n">
        <x:v>6</x:v>
      </x:c>
      <x:c r="I29" s="22" t="n">
        <x:v>0</x:v>
      </x:c>
      <x:c r="J29" s="22" t="str">
        <x:v>PR #42 · 41196187434</x:v>
      </x:c>
      <x:c r="K29" s="22" t="str">
        <x:v>Oui · PR #42, tests ciblés V131–V137</x:v>
      </x:c>
      <x:c r="L29" s="24" t="str">
        <x:v>Le code présent ne vaut pas validation artistique</x:v>
      </x:c>
    </x:row>
    <x:row r="30" ht="30" customHeight="1">
      <x:c r="A30" s="22" t="str">
        <x:v>I14</x:v>
      </x:c>
      <x:c r="B30" s="22" t="str">
        <x:v>Moteur UI</x:v>
      </x:c>
      <x:c r="C30" s="24" t="str">
        <x:v>Prévoir modèle facialement différent</x:v>
      </x:c>
      <x:c r="D30" s="24" t="str">
        <x:v>Assets spécifiques, pas simple recoloration</x:v>
      </x:c>
      <x:c r="E30" s="22" t="str">
        <x:v>P1</x:v>
      </x:c>
      <x:c r="F30" s="22" t="str">
        <x:v>Art</x:v>
      </x:c>
      <x:c r="G30" s="22" t="str">
        <x:v>Partiel · prototype / preuve technique, finition ouverte</x:v>
      </x:c>
      <x:c r="H30" s="22" t="n">
        <x:v>7</x:v>
      </x:c>
      <x:c r="I30" s="22" t="n">
        <x:v>0</x:v>
      </x:c>
      <x:c r="J30" s="22" t="str">
        <x:v>PR #42 · 41196187434</x:v>
      </x:c>
      <x:c r="K30" s="22" t="str">
        <x:v>Partiellement · consulter backlog et rapport V137</x:v>
      </x:c>
      <x:c r="L30" s="24" t="str">
        <x:v>Le code présent ne vaut pas validation artistique</x:v>
      </x:c>
    </x:row>
    <x:row r="31" ht="30" customHeight="1">
      <x:c r="A31" s="22" t="str">
        <x:v>S01</x:v>
      </x:c>
      <x:c r="B31" s="22" t="str">
        <x:v>Sauvegarde</x:v>
      </x:c>
      <x:c r="C31" s="24" t="str">
        <x:v>Propriétaire du gauntlet = save.createdAt</x:v>
      </x:c>
      <x:c r="D31" s="24" t="str">
        <x:v>Pas d'équipement interprofils</x:v>
      </x:c>
      <x:c r="E31" s="22" t="str">
        <x:v>P0</x:v>
      </x:c>
      <x:c r="F31" s="22" t="str">
        <x:v>Persistence</x:v>
      </x:c>
      <x:c r="G31" s="22" t="str">
        <x:v>Code couvert · CI ciblée PASS ; validation artistique éventuelle ouverte</x:v>
      </x:c>
      <x:c r="H31" s="22" t="n">
        <x:v>3</x:v>
      </x:c>
      <x:c r="I31" s="22" t="n">
        <x:v>0</x:v>
      </x:c>
      <x:c r="J31" s="22" t="str">
        <x:v>PR #42 · 41196187434</x:v>
      </x:c>
      <x:c r="K31" s="22" t="str">
        <x:v>Oui · PR #42, tests ciblés V131–V137</x:v>
      </x:c>
      <x:c r="L31" s="24" t="str">
        <x:v>Le code présent ne vaut pas validation artistique</x:v>
      </x:c>
    </x:row>
    <x:row r="32" ht="30" customHeight="1">
      <x:c r="A32" s="22" t="str">
        <x:v>S02</x:v>
      </x:c>
      <x:c r="B32" s="22" t="str">
        <x:v>Sauvegarde</x:v>
      </x:c>
      <x:c r="C32" s="24" t="str">
        <x:v>Clé distincte des mondes V96</x:v>
      </x:c>
      <x:c r="D32" s="24" t="str">
        <x:v>Aucun changement de WarSimulationV85</x:v>
      </x:c>
      <x:c r="E32" s="22" t="str">
        <x:v>P0</x:v>
      </x:c>
      <x:c r="F32" s="22" t="str">
        <x:v>Persistence</x:v>
      </x:c>
      <x:c r="G32" s="22" t="str">
        <x:v>Code couvert · CI ciblée PASS ; validation artistique éventuelle ouverte</x:v>
      </x:c>
      <x:c r="H32" s="22" t="n">
        <x:v>2</x:v>
      </x:c>
      <x:c r="I32" s="22" t="n">
        <x:v>0</x:v>
      </x:c>
      <x:c r="J32" s="22" t="str">
        <x:v>PR #42 · 41196187434</x:v>
      </x:c>
      <x:c r="K32" s="22" t="str">
        <x:v>Oui · PR #42, tests ciblés V131–V137</x:v>
      </x:c>
      <x:c r="L32" s="24" t="str">
        <x:v>Le code présent ne vaut pas validation artistique</x:v>
      </x:c>
    </x:row>
    <x:row r="33" ht="30" customHeight="1">
      <x:c r="A33" s="22" t="str">
        <x:v>S03</x:v>
      </x:c>
      <x:c r="B33" s="22" t="str">
        <x:v>Sauvegarde</x:v>
      </x:c>
      <x:c r="C33" s="24" t="str">
        <x:v>Refuser écritures si gauntlet verrouillé</x:v>
      </x:c>
      <x:c r="D33" s="24" t="str">
        <x:v>Rang réel vérifié avant équiper</x:v>
      </x:c>
      <x:c r="E33" s="22" t="str">
        <x:v>P0</x:v>
      </x:c>
      <x:c r="F33" s="22" t="str">
        <x:v>Persistence</x:v>
      </x:c>
      <x:c r="G33" s="22" t="str">
        <x:v>Code couvert · CI ciblée PASS ; validation artistique éventuelle ouverte</x:v>
      </x:c>
      <x:c r="H33" s="22" t="n">
        <x:v>2</x:v>
      </x:c>
      <x:c r="I33" s="22" t="n">
        <x:v>0</x:v>
      </x:c>
      <x:c r="J33" s="22" t="str">
        <x:v>PR #42 · 41196187434</x:v>
      </x:c>
      <x:c r="K33" s="22" t="str">
        <x:v>Oui · PR #42, tests ciblés V131–V137</x:v>
      </x:c>
      <x:c r="L33" s="24" t="str">
        <x:v>Le code présent ne vaut pas validation artistique</x:v>
      </x:c>
    </x:row>
    <x:row r="34" ht="30" customHeight="1">
      <x:c r="A34" s="22" t="str">
        <x:v>S04</x:v>
      </x:c>
      <x:c r="B34" s="22" t="str">
        <x:v>Sauvegarde</x:v>
      </x:c>
      <x:c r="C34" s="24" t="str">
        <x:v>Corruption ou stockage désactivé</x:v>
      </x:c>
      <x:c r="D34" s="24" t="str">
        <x:v>Jungle Hunter reste modèle sûr</x:v>
      </x:c>
      <x:c r="E34" s="22" t="str">
        <x:v>P0</x:v>
      </x:c>
      <x:c r="F34" s="22" t="str">
        <x:v>Persistence</x:v>
      </x:c>
      <x:c r="G34" s="22" t="str">
        <x:v>Code couvert · CI ciblée PASS ; validation artistique éventuelle ouverte</x:v>
      </x:c>
      <x:c r="H34" s="22" t="n">
        <x:v>2</x:v>
      </x:c>
      <x:c r="I34" s="22" t="n">
        <x:v>0</x:v>
      </x:c>
      <x:c r="J34" s="22" t="str">
        <x:v>PR #42 · 41196187434</x:v>
      </x:c>
      <x:c r="K34" s="22" t="str">
        <x:v>Oui · PR #42, tests ciblés V131–V137</x:v>
      </x:c>
      <x:c r="L34" s="24" t="str">
        <x:v>Le code présent ne vaut pas validation artistique</x:v>
      </x:c>
    </x:row>
    <x:row r="35" ht="30" customHeight="1">
      <x:c r="A35" s="22" t="str">
        <x:v>S05</x:v>
      </x:c>
      <x:c r="B35" s="22" t="str">
        <x:v>Sauvegarde</x:v>
      </x:c>
      <x:c r="C35" s="24" t="str">
        <x:v>Mode classique reste permanent</x:v>
      </x:c>
      <x:c r="D35" s="24" t="str">
        <x:v>Switch ne supprime pas le choix d'équipement</x:v>
      </x:c>
      <x:c r="E35" s="22" t="str">
        <x:v>P0</x:v>
      </x:c>
      <x:c r="F35" s="22" t="str">
        <x:v>Persistence</x:v>
      </x:c>
      <x:c r="G35" s="22" t="str">
        <x:v>Code couvert · CI ciblée PASS ; validation artistique éventuelle ouverte</x:v>
      </x:c>
      <x:c r="H35" s="22" t="n">
        <x:v>2</x:v>
      </x:c>
      <x:c r="I35" s="22" t="n">
        <x:v>0</x:v>
      </x:c>
      <x:c r="J35" s="22" t="str">
        <x:v>PR #42 · 41196187434</x:v>
      </x:c>
      <x:c r="K35" s="22" t="str">
        <x:v>Oui · PR #42, tests ciblés V131–V137</x:v>
      </x:c>
      <x:c r="L35" s="24" t="str">
        <x:v>Le code présent ne vaut pas validation artistique</x:v>
      </x:c>
    </x:row>
    <x:row r="36" ht="30" customHeight="1">
      <x:c r="A36" s="22" t="str">
        <x:v>S06</x:v>
      </x:c>
      <x:c r="B36" s="22" t="str">
        <x:v>Sauvegarde</x:v>
      </x:c>
      <x:c r="C36" s="24" t="str">
        <x:v>Évaluer liaison future au profil global</x:v>
      </x:c>
      <x:c r="D36" s="24" t="str">
        <x:v>Migration de préférence sans perdre les profils</x:v>
      </x:c>
      <x:c r="E36" s="22" t="str">
        <x:v>P1</x:v>
      </x:c>
      <x:c r="F36" s="22" t="str">
        <x:v>Persistence</x:v>
      </x:c>
      <x:c r="G36" s="22" t="str">
        <x:v>Code couvert · CI ciblée PASS ; validation artistique éventuelle ouverte</x:v>
      </x:c>
      <x:c r="H36" s="22" t="n">
        <x:v>4</x:v>
      </x:c>
      <x:c r="I36" s="22" t="n">
        <x:v>0</x:v>
      </x:c>
      <x:c r="J36" s="22" t="str">
        <x:v>PR #42 · 41196187434</x:v>
      </x:c>
      <x:c r="K36" s="22" t="str">
        <x:v>Oui · PR #42, tests ciblés V131–V137</x:v>
      </x:c>
      <x:c r="L36" s="24" t="str">
        <x:v>Le code présent ne vaut pas validation artistique</x:v>
      </x:c>
    </x:row>
    <x:row r="37" ht="30" customHeight="1">
      <x:c r="A37" s="22" t="str">
        <x:v>S07</x:v>
      </x:c>
      <x:c r="B37" s="22" t="str">
        <x:v>Sauvegarde</x:v>
      </x:c>
      <x:c r="C37" s="24" t="str">
        <x:v>Import/export et cloud sync</x:v>
      </x:c>
      <x:c r="D37" s="24" t="str">
        <x:v>Conditions des archives et conflit vérifiés</x:v>
      </x:c>
      <x:c r="E37" s="22" t="str">
        <x:v>P2</x:v>
      </x:c>
      <x:c r="F37" s="22" t="str">
        <x:v>Persistence</x:v>
      </x:c>
      <x:c r="G37" s="22" t="str">
        <x:v>Partiel · prototype / preuve technique, finition ouverte</x:v>
      </x:c>
      <x:c r="H37" s="22" t="n">
        <x:v>8</x:v>
      </x:c>
      <x:c r="I37" s="22" t="n">
        <x:v>0</x:v>
      </x:c>
      <x:c r="J37" s="22" t="str">
        <x:v>PR #42 · 41196187434</x:v>
      </x:c>
      <x:c r="K37" s="22" t="str">
        <x:v>Partiellement · consulter backlog et rapport V137</x:v>
      </x:c>
      <x:c r="L37" s="24" t="str">
        <x:v>Le code présent ne vaut pas validation artistique</x:v>
      </x:c>
    </x:row>
    <x:row r="38" ht="30" customHeight="1">
      <x:c r="A38" s="22" t="str">
        <x:v>S08</x:v>
      </x:c>
      <x:c r="B38" s="22" t="str">
        <x:v>Sauvegarde</x:v>
      </x:c>
      <x:c r="C38" s="24" t="str">
        <x:v>Multi-onglets et changements de rang</x:v>
      </x:c>
      <x:c r="D38" s="24" t="str">
        <x:v>Lire sans écraser un profil d'un autre joueur</x:v>
      </x:c>
      <x:c r="E38" s="22" t="str">
        <x:v>P0</x:v>
      </x:c>
      <x:c r="F38" s="22" t="str">
        <x:v>Persistence</x:v>
      </x:c>
      <x:c r="G38" s="22" t="str">
        <x:v>Partiel · prototype / preuve technique, finition ouverte</x:v>
      </x:c>
      <x:c r="H38" s="22" t="n">
        <x:v>3</x:v>
      </x:c>
      <x:c r="I38" s="22" t="n">
        <x:v>0</x:v>
      </x:c>
      <x:c r="J38" s="22" t="str">
        <x:v>PR #42 · 41196187434</x:v>
      </x:c>
      <x:c r="K38" s="22" t="str">
        <x:v>Partiellement · consulter backlog et rapport V137</x:v>
      </x:c>
      <x:c r="L38" s="24" t="str">
        <x:v>Le code présent ne vaut pas validation artistique</x:v>
      </x:c>
    </x:row>
    <x:row r="39" ht="30" customHeight="1">
      <x:c r="A39" s="22" t="str">
        <x:v>U01</x:v>
      </x:c>
      <x:c r="B39" s="22" t="str">
        <x:v>Déblocage</x:v>
      </x:c>
      <x:c r="C39" s="24" t="str">
        <x:v>Jungle Hunter déblocage initial</x:v>
      </x:c>
      <x:c r="D39" s="24" t="str">
        <x:v>Démarrer l'écran avec lui équipé</x:v>
      </x:c>
      <x:c r="E39" s="22" t="str">
        <x:v>P0</x:v>
      </x:c>
      <x:c r="F39" s="22" t="str">
        <x:v>Systems</x:v>
      </x:c>
      <x:c r="G39" s="22" t="str">
        <x:v>Code couvert · CI ciblée PASS ; validation artistique éventuelle ouverte</x:v>
      </x:c>
      <x:c r="H39" s="22" t="n">
        <x:v>2</x:v>
      </x:c>
      <x:c r="I39" s="22" t="n">
        <x:v>0</x:v>
      </x:c>
      <x:c r="J39" s="22" t="str">
        <x:v>PR #42 · 41196187434</x:v>
      </x:c>
      <x:c r="K39" s="22" t="str">
        <x:v>Oui · PR #42, tests ciblés V131–V137</x:v>
      </x:c>
      <x:c r="L39" s="24" t="str">
        <x:v>Le code présent ne vaut pas validation artistique</x:v>
      </x:c>
    </x:row>
    <x:row r="40" ht="30" customHeight="1">
      <x:c r="A40" s="22" t="str">
        <x:v>U02</x:v>
      </x:c>
      <x:c r="B40" s="22" t="str">
        <x:v>Déblocage</x:v>
      </x:c>
      <x:c r="C40" s="24" t="str">
        <x:v>City Hunter rang Blooded</x:v>
      </x:c>
      <x:c r="D40" s="24" t="str">
        <x:v>Accessible seulement si rang réel atteint</x:v>
      </x:c>
      <x:c r="E40" s="22" t="str">
        <x:v>P0</x:v>
      </x:c>
      <x:c r="F40" s="22" t="str">
        <x:v>Systems</x:v>
      </x:c>
      <x:c r="G40" s="22" t="str">
        <x:v>Code couvert · CI ciblée PASS ; validation artistique éventuelle ouverte</x:v>
      </x:c>
      <x:c r="H40" s="22" t="n">
        <x:v>2</x:v>
      </x:c>
      <x:c r="I40" s="22" t="n">
        <x:v>0</x:v>
      </x:c>
      <x:c r="J40" s="22" t="str">
        <x:v>PR #42 · 41196187434</x:v>
      </x:c>
      <x:c r="K40" s="22" t="str">
        <x:v>Oui · PR #42, tests ciblés V131–V137</x:v>
      </x:c>
      <x:c r="L40" s="24" t="str">
        <x:v>Le code présent ne vaut pas validation artistique</x:v>
      </x:c>
    </x:row>
    <x:row r="41" ht="30" customHeight="1">
      <x:c r="A41" s="22" t="str">
        <x:v>U03</x:v>
      </x:c>
      <x:c r="B41" s="22" t="str">
        <x:v>Déblocage</x:v>
      </x:c>
      <x:c r="C41" s="24" t="str">
        <x:v>Wolf rang Elite</x:v>
      </x:c>
      <x:c r="D41" s="24" t="str">
        <x:v>Accessible seulement si rang réel atteint</x:v>
      </x:c>
      <x:c r="E41" s="22" t="str">
        <x:v>P1</x:v>
      </x:c>
      <x:c r="F41" s="22" t="str">
        <x:v>Systems</x:v>
      </x:c>
      <x:c r="G41" s="22" t="str">
        <x:v>Code couvert · CI ciblée PASS ; validation artistique éventuelle ouverte</x:v>
      </x:c>
      <x:c r="H41" s="22" t="n">
        <x:v>2</x:v>
      </x:c>
      <x:c r="I41" s="22" t="n">
        <x:v>0</x:v>
      </x:c>
      <x:c r="J41" s="22" t="str">
        <x:v>PR #42 · 41196187434</x:v>
      </x:c>
      <x:c r="K41" s="22" t="str">
        <x:v>Oui · PR #42, tests ciblés V131–V137</x:v>
      </x:c>
      <x:c r="L41" s="24" t="str">
        <x:v>Le code présent ne vaut pas validation artistique</x:v>
      </x:c>
    </x:row>
    <x:row r="42" ht="30" customHeight="1">
      <x:c r="A42" s="22" t="str">
        <x:v>U04</x:v>
      </x:c>
      <x:c r="B42" s="22" t="str">
        <x:v>Déblocage</x:v>
      </x:c>
      <x:c r="C42" s="24" t="str">
        <x:v>Dek rang Elder</x:v>
      </x:c>
      <x:c r="D42" s="24" t="str">
        <x:v>Accessible seulement si rang réel atteint</x:v>
      </x:c>
      <x:c r="E42" s="22" t="str">
        <x:v>P1</x:v>
      </x:c>
      <x:c r="F42" s="22" t="str">
        <x:v>Systems</x:v>
      </x:c>
      <x:c r="G42" s="22" t="str">
        <x:v>Code couvert · CI ciblée PASS ; validation artistique éventuelle ouverte</x:v>
      </x:c>
      <x:c r="H42" s="22" t="n">
        <x:v>2</x:v>
      </x:c>
      <x:c r="I42" s="22" t="n">
        <x:v>0</x:v>
      </x:c>
      <x:c r="J42" s="22" t="str">
        <x:v>PR #42 · 41196187434</x:v>
      </x:c>
      <x:c r="K42" s="22" t="str">
        <x:v>Oui · PR #42, tests ciblés V131–V137</x:v>
      </x:c>
      <x:c r="L42" s="24" t="str">
        <x:v>Le code présent ne vaut pas validation artistique</x:v>
      </x:c>
    </x:row>
    <x:row r="43" ht="30" customHeight="1">
      <x:c r="A43" s="22" t="str">
        <x:v>U05</x:v>
      </x:c>
      <x:c r="B43" s="22" t="str">
        <x:v>Déblocage</x:v>
      </x:c>
      <x:c r="C43" s="24" t="str">
        <x:v>Feral rang Elite</x:v>
      </x:c>
      <x:c r="D43" s="24" t="str">
        <x:v>Accessible seulement si rang réel atteint</x:v>
      </x:c>
      <x:c r="E43" s="22" t="str">
        <x:v>P1</x:v>
      </x:c>
      <x:c r="F43" s="22" t="str">
        <x:v>Systems</x:v>
      </x:c>
      <x:c r="G43" s="22" t="str">
        <x:v>Code couvert · CI ciblée PASS ; validation artistique éventuelle ouverte</x:v>
      </x:c>
      <x:c r="H43" s="22" t="n">
        <x:v>2</x:v>
      </x:c>
      <x:c r="I43" s="22" t="n">
        <x:v>0</x:v>
      </x:c>
      <x:c r="J43" s="22" t="str">
        <x:v>PR #42 · 41196187434</x:v>
      </x:c>
      <x:c r="K43" s="22" t="str">
        <x:v>Oui · PR #42, tests ciblés V131–V137</x:v>
      </x:c>
      <x:c r="L43" s="24" t="str">
        <x:v>Le code présent ne vaut pas validation artistique</x:v>
      </x:c>
    </x:row>
    <x:row r="44" ht="30" customHeight="1">
      <x:c r="A44" s="22" t="str">
        <x:v>U06</x:v>
      </x:c>
      <x:c r="B44" s="22" t="str">
        <x:v>Déblocage</x:v>
      </x:c>
      <x:c r="C44" s="24" t="str">
        <x:v>Protéger du déblocage faux des 44</x:v>
      </x:c>
      <x:c r="D44" s="24" t="str">
        <x:v>Ils restent 'à développer' jusqu'au hook</x:v>
      </x:c>
      <x:c r="E44" s="22" t="str">
        <x:v>P0</x:v>
      </x:c>
      <x:c r="F44" s="22" t="str">
        <x:v>Systems</x:v>
      </x:c>
      <x:c r="G44" s="22" t="str">
        <x:v>Code couvert · CI ciblée PASS ; validation artistique éventuelle ouverte</x:v>
      </x:c>
      <x:c r="H44" s="22" t="n">
        <x:v>2</x:v>
      </x:c>
      <x:c r="I44" s="22" t="n">
        <x:v>0</x:v>
      </x:c>
      <x:c r="J44" s="22" t="str">
        <x:v>PR #42 · 41196187434</x:v>
      </x:c>
      <x:c r="K44" s="22" t="str">
        <x:v>Oui · PR #42, tests ciblés V131–V137</x:v>
      </x:c>
      <x:c r="L44" s="24" t="str">
        <x:v>Le code présent ne vaut pas validation artistique</x:v>
      </x:c>
    </x:row>
    <x:row r="45" ht="30" customHeight="1">
      <x:c r="A45" s="22" t="str">
        <x:v>U07</x:v>
      </x:c>
      <x:c r="B45" s="22" t="str">
        <x:v>Déblocage</x:v>
      </x:c>
      <x:c r="C45" s="24" t="str">
        <x:v>Créer atelier/réliquaire Homeworld</x:v>
      </x:c>
      <x:c r="D45" s="24" t="str">
        <x:v>Lieu spatial cohérent, pas bouton magique</x:v>
      </x:c>
      <x:c r="E45" s="22" t="str">
        <x:v>P1</x:v>
      </x:c>
      <x:c r="F45" s="22" t="str">
        <x:v>Level design</x:v>
      </x:c>
      <x:c r="G45" s="22" t="str">
        <x:v>Partiel · prototype / preuve technique, finition ouverte</x:v>
      </x:c>
      <x:c r="H45" s="22" t="n">
        <x:v>8</x:v>
      </x:c>
      <x:c r="I45" s="22" t="n">
        <x:v>0</x:v>
      </x:c>
      <x:c r="J45" s="22" t="str">
        <x:v>PR #42 · 41196187434</x:v>
      </x:c>
      <x:c r="K45" s="22" t="str">
        <x:v>Partiellement · consulter backlog et rapport V137</x:v>
      </x:c>
      <x:c r="L45" s="24" t="str">
        <x:v>Le code présent ne vaut pas validation artistique</x:v>
      </x:c>
    </x:row>
    <x:row r="46" ht="30" customHeight="1">
      <x:c r="A46" s="22" t="str">
        <x:v>U08</x:v>
      </x:c>
      <x:c r="B46" s="22" t="str">
        <x:v>Déblocage</x:v>
      </x:c>
      <x:c r="C46" s="24" t="str">
        <x:v>Passer contrats d'équipement aux missions</x:v>
      </x:c>
      <x:c r="D46" s="24" t="str">
        <x:v>Récompenses vérifiées, idempotentes</x:v>
      </x:c>
      <x:c r="E46" s="22" t="str">
        <x:v>P1</x:v>
      </x:c>
      <x:c r="F46" s="22" t="str">
        <x:v>Systems</x:v>
      </x:c>
      <x:c r="G46" s="22" t="str">
        <x:v>Code couvert · CI ciblée PASS ; validation artistique éventuelle ouverte</x:v>
      </x:c>
      <x:c r="H46" s="22" t="n">
        <x:v>7</x:v>
      </x:c>
      <x:c r="I46" s="22" t="n">
        <x:v>0</x:v>
      </x:c>
      <x:c r="J46" s="22" t="str">
        <x:v>PR #42 · 41196187434</x:v>
      </x:c>
      <x:c r="K46" s="22" t="str">
        <x:v>Oui · PR #42, tests ciblés V131–V137</x:v>
      </x:c>
      <x:c r="L46" s="24" t="str">
        <x:v>Le code présent ne vaut pas validation artistique</x:v>
      </x:c>
    </x:row>
    <x:row r="47" ht="30" customHeight="1">
      <x:c r="A47" s="22" t="str">
        <x:v>U09</x:v>
      </x:c>
      <x:c r="B47" s="22" t="str">
        <x:v>Déblocage</x:v>
      </x:c>
      <x:c r="C47" s="24" t="str">
        <x:v>Éviter trophée de clan sans preuve de victoire</x:v>
      </x:c>
      <x:c r="D47" s="24" t="str">
        <x:v>Aucun résultat d'exercice libre ne paie la campagne</x:v>
      </x:c>
      <x:c r="E47" s="22" t="str">
        <x:v>P0</x:v>
      </x:c>
      <x:c r="F47" s="22" t="str">
        <x:v>Systems</x:v>
      </x:c>
      <x:c r="G47" s="22" t="str">
        <x:v>Code couvert · CI ciblée PASS ; validation artistique éventuelle ouverte</x:v>
      </x:c>
      <x:c r="H47" s="22" t="n">
        <x:v>3</x:v>
      </x:c>
      <x:c r="I47" s="22" t="n">
        <x:v>0</x:v>
      </x:c>
      <x:c r="J47" s="22" t="str">
        <x:v>PR #42 · 41196187434</x:v>
      </x:c>
      <x:c r="K47" s="22" t="str">
        <x:v>Oui · PR #42, tests ciblés V131–V137</x:v>
      </x:c>
      <x:c r="L47" s="24" t="str">
        <x:v>Le code présent ne vaut pas validation artistique</x:v>
      </x:c>
    </x:row>
    <x:row r="48" ht="30" customHeight="1">
      <x:c r="A48" s="22" t="str">
        <x:v>U10</x:v>
      </x:c>
      <x:c r="B48" s="22" t="str">
        <x:v>Déblocage</x:v>
      </x:c>
      <x:c r="C48" s="24" t="str">
        <x:v>Progresser sur Badlands / KoK</x:v>
      </x:c>
      <x:c r="D48" s="24" t="str">
        <x:v>Arcs narratifs séparés, DLC si nécessaire</x:v>
      </x:c>
      <x:c r="E48" s="22" t="str">
        <x:v>P2</x:v>
      </x:c>
      <x:c r="F48" s="22" t="str">
        <x:v>Narrative</x:v>
      </x:c>
      <x:c r="G48" s="22" t="str">
        <x:v>Partiel · prototype / preuve technique, finition ouverte</x:v>
      </x:c>
      <x:c r="H48" s="22" t="n">
        <x:v>9</x:v>
      </x:c>
      <x:c r="I48" s="22" t="n">
        <x:v>0</x:v>
      </x:c>
      <x:c r="J48" s="22" t="str">
        <x:v>PR #42 · 41196187434</x:v>
      </x:c>
      <x:c r="K48" s="22" t="str">
        <x:v>Partiellement · consulter backlog et rapport V137</x:v>
      </x:c>
      <x:c r="L48" s="24" t="str">
        <x:v>Le code présent ne vaut pas validation artistique</x:v>
      </x:c>
    </x:row>
    <x:row r="49" ht="30" customHeight="1">
      <x:c r="A49" s="22" t="str">
        <x:v>A01</x:v>
      </x:c>
      <x:c r="B49" s="22" t="str">
        <x:v>Art</x:v>
      </x:c>
      <x:c r="C49" s="24" t="str">
        <x:v>Reconstruction Jungle Hunter 3 vues</x:v>
      </x:c>
      <x:c r="D49" s="24" t="str">
        <x:v>Image de face / profil / dessus contrôlées</x:v>
      </x:c>
      <x:c r="E49" s="22" t="str">
        <x:v>P0</x:v>
      </x:c>
      <x:c r="F49" s="22" t="str">
        <x:v>Art</x:v>
      </x:c>
      <x:c r="G49" s="22" t="str">
        <x:v>Ouvert · références ou contenu canonique manquants</x:v>
      </x:c>
      <x:c r="H49" s="22" t="n">
        <x:v>16</x:v>
      </x:c>
      <x:c r="I49" s="22" t="n">
        <x:v>0</x:v>
      </x:c>
      <x:c r="J49" s="22" t="str">
        <x:v>PR #42 · 41196187434</x:v>
      </x:c>
      <x:c r="K49" s="22" t="str">
        <x:v>Non</x:v>
      </x:c>
      <x:c r="L49" s="24" t="str">
        <x:v>Le code présent ne vaut pas validation artistique</x:v>
      </x:c>
    </x:row>
    <x:row r="50" ht="30" customHeight="1">
      <x:c r="A50" s="22" t="str">
        <x:v>A02</x:v>
      </x:c>
      <x:c r="B50" s="22" t="str">
        <x:v>Art</x:v>
      </x:c>
      <x:c r="C50" s="24" t="str">
        <x:v>Matériaux réalistes et patine du boîtier</x:v>
      </x:c>
      <x:c r="D50" s="24" t="str">
        <x:v>Comparaison 3 captures ; détail froid/usé</x:v>
      </x:c>
      <x:c r="E50" s="22" t="str">
        <x:v>P0</x:v>
      </x:c>
      <x:c r="F50" s="22" t="str">
        <x:v>Art</x:v>
      </x:c>
      <x:c r="G50" s="22" t="str">
        <x:v>Ouvert · références ou contenu canonique manquants</x:v>
      </x:c>
      <x:c r="H50" s="22" t="n">
        <x:v>10</x:v>
      </x:c>
      <x:c r="I50" s="22" t="n">
        <x:v>0</x:v>
      </x:c>
      <x:c r="J50" s="22" t="str">
        <x:v>PR #42 · 41196187434</x:v>
      </x:c>
      <x:c r="K50" s="22" t="str">
        <x:v>Non</x:v>
      </x:c>
      <x:c r="L50" s="24" t="str">
        <x:v>Le code présent ne vaut pas validation artistique</x:v>
      </x:c>
    </x:row>
    <x:row r="51" ht="30" customHeight="1">
      <x:c r="A51" s="22" t="str">
        <x:v>A03</x:v>
      </x:c>
      <x:c r="B51" s="22" t="str">
        <x:v>Art</x:v>
      </x:c>
      <x:c r="C51" s="24" t="str">
        <x:v>Glyphes rouges haute définition</x:v>
      </x:c>
      <x:c r="D51" s="24" t="str">
        <x:v>Glyphes vérifiés ou marqués fictionnels</x:v>
      </x:c>
      <x:c r="E51" s="22" t="str">
        <x:v>P0</x:v>
      </x:c>
      <x:c r="F51" s="22" t="str">
        <x:v>Art</x:v>
      </x:c>
      <x:c r="G51" s="22" t="str">
        <x:v>Partiel · prototype / preuve technique, finition ouverte</x:v>
      </x:c>
      <x:c r="H51" s="22" t="n">
        <x:v>6</x:v>
      </x:c>
      <x:c r="I51" s="22" t="n">
        <x:v>0</x:v>
      </x:c>
      <x:c r="J51" s="22" t="str">
        <x:v>PR #42 · 41196187434</x:v>
      </x:c>
      <x:c r="K51" s="22" t="str">
        <x:v>Partiellement · consulter backlog et rapport V137</x:v>
      </x:c>
      <x:c r="L51" s="24" t="str">
        <x:v>Le code présent ne vaut pas validation artistique</x:v>
      </x:c>
    </x:row>
    <x:row r="52" ht="30" customHeight="1">
      <x:c r="A52" s="22" t="str">
        <x:v>A04</x:v>
      </x:c>
      <x:c r="B52" s="22" t="str">
        <x:v>Art</x:v>
      </x:c>
      <x:c r="C52" s="24" t="str">
        <x:v>Rédiger animation 1:1 du capot</x:v>
      </x:c>
      <x:c r="D52" s="24" t="str">
        <x:v>Pivot et épaisseur ne changent pas</x:v>
      </x:c>
      <x:c r="E52" s="22" t="str">
        <x:v>P0</x:v>
      </x:c>
      <x:c r="F52" s="22" t="str">
        <x:v>Art</x:v>
      </x:c>
      <x:c r="G52" s="22" t="str">
        <x:v>Partiel · prototype / preuve technique, finition ouverte</x:v>
      </x:c>
      <x:c r="H52" s="22" t="n">
        <x:v>7</x:v>
      </x:c>
      <x:c r="I52" s="22" t="n">
        <x:v>0</x:v>
      </x:c>
      <x:c r="J52" s="22" t="str">
        <x:v>PR #42 · 41196187434</x:v>
      </x:c>
      <x:c r="K52" s="22" t="str">
        <x:v>Partiellement · consulter backlog et rapport V137</x:v>
      </x:c>
      <x:c r="L52" s="24" t="str">
        <x:v>Le code présent ne vaut pas validation artistique</x:v>
      </x:c>
    </x:row>
    <x:row r="53" ht="30" customHeight="1">
      <x:c r="A53" s="22" t="str">
        <x:v>A05</x:v>
      </x:c>
      <x:c r="B53" s="22" t="str">
        <x:v>Art</x:v>
      </x:c>
      <x:c r="C53" s="24" t="str">
        <x:v>Créer source PNG par pièce</x:v>
      </x:c>
      <x:c r="D53" s="24" t="str">
        <x:v>Silhouette sans troncature et alpha propre</x:v>
      </x:c>
      <x:c r="E53" s="22" t="str">
        <x:v>P0</x:v>
      </x:c>
      <x:c r="F53" s="22" t="str">
        <x:v>Art</x:v>
      </x:c>
      <x:c r="G53" s="22" t="str">
        <x:v>Partiel · prototype / preuve technique, finition ouverte</x:v>
      </x:c>
      <x:c r="H53" s="22" t="n">
        <x:v>6</x:v>
      </x:c>
      <x:c r="I53" s="22" t="n">
        <x:v>0</x:v>
      </x:c>
      <x:c r="J53" s="22" t="str">
        <x:v>PR #42 · 41196187434</x:v>
      </x:c>
      <x:c r="K53" s="22" t="str">
        <x:v>Partiellement · consulter backlog et rapport V137</x:v>
      </x:c>
      <x:c r="L53" s="24" t="str">
        <x:v>Le code présent ne vaut pas validation artistique</x:v>
      </x:c>
    </x:row>
    <x:row r="54" ht="30" customHeight="1">
      <x:c r="A54" s="22" t="str">
        <x:v>A06</x:v>
      </x:c>
      <x:c r="B54" s="22" t="str">
        <x:v>Art</x:v>
      </x:c>
      <x:c r="C54" s="24" t="str">
        <x:v>Créer City Hunter silhouette spécifique</x:v>
      </x:c>
      <x:c r="D54" s="24" t="str">
        <x:v>L'écran ne reprend pas le JH par copie</x:v>
      </x:c>
      <x:c r="E54" s="22" t="str">
        <x:v>P1</x:v>
      </x:c>
      <x:c r="F54" s="22" t="str">
        <x:v>Art</x:v>
      </x:c>
      <x:c r="G54" s="22" t="str">
        <x:v>Partiel · prototype / preuve technique, finition ouverte</x:v>
      </x:c>
      <x:c r="H54" s="22" t="n">
        <x:v>8</x:v>
      </x:c>
      <x:c r="I54" s="22" t="n">
        <x:v>0</x:v>
      </x:c>
      <x:c r="J54" s="22" t="str">
        <x:v>PR #42 · 41196187434</x:v>
      </x:c>
      <x:c r="K54" s="22" t="str">
        <x:v>Partiellement · consulter backlog et rapport V137</x:v>
      </x:c>
      <x:c r="L54" s="24" t="str">
        <x:v>Le code présent ne vaut pas validation artistique</x:v>
      </x:c>
    </x:row>
    <x:row r="55" ht="30" customHeight="1">
      <x:c r="A55" s="22" t="str">
        <x:v>A07</x:v>
      </x:c>
      <x:c r="B55" s="22" t="str">
        <x:v>Art</x:v>
      </x:c>
      <x:c r="C55" s="24" t="str">
        <x:v>Créer Scar/Wolf propres</x:v>
      </x:c>
      <x:c r="D55" s="24" t="str">
        <x:v>Pièces et textures uniques</x:v>
      </x:c>
      <x:c r="E55" s="22" t="str">
        <x:v>P1</x:v>
      </x:c>
      <x:c r="F55" s="22" t="str">
        <x:v>Art</x:v>
      </x:c>
      <x:c r="G55" s="22" t="str">
        <x:v>Partiel · prototype / preuve technique, finition ouverte</x:v>
      </x:c>
      <x:c r="H55" s="22" t="n">
        <x:v>12</x:v>
      </x:c>
      <x:c r="I55" s="22" t="n">
        <x:v>0</x:v>
      </x:c>
      <x:c r="J55" s="22" t="str">
        <x:v>PR #42 · 41196187434</x:v>
      </x:c>
      <x:c r="K55" s="22" t="str">
        <x:v>Partiellement · consulter backlog et rapport V137</x:v>
      </x:c>
      <x:c r="L55" s="24" t="str">
        <x:v>Le code présent ne vaut pas validation artistique</x:v>
      </x:c>
    </x:row>
    <x:row r="56" ht="30" customHeight="1">
      <x:c r="A56" s="22" t="str">
        <x:v>A08</x:v>
      </x:c>
      <x:c r="B56" s="22" t="str">
        <x:v>Art</x:v>
      </x:c>
      <x:c r="C56" s="24" t="str">
        <x:v>Créer Feral en os/métal</x:v>
      </x:c>
      <x:c r="D56" s="24" t="str">
        <x:v>Aucun faux LCD 1987</x:v>
      </x:c>
      <x:c r="E56" s="22" t="str">
        <x:v>P1</x:v>
      </x:c>
      <x:c r="F56" s="22" t="str">
        <x:v>Art</x:v>
      </x:c>
      <x:c r="G56" s="22" t="str">
        <x:v>Partiel · prototype / preuve technique, finition ouverte</x:v>
      </x:c>
      <x:c r="H56" s="22" t="n">
        <x:v>8</x:v>
      </x:c>
      <x:c r="I56" s="22" t="n">
        <x:v>0</x:v>
      </x:c>
      <x:c r="J56" s="22" t="str">
        <x:v>PR #42 · 41196187434</x:v>
      </x:c>
      <x:c r="K56" s="22" t="str">
        <x:v>Partiellement · consulter backlog et rapport V137</x:v>
      </x:c>
      <x:c r="L56" s="24" t="str">
        <x:v>Le code présent ne vaut pas validation artistique</x:v>
      </x:c>
    </x:row>
    <x:row r="57" ht="30" customHeight="1">
      <x:c r="A57" s="22" t="str">
        <x:v>A09</x:v>
      </x:c>
      <x:c r="B57" s="22" t="str">
        <x:v>Art</x:v>
      </x:c>
      <x:c r="C57" s="24" t="str">
        <x:v>Créer Dek avec références Wētā</x:v>
      </x:c>
      <x:c r="D57" s="24" t="str">
        <x:v>Filigranes et matières sans glyphes inventés présentés canon</x:v>
      </x:c>
      <x:c r="E57" s="22" t="str">
        <x:v>P1</x:v>
      </x:c>
      <x:c r="F57" s="22" t="str">
        <x:v>Art</x:v>
      </x:c>
      <x:c r="G57" s="22" t="str">
        <x:v>Partiel · prototype / preuve technique, finition ouverte</x:v>
      </x:c>
      <x:c r="H57" s="22" t="n">
        <x:v>8</x:v>
      </x:c>
      <x:c r="I57" s="22" t="n">
        <x:v>0</x:v>
      </x:c>
      <x:c r="J57" s="22" t="str">
        <x:v>PR #42 · 41196187434</x:v>
      </x:c>
      <x:c r="K57" s="22" t="str">
        <x:v>Partiellement · consulter backlog et rapport V137</x:v>
      </x:c>
      <x:c r="L57" s="24" t="str">
        <x:v>Le code présent ne vaut pas validation artistique</x:v>
      </x:c>
    </x:row>
    <x:row r="58" ht="30" customHeight="1">
      <x:c r="A58" s="22" t="str">
        <x:v>A10</x:v>
      </x:c>
      <x:c r="B58" s="22" t="str">
        <x:v>Art</x:v>
      </x:c>
      <x:c r="C58" s="24" t="str">
        <x:v>Varier toutes les 54 variantes</x:v>
      </x:c>
      <x:c r="D58" s="24" t="str">
        <x:v>Statut assets réels distincts ou placeholder</x:v>
      </x:c>
      <x:c r="E58" s="22" t="str">
        <x:v>P2</x:v>
      </x:c>
      <x:c r="F58" s="22" t="str">
        <x:v>Art</x:v>
      </x:c>
      <x:c r="G58" s="22" t="str">
        <x:v>Partiel · prototype / preuve technique, finition ouverte</x:v>
      </x:c>
      <x:c r="H58" s="22" t="n">
        <x:v>55</x:v>
      </x:c>
      <x:c r="I58" s="22" t="n">
        <x:v>0</x:v>
      </x:c>
      <x:c r="J58" s="22" t="str">
        <x:v>PR #42 · 41196187434</x:v>
      </x:c>
      <x:c r="K58" s="22" t="str">
        <x:v>Partiellement · consulter backlog et rapport V137</x:v>
      </x:c>
      <x:c r="L58" s="24" t="str">
        <x:v>Le code présent ne vaut pas validation artistique</x:v>
      </x:c>
    </x:row>
    <x:row r="59" ht="30" customHeight="1">
      <x:c r="A59" s="22" t="str">
        <x:v>A11</x:v>
      </x:c>
      <x:c r="B59" s="22" t="str">
        <x:v>Art</x:v>
      </x:c>
      <x:c r="C59" s="24" t="str">
        <x:v>Créer signature audio 10 thèmes</x:v>
      </x:c>
      <x:c r="D59" s="24" t="str">
        <x:v>10 familles originales, pas bruitages film repris</x:v>
      </x:c>
      <x:c r="E59" s="22" t="str">
        <x:v>P1</x:v>
      </x:c>
      <x:c r="F59" s="22" t="str">
        <x:v>Audio</x:v>
      </x:c>
      <x:c r="G59" s="22" t="str">
        <x:v>Partiel · prototype / preuve technique, finition ouverte</x:v>
      </x:c>
      <x:c r="H59" s="22" t="n">
        <x:v>17</x:v>
      </x:c>
      <x:c r="I59" s="22" t="n">
        <x:v>0</x:v>
      </x:c>
      <x:c r="J59" s="22" t="str">
        <x:v>PR #42 · 41196187434</x:v>
      </x:c>
      <x:c r="K59" s="22" t="str">
        <x:v>Partiellement · consulter backlog et rapport V137</x:v>
      </x:c>
      <x:c r="L59" s="24" t="str">
        <x:v>Le code présent ne vaut pas validation artistique</x:v>
      </x:c>
    </x:row>
    <x:row r="60" ht="30" customHeight="1">
      <x:c r="A60" s="22" t="str">
        <x:v>A12</x:v>
      </x:c>
      <x:c r="B60" s="22" t="str">
        <x:v>Art</x:v>
      </x:c>
      <x:c r="C60" s="24" t="str">
        <x:v>Éclairage bras/écran/hologramme</x:v>
      </x:c>
      <x:c r="D60" s="24" t="str">
        <x:v>Ni lueur uniforme ni invisibilité sur fond sombre</x:v>
      </x:c>
      <x:c r="E60" s="22" t="str">
        <x:v>P1</x:v>
      </x:c>
      <x:c r="F60" s="22" t="str">
        <x:v>Art</x:v>
      </x:c>
      <x:c r="G60" s="22" t="str">
        <x:v>Partiel · prototype / preuve technique, finition ouverte</x:v>
      </x:c>
      <x:c r="H60" s="22" t="n">
        <x:v>8</x:v>
      </x:c>
      <x:c r="I60" s="22" t="n">
        <x:v>0</x:v>
      </x:c>
      <x:c r="J60" s="22" t="str">
        <x:v>PR #42 · 41196187434</x:v>
      </x:c>
      <x:c r="K60" s="22" t="str">
        <x:v>Partiellement · consulter backlog et rapport V137</x:v>
      </x:c>
      <x:c r="L60" s="24" t="str">
        <x:v>Le code présent ne vaut pas validation artistique</x:v>
      </x:c>
    </x:row>
    <x:row r="61" ht="30" customHeight="1">
      <x:c r="A61" s="22" t="str">
        <x:v>Q01</x:v>
      </x:c>
      <x:c r="B61" s="22" t="str">
        <x:v>Qualité</x:v>
      </x:c>
      <x:c r="C61" s="24" t="str">
        <x:v>CI source et catalogues</x:v>
      </x:c>
      <x:c r="D61" s="24" t="str">
        <x:v>Tests Node réussis sur la PR</x:v>
      </x:c>
      <x:c r="E61" s="22" t="str">
        <x:v>P0</x:v>
      </x:c>
      <x:c r="F61" s="22" t="str">
        <x:v>QA</x:v>
      </x:c>
      <x:c r="G61" s="22" t="str">
        <x:v>Code couvert · CI ciblée PASS ; validation artistique éventuelle ouverte</x:v>
      </x:c>
      <x:c r="H61" s="22" t="n">
        <x:v>2</x:v>
      </x:c>
      <x:c r="I61" s="22" t="n">
        <x:v>0</x:v>
      </x:c>
      <x:c r="J61" s="22" t="str">
        <x:v>PR #42 · 41196187434</x:v>
      </x:c>
      <x:c r="K61" s="22" t="str">
        <x:v>Oui · PR #42, tests ciblés V131–V137</x:v>
      </x:c>
      <x:c r="L61" s="24" t="str">
        <x:v>Le code présent ne vaut pas validation artistique</x:v>
      </x:c>
    </x:row>
    <x:row r="62" ht="30" customHeight="1">
      <x:c r="A62" s="22" t="str">
        <x:v>Q02</x:v>
      </x:c>
      <x:c r="B62" s="22" t="str">
        <x:v>Qualité</x:v>
      </x:c>
      <x:c r="C62" s="24" t="str">
        <x:v>TS vérifié projecteur et armurerie</x:v>
      </x:c>
      <x:c r="D62" s="24" t="str">
        <x:v>Aucune erreur TS ciblée</x:v>
      </x:c>
      <x:c r="E62" s="22" t="str">
        <x:v>P0</x:v>
      </x:c>
      <x:c r="F62" s="22" t="str">
        <x:v>QA</x:v>
      </x:c>
      <x:c r="G62" s="22" t="str">
        <x:v>Code couvert · CI ciblée PASS ; validation artistique éventuelle ouverte</x:v>
      </x:c>
      <x:c r="H62" s="22" t="n">
        <x:v>2</x:v>
      </x:c>
      <x:c r="I62" s="22" t="n">
        <x:v>0</x:v>
      </x:c>
      <x:c r="J62" s="22" t="str">
        <x:v>PR #42 · 41196187434</x:v>
      </x:c>
      <x:c r="K62" s="22" t="str">
        <x:v>Oui · PR #42, tests ciblés V131–V137</x:v>
      </x:c>
      <x:c r="L62" s="24" t="str">
        <x:v>Le code présent ne vaut pas validation artistique</x:v>
      </x:c>
    </x:row>
    <x:row r="63" ht="30" customHeight="1">
      <x:c r="A63" s="22" t="str">
        <x:v>Q03</x:v>
      </x:c>
      <x:c r="B63" s="22" t="str">
        <x:v>Qualité</x:v>
      </x:c>
      <x:c r="C63" s="24" t="str">
        <x:v>ESLint nouveaux composants</x:v>
      </x:c>
      <x:c r="D63" s="24" t="str">
        <x:v>Aucun avertissement bloquant</x:v>
      </x:c>
      <x:c r="E63" s="22" t="str">
        <x:v>P0</x:v>
      </x:c>
      <x:c r="F63" s="22" t="str">
        <x:v>QA</x:v>
      </x:c>
      <x:c r="G63" s="22" t="str">
        <x:v>Code couvert · CI ciblée PASS ; validation artistique éventuelle ouverte</x:v>
      </x:c>
      <x:c r="H63" s="22" t="n">
        <x:v>2</x:v>
      </x:c>
      <x:c r="I63" s="22" t="n">
        <x:v>0</x:v>
      </x:c>
      <x:c r="J63" s="22" t="str">
        <x:v>PR #42 · 41196187434</x:v>
      </x:c>
      <x:c r="K63" s="22" t="str">
        <x:v>Oui · PR #42, tests ciblés V131–V137</x:v>
      </x:c>
      <x:c r="L63" s="24" t="str">
        <x:v>Le code présent ne vaut pas validation artistique</x:v>
      </x:c>
    </x:row>
    <x:row r="64" ht="30" customHeight="1">
      <x:c r="A64" s="22" t="str">
        <x:v>Q04</x:v>
      </x:c>
      <x:c r="B64" s="22" t="str">
        <x:v>Qualité</x:v>
      </x:c>
      <x:c r="C64" s="24" t="str">
        <x:v>Navigation clavier / lecteur d'écran</x:v>
      </x:c>
      <x:c r="D64" s="24" t="str">
        <x:v>Tous les boutons et notices annoncés</x:v>
      </x:c>
      <x:c r="E64" s="22" t="str">
        <x:v>P0</x:v>
      </x:c>
      <x:c r="F64" s="22" t="str">
        <x:v>QA</x:v>
      </x:c>
      <x:c r="G64" s="22" t="str">
        <x:v>Partiel · prototype / preuve technique, finition ouverte</x:v>
      </x:c>
      <x:c r="H64" s="22" t="n">
        <x:v>4</x:v>
      </x:c>
      <x:c r="I64" s="22" t="n">
        <x:v>0</x:v>
      </x:c>
      <x:c r="J64" s="22" t="str">
        <x:v>PR #42 · 41196187434</x:v>
      </x:c>
      <x:c r="K64" s="22" t="str">
        <x:v>Partiellement · consulter backlog et rapport V137</x:v>
      </x:c>
      <x:c r="L64" s="24" t="str">
        <x:v>Le code présent ne vaut pas validation artistique</x:v>
      </x:c>
    </x:row>
    <x:row r="65" ht="30" customHeight="1">
      <x:c r="A65" s="22" t="str">
        <x:v>Q05</x:v>
      </x:c>
      <x:c r="B65" s="22" t="str">
        <x:v>Qualité</x:v>
      </x:c>
      <x:c r="C65" s="24" t="str">
        <x:v>Mobile compact</x:v>
      </x:c>
      <x:c r="D65" s="24" t="str">
        <x:v>Aucun débordement ou perte de commande</x:v>
      </x:c>
      <x:c r="E65" s="22" t="str">
        <x:v>P0</x:v>
      </x:c>
      <x:c r="F65" s="22" t="str">
        <x:v>QA</x:v>
      </x:c>
      <x:c r="G65" s="22" t="str">
        <x:v>Partiel · prototype / preuve technique, finition ouverte</x:v>
      </x:c>
      <x:c r="H65" s="22" t="n">
        <x:v>4</x:v>
      </x:c>
      <x:c r="I65" s="22" t="n">
        <x:v>0</x:v>
      </x:c>
      <x:c r="J65" s="22" t="str">
        <x:v>PR #42 · 41196187434</x:v>
      </x:c>
      <x:c r="K65" s="22" t="str">
        <x:v>Partiellement · consulter backlog et rapport V137</x:v>
      </x:c>
      <x:c r="L65" s="24" t="str">
        <x:v>Le code présent ne vaut pas validation artistique</x:v>
      </x:c>
    </x:row>
    <x:row r="66" ht="30" customHeight="1">
      <x:c r="A66" s="22" t="str">
        <x:v>Q06</x:v>
      </x:c>
      <x:c r="B66" s="22" t="str">
        <x:v>Qualité</x:v>
      </x:c>
      <x:c r="C66" s="24" t="str">
        <x:v>Test mode contraste</x:v>
      </x:c>
      <x:c r="D66" s="24" t="str">
        <x:v>Texte et glyphes encore lisibles</x:v>
      </x:c>
      <x:c r="E66" s="22" t="str">
        <x:v>P1</x:v>
      </x:c>
      <x:c r="F66" s="22" t="str">
        <x:v>QA</x:v>
      </x:c>
      <x:c r="G66" s="22" t="str">
        <x:v>Partiel · prototype / preuve technique, finition ouverte</x:v>
      </x:c>
      <x:c r="H66" s="22" t="n">
        <x:v>3</x:v>
      </x:c>
      <x:c r="I66" s="22" t="n">
        <x:v>0</x:v>
      </x:c>
      <x:c r="J66" s="22" t="str">
        <x:v>PR #42 · 41196187434</x:v>
      </x:c>
      <x:c r="K66" s="22" t="str">
        <x:v>Partiellement · consulter backlog et rapport V137</x:v>
      </x:c>
      <x:c r="L66" s="24" t="str">
        <x:v>Le code présent ne vaut pas validation artistique</x:v>
      </x:c>
    </x:row>
    <x:row r="67" ht="30" customHeight="1">
      <x:c r="A67" s="22" t="str">
        <x:v>Q07</x:v>
      </x:c>
      <x:c r="B67" s="22" t="str">
        <x:v>Qualité</x:v>
      </x:c>
      <x:c r="C67" s="24" t="str">
        <x:v>Test mode reduced motion</x:v>
      </x:c>
      <x:c r="D67" s="24" t="str">
        <x:v>Aucune animation forcée</x:v>
      </x:c>
      <x:c r="E67" s="22" t="str">
        <x:v>P0</x:v>
      </x:c>
      <x:c r="F67" s="22" t="str">
        <x:v>QA</x:v>
      </x:c>
      <x:c r="G67" s="22" t="str">
        <x:v>Partiel · prototype / preuve technique, finition ouverte</x:v>
      </x:c>
      <x:c r="H67" s="22" t="n">
        <x:v>2</x:v>
      </x:c>
      <x:c r="I67" s="22" t="n">
        <x:v>0</x:v>
      </x:c>
      <x:c r="J67" s="22" t="str">
        <x:v>PR #42 · 41196187434</x:v>
      </x:c>
      <x:c r="K67" s="22" t="str">
        <x:v>Partiellement · consulter backlog et rapport V137</x:v>
      </x:c>
      <x:c r="L67" s="24" t="str">
        <x:v>Le code présent ne vaut pas validation artistique</x:v>
      </x:c>
    </x:row>
    <x:row r="68" ht="30" customHeight="1">
      <x:c r="A68" s="22" t="str">
        <x:v>Q08</x:v>
      </x:c>
      <x:c r="B68" s="22" t="str">
        <x:v>Qualité</x:v>
      </x:c>
      <x:c r="C68" s="24" t="str">
        <x:v>Sauvegarde propriétaire / corruption</x:v>
      </x:c>
      <x:c r="D68" s="24" t="str">
        <x:v>Retour sûr au JH</x:v>
      </x:c>
      <x:c r="E68" s="22" t="str">
        <x:v>P0</x:v>
      </x:c>
      <x:c r="F68" s="22" t="str">
        <x:v>QA</x:v>
      </x:c>
      <x:c r="G68" s="22" t="str">
        <x:v>Code couvert · CI ciblée PASS ; validation artistique éventuelle ouverte</x:v>
      </x:c>
      <x:c r="H68" s="22" t="n">
        <x:v>4</x:v>
      </x:c>
      <x:c r="I68" s="22" t="n">
        <x:v>0</x:v>
      </x:c>
      <x:c r="J68" s="22" t="str">
        <x:v>PR #42 · 41196187434</x:v>
      </x:c>
      <x:c r="K68" s="22" t="str">
        <x:v>Oui · PR #42, tests ciblés V131–V137</x:v>
      </x:c>
      <x:c r="L68" s="24" t="str">
        <x:v>Le code présent ne vaut pas validation artistique</x:v>
      </x:c>
    </x:row>
    <x:row r="69" ht="30" customHeight="1">
      <x:c r="A69" s="22" t="str">
        <x:v>Q09</x:v>
      </x:c>
      <x:c r="B69" s="22" t="str">
        <x:v>Qualité</x:v>
      </x:c>
      <x:c r="C69" s="24" t="str">
        <x:v>Test 54 entrées catalogues</x:v>
      </x:c>
      <x:c r="D69" s="24" t="str">
        <x:v>Aucun modèle manquant ou dupliqué</x:v>
      </x:c>
      <x:c r="E69" s="22" t="str">
        <x:v>P0</x:v>
      </x:c>
      <x:c r="F69" s="22" t="str">
        <x:v>QA</x:v>
      </x:c>
      <x:c r="G69" s="22" t="str">
        <x:v>Code couvert · CI ciblée PASS ; validation artistique éventuelle ouverte</x:v>
      </x:c>
      <x:c r="H69" s="22" t="n">
        <x:v>3</x:v>
      </x:c>
      <x:c r="I69" s="22" t="n">
        <x:v>0</x:v>
      </x:c>
      <x:c r="J69" s="22" t="str">
        <x:v>PR #42 · 41196187434</x:v>
      </x:c>
      <x:c r="K69" s="22" t="str">
        <x:v>Oui · PR #42, tests ciblés V131–V137</x:v>
      </x:c>
      <x:c r="L69" s="24" t="str">
        <x:v>Le code présent ne vaut pas validation artistique</x:v>
      </x:c>
    </x:row>
    <x:row r="70" ht="30" customHeight="1">
      <x:c r="A70" s="22" t="str">
        <x:v>Q10</x:v>
      </x:c>
      <x:c r="B70" s="22" t="str">
        <x:v>Qualité</x:v>
      </x:c>
      <x:c r="C70" s="24" t="str">
        <x:v>Mesurer mémoire, VRAM, FPS</x:v>
      </x:c>
      <x:c r="D70" s="24" t="str">
        <x:v>Mesures réelles sur appareils identifiés</x:v>
      </x:c>
      <x:c r="E70" s="22" t="str">
        <x:v>P1</x:v>
      </x:c>
      <x:c r="F70" s="22" t="str">
        <x:v>Performance</x:v>
      </x:c>
      <x:c r="G70" s="22" t="str">
        <x:v>Ouvert · mesure / revue humaine / droits requis</x:v>
      </x:c>
      <x:c r="H70" s="22" t="n">
        <x:v>8</x:v>
      </x:c>
      <x:c r="I70" s="22" t="n">
        <x:v>0</x:v>
      </x:c>
      <x:c r="J70" s="22" t="str">
        <x:v>PR #42 · 41196187434</x:v>
      </x:c>
      <x:c r="K70" s="22" t="str">
        <x:v>Non : qualification indisponible</x:v>
      </x:c>
      <x:c r="L70" s="24" t="str">
        <x:v>Le code présent ne vaut pas validation artistique</x:v>
      </x:c>
    </x:row>
    <x:row r="71" ht="30" customHeight="1">
      <x:c r="A71" s="22" t="str">
        <x:v>Q11</x:v>
      </x:c>
      <x:c r="B71" s="22" t="str">
        <x:v>Qualité</x:v>
      </x:c>
      <x:c r="C71" s="24" t="str">
        <x:v>Validation 1:1 Jungle Hunter</x:v>
      </x:c>
      <x:c r="D71" s="24" t="str">
        <x:v>Revue artistique humaine avec captures</x:v>
      </x:c>
      <x:c r="E71" s="22" t="str">
        <x:v>P0</x:v>
      </x:c>
      <x:c r="F71" s="22" t="str">
        <x:v>Direction artistique</x:v>
      </x:c>
      <x:c r="G71" s="22" t="str">
        <x:v>Ouvert · mesure / revue humaine / droits requis</x:v>
      </x:c>
      <x:c r="H71" s="22" t="n">
        <x:v>10</x:v>
      </x:c>
      <x:c r="I71" s="22" t="n">
        <x:v>0</x:v>
      </x:c>
      <x:c r="J71" s="22" t="str">
        <x:v>PR #42 · 41196187434</x:v>
      </x:c>
      <x:c r="K71" s="22" t="str">
        <x:v>Non : qualification indisponible</x:v>
      </x:c>
      <x:c r="L71" s="24" t="str">
        <x:v>Le code présent ne vaut pas validation artistique</x:v>
      </x:c>
    </x:row>
    <x:row r="72" ht="30" customHeight="1">
      <x:c r="A72" s="22" t="str">
        <x:v>Q12</x:v>
      </x:c>
      <x:c r="B72" s="22" t="str">
        <x:v>Qualité</x:v>
      </x:c>
      <x:c r="C72" s="24" t="str">
        <x:v>Artistes et testeurs 4 profils</x:v>
      </x:c>
      <x:c r="D72" s="24" t="str">
        <x:v>Rapport 4 testeurs et comparaison</x:v>
      </x:c>
      <x:c r="E72" s="22" t="str">
        <x:v>P1</x:v>
      </x:c>
      <x:c r="F72" s="22" t="str">
        <x:v>QA</x:v>
      </x:c>
      <x:c r="G72" s="22" t="str">
        <x:v>Ouvert · mesure / revue humaine / droits requis</x:v>
      </x:c>
      <x:c r="H72" s="22" t="n">
        <x:v>12</x:v>
      </x:c>
      <x:c r="I72" s="22" t="n">
        <x:v>0</x:v>
      </x:c>
      <x:c r="J72" s="22" t="str">
        <x:v>PR #42 · 41196187434</x:v>
      </x:c>
      <x:c r="K72" s="22" t="str">
        <x:v>Non : qualification indisponible</x:v>
      </x:c>
      <x:c r="L72" s="24" t="str">
        <x:v>Le code présent ne vaut pas validation artistique</x:v>
      </x:c>
    </x:row>
    <x:row r="73" ht="30" customHeight="1">
      <x:c r="A73" s="22" t="str">
        <x:v>Q13</x:v>
      </x:c>
      <x:c r="B73" s="22" t="str">
        <x:v>Qualité</x:v>
      </x:c>
      <x:c r="C73" s="24" t="str">
        <x:v>CI carte de guerre + sessions</x:v>
      </x:c>
      <x:c r="D73" s="24" t="str">
        <x:v>Tests non régressions V85/V95/V115</x:v>
      </x:c>
      <x:c r="E73" s="22" t="str">
        <x:v>P0</x:v>
      </x:c>
      <x:c r="F73" s="22" t="str">
        <x:v>QA</x:v>
      </x:c>
      <x:c r="G73" s="22" t="str">
        <x:v>Code couvert · CI ciblée PASS ; validation artistique éventuelle ouverte</x:v>
      </x:c>
      <x:c r="H73" s="22" t="n">
        <x:v>7</x:v>
      </x:c>
      <x:c r="I73" s="22" t="n">
        <x:v>0</x:v>
      </x:c>
      <x:c r="J73" s="22" t="str">
        <x:v>PR #42 · 41196187434</x:v>
      </x:c>
      <x:c r="K73" s="22" t="str">
        <x:v>Oui · PR #42, tests ciblés V131–V137</x:v>
      </x:c>
      <x:c r="L73" s="24" t="str">
        <x:v>Le code présent ne vaut pas validation artistique</x:v>
      </x:c>
    </x:row>
    <x:row r="74" ht="30" customHeight="1">
      <x:c r="A74" s="22" t="str">
        <x:v>Q14</x:v>
      </x:c>
      <x:c r="B74" s="22" t="str">
        <x:v>Qualité</x:v>
      </x:c>
      <x:c r="C74" s="24" t="str">
        <x:v>Revue droits franchise</x:v>
      </x:c>
      <x:c r="D74" s="24" t="str">
        <x:v>Risque commercial clairement signalé</x:v>
      </x:c>
      <x:c r="E74" s="22" t="str">
        <x:v>P0</x:v>
      </x:c>
      <x:c r="F74" s="22" t="str">
        <x:v>Legal</x:v>
      </x:c>
      <x:c r="G74" s="22" t="str">
        <x:v>Ouvert · mesure / revue humaine / droits requis</x:v>
      </x:c>
      <x:c r="H74" s="22" t="n">
        <x:v>4</x:v>
      </x:c>
      <x:c r="I74" s="22" t="n">
        <x:v>0</x:v>
      </x:c>
      <x:c r="J74" s="22" t="str">
        <x:v>PR #42 · 41196187434</x:v>
      </x:c>
      <x:c r="K74" s="22" t="str">
        <x:v>Non : qualification indisponible</x:v>
      </x:c>
      <x:c r="L74" s="24" t="str">
        <x:v>Le code présent ne vaut pas validation artistique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fd57d5861324502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34" hidden="0" customWidth="1"/>
    <x:col min="4" max="4" width="44" hidden="0" customWidth="1"/>
    <x:col min="5" max="5" width="48" hidden="0" customWidth="1"/>
    <x:col min="6" max="6" width="27" hidden="0" customWidth="1"/>
    <x:col min="7" max="7" width="34" hidden="0" customWidth="1"/>
    <x:col min="8" max="8" width="36" hidden="0" customWidth="1"/>
    <x:col min="9" max="9" width="51" hidden="0" customWidth="1"/>
  </x:cols>
  <x:sheetData>
    <x:row r="1" ht="38" customHeight="1">
      <x:c r="A1" s="4" t="str">
        <x:v>ASSURANCE QUALITÉ · MATRICE D'ESSAI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Un typecheck, un test source ou un workflow réussi ne certifie ni un clic navigateur ni la fidélité photographique.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Famille</x:v>
      </x:c>
      <x:c r="C4" s="17" t="str">
        <x:v>Scénario</x:v>
      </x:c>
      <x:c r="D4" s="17" t="str">
        <x:v>Résultat attendu</x:v>
      </x:c>
      <x:c r="E4" s="17" t="str">
        <x:v>Preuve exigée</x:v>
      </x:c>
      <x:c r="F4" s="17" t="str">
        <x:v>Type</x:v>
      </x:c>
      <x:c r="G4" s="17" t="str">
        <x:v>État</x:v>
      </x:c>
      <x:c r="H4" s="17" t="str">
        <x:v>Environnement</x:v>
      </x:c>
      <x:c r="I4" s="17" t="str">
        <x:v>Lien preuve</x:v>
      </x:c>
    </x:row>
    <x:row r="5" ht="33" customHeight="1">
      <x:c r="A5" s="22" t="str">
        <x:v>QA-001</x:v>
      </x:c>
      <x:c r="B5" s="22" t="str">
        <x:v>Entrée</x:v>
      </x:c>
      <x:c r="C5" s="24" t="str">
        <x:v>Ouverture initiale</x:v>
      </x:c>
      <x:c r="D5" s="24" t="str">
        <x:v>Vue gauntlet par défaut</x:v>
      </x:c>
      <x:c r="E5" s="24" t="str">
        <x:v>UI visible, aucun changement de simulation</x:v>
      </x:c>
      <x:c r="F5" s="24" t="str">
        <x:v>Source / statique</x:v>
      </x:c>
      <x:c r="G5" s="24" t="str">
        <x:v>Chrome PASS sur composant réel + atlas témoin ; session complète non vérifiée</x:v>
      </x:c>
      <x:c r="H5" s="24" t="str">
        <x:v>Windows / Web / mobile selon cas</x:v>
      </x:c>
      <x:c r="I5" s="24" t="str">
        <x:v>https://github.com/darknigthmare/yautja-la-longue-chasse/actions/runs/41196187376/artifacts/13041231560</x:v>
      </x:c>
    </x:row>
    <x:row r="6" ht="33" customHeight="1">
      <x:c r="A6" s="22" t="str">
        <x:v>QA-002</x:v>
      </x:c>
      <x:c r="B6" s="22" t="str">
        <x:v>Entrée</x:v>
      </x:c>
      <x:c r="C6" s="24" t="str">
        <x:v>Choix de vue classique</x:v>
      </x:c>
      <x:c r="D6" s="24" t="str">
        <x:v>Bascule instantanée</x:v>
      </x:c>
      <x:c r="E6" s="24" t="str">
        <x:v>Un seul atlas vivant</x:v>
      </x:c>
      <x:c r="F6" s="24" t="str">
        <x:v>Source / statique</x:v>
      </x:c>
      <x:c r="G6" s="24" t="str">
        <x:v>Chrome PASS sur composant réel + atlas témoin ; session complète non vérifiée</x:v>
      </x:c>
      <x:c r="H6" s="24" t="str">
        <x:v>Windows / Web / mobile selon cas</x:v>
      </x:c>
      <x:c r="I6" s="24" t="str">
        <x:v>https://github.com/darknigthmare/yautja-la-longue-chasse/actions/runs/41196187376/artifacts/13041231560</x:v>
      </x:c>
    </x:row>
    <x:row r="7" ht="33" customHeight="1">
      <x:c r="A7" s="22" t="str">
        <x:v>QA-003</x:v>
      </x:c>
      <x:c r="B7" s="22" t="str">
        <x:v>Entrée</x:v>
      </x:c>
      <x:c r="C7" s="24" t="str">
        <x:v>Retour à la vue holo</x:v>
      </x:c>
      <x:c r="D7" s="24" t="str">
        <x:v>Préserver la carte</x:v>
      </x:c>
      <x:c r="E7" s="24" t="str">
        <x:v>Caméra et zoom conservés</x:v>
      </x:c>
      <x:c r="F7" s="24" t="str">
        <x:v>E2E navigateur requis</x:v>
      </x:c>
      <x:c r="G7" s="24" t="str">
        <x:v>Chrome PASS sur composant réel + atlas témoin ; session complète non vérifiée</x:v>
      </x:c>
      <x:c r="H7" s="24" t="str">
        <x:v>Windows / Web / mobile selon cas</x:v>
      </x:c>
      <x:c r="I7" s="24" t="str">
        <x:v>https://github.com/darknigthmare/yautja-la-longue-chasse/actions/runs/41196187376/artifacts/13041231560</x:v>
      </x:c>
    </x:row>
    <x:row r="8" ht="33" customHeight="1">
      <x:c r="A8" s="22" t="str">
        <x:v>QA-004</x:v>
      </x:c>
      <x:c r="B8" s="22" t="str">
        <x:v>Rangs</x:v>
      </x:c>
      <x:c r="C8" s="24" t="str">
        <x:v>Young Blood</x:v>
      </x:c>
      <x:c r="D8" s="24" t="str">
        <x:v>Jungle seulement</x:v>
      </x:c>
      <x:c r="E8" s="24" t="str">
        <x:v>City/Wolf/Dek refusés</x:v>
      </x:c>
      <x:c r="F8" s="24" t="str">
        <x:v>Source / statique</x:v>
      </x:c>
      <x:c r="G8" s="24" t="str">
        <x:v>Tests Node/TypeScript PASS ; parcours réel dans le jeu restant</x:v>
      </x:c>
      <x:c r="H8" s="24" t="str">
        <x:v>Windows / Web / mobile selon cas</x:v>
      </x:c>
      <x:c r="I8" s="24" t="str">
        <x:v>https://github.com/darknigthmare/yautja-la-longue-chasse/actions/runs/41196187376</x:v>
      </x:c>
    </x:row>
    <x:row r="9" ht="33" customHeight="1">
      <x:c r="A9" s="22" t="str">
        <x:v>QA-005</x:v>
      </x:c>
      <x:c r="B9" s="22" t="str">
        <x:v>Rangs</x:v>
      </x:c>
      <x:c r="C9" s="24" t="str">
        <x:v>Blooded</x:v>
      </x:c>
      <x:c r="D9" s="24" t="str">
        <x:v>City + Scar + Captured + Hunter</x:v>
      </x:c>
      <x:c r="E9" s="24" t="str">
        <x:v>Rang réel du profil</x:v>
      </x:c>
      <x:c r="F9" s="24" t="str">
        <x:v>E2E navigateur requis</x:v>
      </x:c>
      <x:c r="G9" s="24" t="str">
        <x:v>Tests Node/TypeScript PASS ; parcours réel dans le jeu restant</x:v>
      </x:c>
      <x:c r="H9" s="24" t="str">
        <x:v>Windows / Web / mobile selon cas</x:v>
      </x:c>
      <x:c r="I9" s="24" t="str">
        <x:v>https://github.com/darknigthmare/yautja-la-longue-chasse/actions/runs/41196187376</x:v>
      </x:c>
    </x:row>
    <x:row r="10" ht="33" customHeight="1">
      <x:c r="A10" s="22" t="str">
        <x:v>QA-006</x:v>
      </x:c>
      <x:c r="B10" s="22" t="str">
        <x:v>Rangs</x:v>
      </x:c>
      <x:c r="C10" s="24" t="str">
        <x:v>Elite</x:v>
      </x:c>
      <x:c r="D10" s="24" t="str">
        <x:v>Wolf/Feral/Fugitive</x:v>
      </x:c>
      <x:c r="E10" s="24" t="str">
        <x:v>Aucune statistique augmentée</x:v>
      </x:c>
      <x:c r="F10" s="24" t="str">
        <x:v>E2E navigateur requis</x:v>
      </x:c>
      <x:c r="G10" s="24" t="str">
        <x:v>Tests Node/TypeScript PASS ; parcours réel dans le jeu restant</x:v>
      </x:c>
      <x:c r="H10" s="24" t="str">
        <x:v>Windows / Web / mobile selon cas</x:v>
      </x:c>
      <x:c r="I10" s="24" t="str">
        <x:v>https://github.com/darknigthmare/yautja-la-longue-chasse/actions/runs/41196187376</x:v>
      </x:c>
    </x:row>
    <x:row r="11" ht="33" customHeight="1">
      <x:c r="A11" s="22" t="str">
        <x:v>QA-007</x:v>
      </x:c>
      <x:c r="B11" s="22" t="str">
        <x:v>Rangs</x:v>
      </x:c>
      <x:c r="C11" s="24" t="str">
        <x:v>Elder</x:v>
      </x:c>
      <x:c r="D11" s="24" t="str">
        <x:v>Dek/Greyback</x:v>
      </x:c>
      <x:c r="E11" s="24" t="str">
        <x:v>Modèles encore à référencer</x:v>
      </x:c>
      <x:c r="F11" s="24" t="str">
        <x:v>Source / statique</x:v>
      </x:c>
      <x:c r="G11" s="24" t="str">
        <x:v>Tests Node/TypeScript PASS ; parcours réel dans le jeu restant</x:v>
      </x:c>
      <x:c r="H11" s="24" t="str">
        <x:v>Windows / Web / mobile selon cas</x:v>
      </x:c>
      <x:c r="I11" s="24" t="str">
        <x:v>https://github.com/darknigthmare/yautja-la-longue-chasse/actions/runs/41196187376</x:v>
      </x:c>
    </x:row>
    <x:row r="12" ht="33" customHeight="1">
      <x:c r="A12" s="22" t="str">
        <x:v>QA-008</x:v>
      </x:c>
      <x:c r="B12" s="22" t="str">
        <x:v>Rangs</x:v>
      </x:c>
      <x:c r="C12" s="24" t="str">
        <x:v>Défi non implémenté</x:v>
      </x:c>
      <x:c r="D12" s="24" t="str">
        <x:v>44 modèles verrouillés</x:v>
      </x:c>
      <x:c r="E12" s="24" t="str">
        <x:v>Jamais déblocage mensonger</x:v>
      </x:c>
      <x:c r="F12" s="24" t="str">
        <x:v>Source / statique</x:v>
      </x:c>
      <x:c r="G12" s="24" t="str">
        <x:v>Tests Node/TypeScript PASS ; parcours réel dans le jeu restant</x:v>
      </x:c>
      <x:c r="H12" s="24" t="str">
        <x:v>Windows / Web / mobile selon cas</x:v>
      </x:c>
      <x:c r="I12" s="24" t="str">
        <x:v>https://github.com/darknigthmare/yautja-la-longue-chasse/actions/runs/41196187376</x:v>
      </x:c>
    </x:row>
    <x:row r="13" ht="33" customHeight="1">
      <x:c r="A13" s="22" t="str">
        <x:v>QA-009</x:v>
      </x:c>
      <x:c r="B13" s="22" t="str">
        <x:v>Sauvegarde</x:v>
      </x:c>
      <x:c r="C13" s="24" t="str">
        <x:v>Stockage refusé</x:v>
      </x:c>
      <x:c r="D13" s="24" t="str">
        <x:v>Mode en session et fallback</x:v>
      </x:c>
      <x:c r="E13" s="24" t="str">
        <x:v>Simulation non altérée</x:v>
      </x:c>
      <x:c r="F13" s="24" t="str">
        <x:v>E2E navigateur requis</x:v>
      </x:c>
      <x:c r="G13" s="24" t="str">
        <x:v>Tests Node/TypeScript PASS ; parcours réel dans le jeu restant</x:v>
      </x:c>
      <x:c r="H13" s="24" t="str">
        <x:v>Windows / Web / mobile selon cas</x:v>
      </x:c>
      <x:c r="I13" s="24" t="str">
        <x:v>https://github.com/darknigthmare/yautja-la-longue-chasse/actions/runs/41196187376</x:v>
      </x:c>
    </x:row>
    <x:row r="14" ht="33" customHeight="1">
      <x:c r="A14" s="22" t="str">
        <x:v>QA-010</x:v>
      </x:c>
      <x:c r="B14" s="22" t="str">
        <x:v>Sauvegarde</x:v>
      </x:c>
      <x:c r="C14" s="24" t="str">
        <x:v>JSON corrompu</x:v>
      </x:c>
      <x:c r="D14" s="24" t="str">
        <x:v>Jungle Hunter restauré</x:v>
      </x:c>
      <x:c r="E14" s="24" t="str">
        <x:v>Original non écrasé par chargement</x:v>
      </x:c>
      <x:c r="F14" s="24" t="str">
        <x:v>E2E navigateur requis</x:v>
      </x:c>
      <x:c r="G14" s="24" t="str">
        <x:v>Tests Node/TypeScript PASS ; parcours réel dans le jeu restant</x:v>
      </x:c>
      <x:c r="H14" s="24" t="str">
        <x:v>Windows / Web / mobile selon cas</x:v>
      </x:c>
      <x:c r="I14" s="24" t="str">
        <x:v>https://github.com/darknigthmare/yautja-la-longue-chasse/actions/runs/41196187376</x:v>
      </x:c>
    </x:row>
    <x:row r="15" ht="33" customHeight="1">
      <x:c r="A15" s="22" t="str">
        <x:v>QA-011</x:v>
      </x:c>
      <x:c r="B15" s="22" t="str">
        <x:v>Sauvegarde</x:v>
      </x:c>
      <x:c r="C15" s="24" t="str">
        <x:v>Changement de profil</x:v>
      </x:c>
      <x:c r="D15" s="24" t="str">
        <x:v>Équipement séparé par createdAt</x:v>
      </x:c>
      <x:c r="E15" s="24" t="str">
        <x:v>Aucune fuite interprofils</x:v>
      </x:c>
      <x:c r="F15" s="24" t="str">
        <x:v>E2E navigateur requis</x:v>
      </x:c>
      <x:c r="G15" s="24" t="str">
        <x:v>Tests Node/TypeScript PASS ; parcours réel dans le jeu restant</x:v>
      </x:c>
      <x:c r="H15" s="24" t="str">
        <x:v>Windows / Web / mobile selon cas</x:v>
      </x:c>
      <x:c r="I15" s="24" t="str">
        <x:v>https://github.com/darknigthmare/yautja-la-longue-chasse/actions/runs/41196187376</x:v>
      </x:c>
    </x:row>
    <x:row r="16" ht="33" customHeight="1">
      <x:c r="A16" s="22" t="str">
        <x:v>QA-012</x:v>
      </x:c>
      <x:c r="B16" s="22" t="str">
        <x:v>Sauvegarde</x:v>
      </x:c>
      <x:c r="C16" s="24" t="str">
        <x:v>Deux onglets</x:v>
      </x:c>
      <x:c r="D16" s="24" t="str">
        <x:v>Modification du choix reçue</x:v>
      </x:c>
      <x:c r="E16" s="24" t="str">
        <x:v>Pas de conflit de simulation</x:v>
      </x:c>
      <x:c r="F16" s="24" t="str">
        <x:v>E2E navigateur requis</x:v>
      </x:c>
      <x:c r="G16" s="24" t="str">
        <x:v>Tests Node/TypeScript PASS ; parcours réel dans le jeu restant</x:v>
      </x:c>
      <x:c r="H16" s="24" t="str">
        <x:v>Windows / Web / mobile selon cas</x:v>
      </x:c>
      <x:c r="I16" s="24" t="str">
        <x:v>https://github.com/darknigthmare/yautja-la-longue-chasse/actions/runs/41196187376</x:v>
      </x:c>
    </x:row>
    <x:row r="17" ht="33" customHeight="1">
      <x:c r="A17" s="22" t="str">
        <x:v>QA-013</x:v>
      </x:c>
      <x:c r="B17" s="22" t="str">
        <x:v>Sauvegarde</x:v>
      </x:c>
      <x:c r="C17" s="24" t="str">
        <x:v>Rétrogradation rang</x:v>
      </x:c>
      <x:c r="D17" s="24" t="str">
        <x:v>Jungle sûr si modèle inaccessible</x:v>
      </x:c>
      <x:c r="E17" s="24" t="str">
        <x:v>Ne modifie pas le rang</x:v>
      </x:c>
      <x:c r="F17" s="24" t="str">
        <x:v>E2E navigateur requis</x:v>
      </x:c>
      <x:c r="G17" s="24" t="str">
        <x:v>Tests Node/TypeScript PASS ; parcours réel dans le jeu restant</x:v>
      </x:c>
      <x:c r="H17" s="24" t="str">
        <x:v>Windows / Web / mobile selon cas</x:v>
      </x:c>
      <x:c r="I17" s="24" t="str">
        <x:v>https://github.com/darknigthmare/yautja-la-longue-chasse/actions/runs/41196187376</x:v>
      </x:c>
    </x:row>
    <x:row r="18" ht="33" customHeight="1">
      <x:c r="A18" s="22" t="str">
        <x:v>QA-014</x:v>
      </x:c>
      <x:c r="B18" s="22" t="str">
        <x:v>Planète</x:v>
      </x:c>
      <x:c r="C18" s="24" t="str">
        <x:v>Korthas -&gt; Terre</x:v>
      </x:c>
      <x:c r="D18" s="24" t="str">
        <x:v>Mode et gauntlet conservés</x:v>
      </x:c>
      <x:c r="E18" s="24" t="str">
        <x:v>Session de chaque planète indépendante</x:v>
      </x:c>
      <x:c r="F18" s="24" t="str">
        <x:v>E2E navigateur requis</x:v>
      </x:c>
      <x:c r="G18" s="24" t="str">
        <x:v>OUVERT · scénario navigateur/artistique non vérifié</x:v>
      </x:c>
      <x:c r="H18" s="24" t="str">
        <x:v>Windows / Web / mobile selon cas</x:v>
      </x:c>
      <x:c r="I18" s="24" t="str">
        <x:v>https://github.com/darknigthmare/yautja-la-longue-chasse/pull/42</x:v>
      </x:c>
    </x:row>
    <x:row r="19" ht="33" customHeight="1">
      <x:c r="A19" s="22" t="str">
        <x:v>QA-015</x:v>
      </x:c>
      <x:c r="B19" s="22" t="str">
        <x:v>Planète</x:v>
      </x:c>
      <x:c r="C19" s="24" t="str">
        <x:v>Générateur de planète</x:v>
      </x:c>
      <x:c r="D19" s="24" t="str">
        <x:v>Gauntlet conserve géographie</x:v>
      </x:c>
      <x:c r="E19" s="24" t="str">
        <x:v>Aucun biome nouveau inventé</x:v>
      </x:c>
      <x:c r="F19" s="24" t="str">
        <x:v>E2E navigateur requis</x:v>
      </x:c>
      <x:c r="G19" s="24" t="str">
        <x:v>OUVERT · scénario navigateur/artistique non vérifié</x:v>
      </x:c>
      <x:c r="H19" s="24" t="str">
        <x:v>Windows / Web / mobile selon cas</x:v>
      </x:c>
      <x:c r="I19" s="24" t="str">
        <x:v>https://github.com/darknigthmare/yautja-la-longue-chasse/pull/42</x:v>
      </x:c>
    </x:row>
    <x:row r="20" ht="33" customHeight="1">
      <x:c r="A20" s="22" t="str">
        <x:v>QA-016</x:v>
      </x:c>
      <x:c r="B20" s="22" t="str">
        <x:v>Planète</x:v>
      </x:c>
      <x:c r="C20" s="24" t="str">
        <x:v>Planète hors ligne</x:v>
      </x:c>
      <x:c r="D20" s="24" t="str">
        <x:v>Readout avec données locales</x:v>
      </x:c>
      <x:c r="E20" s="24" t="str">
        <x:v>Pas de carte factice</x:v>
      </x:c>
      <x:c r="F20" s="24" t="str">
        <x:v>E2E navigateur requis</x:v>
      </x:c>
      <x:c r="G20" s="24" t="str">
        <x:v>OUVERT · scénario navigateur/artistique non vérifié</x:v>
      </x:c>
      <x:c r="H20" s="24" t="str">
        <x:v>Windows / Web / mobile selon cas</x:v>
      </x:c>
      <x:c r="I20" s="24" t="str">
        <x:v>https://github.com/darknigthmare/yautja-la-longue-chasse/pull/42</x:v>
      </x:c>
    </x:row>
    <x:row r="21" ht="33" customHeight="1">
      <x:c r="A21" s="22" t="str">
        <x:v>QA-017</x:v>
      </x:c>
      <x:c r="B21" s="22" t="str">
        <x:v>Ordres</x:v>
      </x:c>
      <x:c r="C21" s="24" t="str">
        <x:v>Attaque</x:v>
      </x:c>
      <x:c r="D21" s="24" t="str">
        <x:v>Prévisualisation fidèle de l'ordre</x:v>
      </x:c>
      <x:c r="E21" s="24" t="str">
        <x:v>Capacité et coût inchangés</x:v>
      </x:c>
      <x:c r="F21" s="24" t="str">
        <x:v>E2E navigateur requis</x:v>
      </x:c>
      <x:c r="G21" s="24" t="str">
        <x:v>OUVERT · scénario navigateur/artistique non vérifié</x:v>
      </x:c>
      <x:c r="H21" s="24" t="str">
        <x:v>Windows / Web / mobile selon cas</x:v>
      </x:c>
      <x:c r="I21" s="24" t="str">
        <x:v>https://github.com/darknigthmare/yautja-la-longue-chasse/pull/42</x:v>
      </x:c>
    </x:row>
    <x:row r="22" ht="33" customHeight="1">
      <x:c r="A22" s="22" t="str">
        <x:v>QA-018</x:v>
      </x:c>
      <x:c r="B22" s="22" t="str">
        <x:v>Ordres</x:v>
      </x:c>
      <x:c r="C22" s="24" t="str">
        <x:v>Logistique</x:v>
      </x:c>
      <x:c r="D22" s="24" t="str">
        <x:v>Readout de ravitaillement</x:v>
      </x:c>
      <x:c r="E22" s="24" t="str">
        <x:v>Données déjà accessibles</x:v>
      </x:c>
      <x:c r="F22" s="24" t="str">
        <x:v>E2E navigateur requis</x:v>
      </x:c>
      <x:c r="G22" s="24" t="str">
        <x:v>OUVERT · scénario navigateur/artistique non vérifié</x:v>
      </x:c>
      <x:c r="H22" s="24" t="str">
        <x:v>Windows / Web / mobile selon cas</x:v>
      </x:c>
      <x:c r="I22" s="24" t="str">
        <x:v>https://github.com/darknigthmare/yautja-la-longue-chasse/pull/42</x:v>
      </x:c>
    </x:row>
    <x:row r="23" ht="33" customHeight="1">
      <x:c r="A23" s="22" t="str">
        <x:v>QA-019</x:v>
      </x:c>
      <x:c r="B23" s="22" t="str">
        <x:v>Ordres</x:v>
      </x:c>
      <x:c r="C23" s="24" t="str">
        <x:v>Soins</x:v>
      </x:c>
      <x:c r="D23" s="24" t="str">
        <x:v>Blessés et aptes exacts</x:v>
      </x:c>
      <x:c r="E23" s="24" t="str">
        <x:v>Aucun soin automatique</x:v>
      </x:c>
      <x:c r="F23" s="24" t="str">
        <x:v>E2E navigateur requis</x:v>
      </x:c>
      <x:c r="G23" s="24" t="str">
        <x:v>OUVERT · scénario navigateur/artistique non vérifié</x:v>
      </x:c>
      <x:c r="H23" s="24" t="str">
        <x:v>Windows / Web / mobile selon cas</x:v>
      </x:c>
      <x:c r="I23" s="24" t="str">
        <x:v>https://github.com/darknigthmare/yautja-la-longue-chasse/pull/42</x:v>
      </x:c>
    </x:row>
    <x:row r="24" ht="33" customHeight="1">
      <x:c r="A24" s="22" t="str">
        <x:v>QA-020</x:v>
      </x:c>
      <x:c r="B24" s="22" t="str">
        <x:v>Ordres</x:v>
      </x:c>
      <x:c r="C24" s="24" t="str">
        <x:v>Transfert</x:v>
      </x:c>
      <x:c r="D24" s="24" t="str">
        <x:v>Sélection et annulation identiques</x:v>
      </x:c>
      <x:c r="E24" s="24" t="str">
        <x:v>Pas de double ordre</x:v>
      </x:c>
      <x:c r="F24" s="24" t="str">
        <x:v>E2E navigateur requis</x:v>
      </x:c>
      <x:c r="G24" s="24" t="str">
        <x:v>OUVERT · scénario navigateur/artistique non vérifié</x:v>
      </x:c>
      <x:c r="H24" s="24" t="str">
        <x:v>Windows / Web / mobile selon cas</x:v>
      </x:c>
      <x:c r="I24" s="24" t="str">
        <x:v>https://github.com/darknigthmare/yautja-la-longue-chasse/pull/42</x:v>
      </x:c>
    </x:row>
    <x:row r="25" ht="33" customHeight="1">
      <x:c r="A25" s="22" t="str">
        <x:v>QA-021</x:v>
      </x:c>
      <x:c r="B25" s="22" t="str">
        <x:v>Ordres</x:v>
      </x:c>
      <x:c r="C25" s="24" t="str">
        <x:v>Confirmations</x:v>
      </x:c>
      <x:c r="D25" s="24" t="str">
        <x:v>Aucune réservation au switch</x:v>
      </x:c>
      <x:c r="E25" s="24" t="str">
        <x:v>Tour résolu une seule fois</x:v>
      </x:c>
      <x:c r="F25" s="24" t="str">
        <x:v>E2E navigateur requis</x:v>
      </x:c>
      <x:c r="G25" s="24" t="str">
        <x:v>OUVERT · scénario navigateur/artistique non vérifié</x:v>
      </x:c>
      <x:c r="H25" s="24" t="str">
        <x:v>Windows / Web / mobile selon cas</x:v>
      </x:c>
      <x:c r="I25" s="24" t="str">
        <x:v>https://github.com/darknigthmare/yautja-la-longue-chasse/pull/42</x:v>
      </x:c>
    </x:row>
    <x:row r="26" ht="33" customHeight="1">
      <x:c r="A26" s="22" t="str">
        <x:v>QA-022</x:v>
      </x:c>
      <x:c r="B26" s="22" t="str">
        <x:v>Affichage</x:v>
      </x:c>
      <x:c r="C26" s="24" t="str">
        <x:v>Palette Jungle</x:v>
      </x:c>
      <x:c r="D26" s="24" t="str">
        <x:v>Glyphes rouge / halo turquoise</x:v>
      </x:c>
      <x:c r="E26" s="24" t="str">
        <x:v>Contraste et iconographie</x:v>
      </x:c>
      <x:c r="F26" s="24" t="str">
        <x:v>Source / statique</x:v>
      </x:c>
      <x:c r="G26" s="24" t="str">
        <x:v>Galerie QA Chrome PASS ; parcours campagne restant</x:v>
      </x:c>
      <x:c r="H26" s="24" t="str">
        <x:v>Windows / Web / mobile selon cas</x:v>
      </x:c>
      <x:c r="I26" s="24" t="str">
        <x:v>https://github.com/darknigthmare/yautja-la-longue-chasse/actions/runs/41196187376</x:v>
      </x:c>
    </x:row>
    <x:row r="27" ht="33" customHeight="1">
      <x:c r="A27" s="22" t="str">
        <x:v>QA-023</x:v>
      </x:c>
      <x:c r="B27" s="22" t="str">
        <x:v>Affichage</x:v>
      </x:c>
      <x:c r="C27" s="24" t="str">
        <x:v>Palette City</x:v>
      </x:c>
      <x:c r="D27" s="24" t="str">
        <x:v>Theme urbain uniquement</x:v>
      </x:c>
      <x:c r="E27" s="24" t="str">
        <x:v>Ne pas copier geometry non vérifiée</x:v>
      </x:c>
      <x:c r="F27" s="24" t="str">
        <x:v>E2E navigateur requis</x:v>
      </x:c>
      <x:c r="G27" s="24" t="str">
        <x:v>Galerie QA Chrome PASS ; parcours campagne restant</x:v>
      </x:c>
      <x:c r="H27" s="24" t="str">
        <x:v>Windows / Web / mobile selon cas</x:v>
      </x:c>
      <x:c r="I27" s="24" t="str">
        <x:v>https://github.com/darknigthmare/yautja-la-longue-chasse/actions/runs/41196187376</x:v>
      </x:c>
    </x:row>
    <x:row r="28" ht="33" customHeight="1">
      <x:c r="A28" s="22" t="str">
        <x:v>QA-024</x:v>
      </x:c>
      <x:c r="B28" s="22" t="str">
        <x:v>Affichage</x:v>
      </x:c>
      <x:c r="C28" s="24" t="str">
        <x:v>Palette Feral</x:v>
      </x:c>
      <x:c r="D28" s="24" t="str">
        <x:v>Profil organique</x:v>
      </x:c>
      <x:c r="E28" s="24" t="str">
        <x:v>Aucun écran 1987</x:v>
      </x:c>
      <x:c r="F28" s="24" t="str">
        <x:v>E2E navigateur requis</x:v>
      </x:c>
      <x:c r="G28" s="24" t="str">
        <x:v>Galerie QA Chrome PASS ; parcours campagne restant</x:v>
      </x:c>
      <x:c r="H28" s="24" t="str">
        <x:v>Windows / Web / mobile selon cas</x:v>
      </x:c>
      <x:c r="I28" s="24" t="str">
        <x:v>https://github.com/darknigthmare/yautja-la-longue-chasse/actions/runs/41196187376</x:v>
      </x:c>
    </x:row>
    <x:row r="29" ht="33" customHeight="1">
      <x:c r="A29" s="22" t="str">
        <x:v>QA-025</x:v>
      </x:c>
      <x:c r="B29" s="22" t="str">
        <x:v>Affichage</x:v>
      </x:c>
      <x:c r="C29" s="24" t="str">
        <x:v>Palette Dek</x:v>
      </x:c>
      <x:c r="D29" s="24" t="str">
        <x:v>Profil filigrane</x:v>
      </x:c>
      <x:c r="E29" s="24" t="str">
        <x:v>Wētā comme référence</x:v>
      </x:c>
      <x:c r="F29" s="24" t="str">
        <x:v>E2E navigateur requis</x:v>
      </x:c>
      <x:c r="G29" s="24" t="str">
        <x:v>Galerie QA Chrome PASS ; parcours campagne restant</x:v>
      </x:c>
      <x:c r="H29" s="24" t="str">
        <x:v>Windows / Web / mobile selon cas</x:v>
      </x:c>
      <x:c r="I29" s="24" t="str">
        <x:v>https://github.com/darknigthmare/yautja-la-longue-chasse/actions/runs/41196187376</x:v>
      </x:c>
    </x:row>
    <x:row r="30" ht="33" customHeight="1">
      <x:c r="A30" s="22" t="str">
        <x:v>QA-026</x:v>
      </x:c>
      <x:c r="B30" s="22" t="str">
        <x:v>Affichage</x:v>
      </x:c>
      <x:c r="C30" s="24" t="str">
        <x:v>54 cartes</x:v>
      </x:c>
      <x:c r="D30" s="24" t="str">
        <x:v>Filtres + pagination</x:v>
      </x:c>
      <x:c r="E30" s="24" t="str">
        <x:v>Pas de lenteur anormale</x:v>
      </x:c>
      <x:c r="F30" s="24" t="str">
        <x:v>Source / statique</x:v>
      </x:c>
      <x:c r="G30" s="24" t="str">
        <x:v>Galerie QA Chrome PASS ; parcours campagne restant</x:v>
      </x:c>
      <x:c r="H30" s="24" t="str">
        <x:v>Windows / Web / mobile selon cas</x:v>
      </x:c>
      <x:c r="I30" s="24" t="str">
        <x:v>https://github.com/darknigthmare/yautja-la-longue-chasse/actions/runs/41196187376</x:v>
      </x:c>
    </x:row>
    <x:row r="31" ht="33" customHeight="1">
      <x:c r="A31" s="22" t="str">
        <x:v>QA-027</x:v>
      </x:c>
      <x:c r="B31" s="22" t="str">
        <x:v>Affichage</x:v>
      </x:c>
      <x:c r="C31" s="24" t="str">
        <x:v>Référence insuffisante</x:v>
      </x:c>
      <x:c r="D31" s="24" t="str">
        <x:v>Badge prototype</x:v>
      </x:c>
      <x:c r="E31" s="24" t="str">
        <x:v>Pas de 1:1 affirmé</x:v>
      </x:c>
      <x:c r="F31" s="24" t="str">
        <x:v>Source / statique</x:v>
      </x:c>
      <x:c r="G31" s="24" t="str">
        <x:v>Galerie QA Chrome PASS ; parcours campagne restant</x:v>
      </x:c>
      <x:c r="H31" s="24" t="str">
        <x:v>Windows / Web / mobile selon cas</x:v>
      </x:c>
      <x:c r="I31" s="24" t="str">
        <x:v>https://github.com/darknigthmare/yautja-la-longue-chasse/actions/runs/41196187376</x:v>
      </x:c>
    </x:row>
    <x:row r="32" ht="33" customHeight="1">
      <x:c r="A32" s="22" t="str">
        <x:v>QA-028</x:v>
      </x:c>
      <x:c r="B32" s="22" t="str">
        <x:v>Responsive</x:v>
      </x:c>
      <x:c r="C32" s="24" t="str">
        <x:v>320px largeur</x:v>
      </x:c>
      <x:c r="D32" s="24" t="str">
        <x:v>Aucun bouton caché</x:v>
      </x:c>
      <x:c r="E32" s="24" t="str">
        <x:v>Scroll et focus corrects</x:v>
      </x:c>
      <x:c r="F32" s="24" t="str">
        <x:v>E2E navigateur requis</x:v>
      </x:c>
      <x:c r="G32" s="24" t="str">
        <x:v>OUVERT · scénario navigateur/artistique non vérifié</x:v>
      </x:c>
      <x:c r="H32" s="24" t="str">
        <x:v>Windows / Web / mobile selon cas</x:v>
      </x:c>
      <x:c r="I32" s="24" t="str">
        <x:v>https://github.com/darknigthmare/yautja-la-longue-chasse/pull/42</x:v>
      </x:c>
    </x:row>
    <x:row r="33" ht="33" customHeight="1">
      <x:c r="A33" s="22" t="str">
        <x:v>QA-029</x:v>
      </x:c>
      <x:c r="B33" s="22" t="str">
        <x:v>Responsive</x:v>
      </x:c>
      <x:c r="C33" s="24" t="str">
        <x:v>390px largeur</x:v>
      </x:c>
      <x:c r="D33" s="24" t="str">
        <x:v>Armurerie lisible</x:v>
      </x:c>
      <x:c r="E33" s="24" t="str">
        <x:v>Aucune troncature</x:v>
      </x:c>
      <x:c r="F33" s="24" t="str">
        <x:v>E2E navigateur requis</x:v>
      </x:c>
      <x:c r="G33" s="24" t="str">
        <x:v>Chrome QA PASS sur galerie (390px/clavier/mouvements réduits)</x:v>
      </x:c>
      <x:c r="H33" s="24" t="str">
        <x:v>Windows / Web / mobile selon cas</x:v>
      </x:c>
      <x:c r="I33" s="24" t="str">
        <x:v>https://github.com/darknigthmare/yautja-la-longue-chasse/actions/runs/41196187376/artifacts/13041067289</x:v>
      </x:c>
    </x:row>
    <x:row r="34" ht="33" customHeight="1">
      <x:c r="A34" s="22" t="str">
        <x:v>QA-030</x:v>
      </x:c>
      <x:c r="B34" s="22" t="str">
        <x:v>Responsive</x:v>
      </x:c>
      <x:c r="C34" s="24" t="str">
        <x:v>768px largeur</x:v>
      </x:c>
      <x:c r="D34" s="24" t="str">
        <x:v>Atlas toujours interactif</x:v>
      </x:c>
      <x:c r="E34" s="24" t="str">
        <x:v>Aucun overlay bloque-clic</x:v>
      </x:c>
      <x:c r="F34" s="24" t="str">
        <x:v>E2E navigateur requis</x:v>
      </x:c>
      <x:c r="G34" s="24" t="str">
        <x:v>OUVERT · scénario navigateur/artistique non vérifié</x:v>
      </x:c>
      <x:c r="H34" s="24" t="str">
        <x:v>Windows / Web / mobile selon cas</x:v>
      </x:c>
      <x:c r="I34" s="24" t="str">
        <x:v>https://github.com/darknigthmare/yautja-la-longue-chasse/pull/42</x:v>
      </x:c>
    </x:row>
    <x:row r="35" ht="33" customHeight="1">
      <x:c r="A35" s="22" t="str">
        <x:v>QA-031</x:v>
      </x:c>
      <x:c r="B35" s="22" t="str">
        <x:v>Responsive</x:v>
      </x:c>
      <x:c r="C35" s="24" t="str">
        <x:v>Desktop 1440px</x:v>
      </x:c>
      <x:c r="D35" s="24" t="str">
        <x:v>Lisibilité et proportions</x:v>
      </x:c>
      <x:c r="E35" s="24" t="str">
        <x:v>Comparaison film côte à côte</x:v>
      </x:c>
      <x:c r="F35" s="24" t="str">
        <x:v>E2E navigateur requis</x:v>
      </x:c>
      <x:c r="G35" s="24" t="str">
        <x:v>OUVERT · scénario navigateur/artistique non vérifié</x:v>
      </x:c>
      <x:c r="H35" s="24" t="str">
        <x:v>Windows / Web / mobile selon cas</x:v>
      </x:c>
      <x:c r="I35" s="24" t="str">
        <x:v>https://github.com/darknigthmare/yautja-la-longue-chasse/pull/42</x:v>
      </x:c>
    </x:row>
    <x:row r="36" ht="33" customHeight="1">
      <x:c r="A36" s="22" t="str">
        <x:v>QA-032</x:v>
      </x:c>
      <x:c r="B36" s="22" t="str">
        <x:v>Accessibilité</x:v>
      </x:c>
      <x:c r="C36" s="24" t="str">
        <x:v>Clavier uniquement</x:v>
      </x:c>
      <x:c r="D36" s="24" t="str">
        <x:v>Tous les contrôles tabulables</x:v>
      </x:c>
      <x:c r="E36" s="24" t="str">
        <x:v>aria-pressed correct</x:v>
      </x:c>
      <x:c r="F36" s="24" t="str">
        <x:v>E2E navigateur requis</x:v>
      </x:c>
      <x:c r="G36" s="24" t="str">
        <x:v>Chrome QA PASS sur galerie (390px/clavier/mouvements réduits)</x:v>
      </x:c>
      <x:c r="H36" s="24" t="str">
        <x:v>Windows / Web / mobile selon cas</x:v>
      </x:c>
      <x:c r="I36" s="24" t="str">
        <x:v>https://github.com/darknigthmare/yautja-la-longue-chasse/actions/runs/41196187376/artifacts/13041067289</x:v>
      </x:c>
    </x:row>
    <x:row r="37" ht="33" customHeight="1">
      <x:c r="A37" s="22" t="str">
        <x:v>QA-033</x:v>
      </x:c>
      <x:c r="B37" s="22" t="str">
        <x:v>Accessibilité</x:v>
      </x:c>
      <x:c r="C37" s="24" t="str">
        <x:v>Lecteur d'écran</x:v>
      </x:c>
      <x:c r="D37" s="24" t="str">
        <x:v>Aucun bruit décoratif</x:v>
      </x:c>
      <x:c r="E37" s="24" t="str">
        <x:v>Annonce état équipement</x:v>
      </x:c>
      <x:c r="F37" s="24" t="str">
        <x:v>E2E navigateur requis</x:v>
      </x:c>
      <x:c r="G37" s="24" t="str">
        <x:v>OUVERT · scénario navigateur/artistique non vérifié</x:v>
      </x:c>
      <x:c r="H37" s="24" t="str">
        <x:v>Windows / Web / mobile selon cas</x:v>
      </x:c>
      <x:c r="I37" s="24" t="str">
        <x:v>https://github.com/darknigthmare/yautja-la-longue-chasse/pull/42</x:v>
      </x:c>
    </x:row>
    <x:row r="38" ht="33" customHeight="1">
      <x:c r="A38" s="22" t="str">
        <x:v>QA-034</x:v>
      </x:c>
      <x:c r="B38" s="22" t="str">
        <x:v>Accessibilité</x:v>
      </x:c>
      <x:c r="C38" s="24" t="str">
        <x:v>Reduced motion</x:v>
      </x:c>
      <x:c r="D38" s="24" t="str">
        <x:v>Pas de balayage / levée forcés</x:v>
      </x:c>
      <x:c r="E38" s="24" t="str">
        <x:v>Pas de photo-strobe</x:v>
      </x:c>
      <x:c r="F38" s="24" t="str">
        <x:v>E2E navigateur requis</x:v>
      </x:c>
      <x:c r="G38" s="24" t="str">
        <x:v>Chrome QA PASS sur galerie (390px/clavier/mouvements réduits)</x:v>
      </x:c>
      <x:c r="H38" s="24" t="str">
        <x:v>Windows / Web / mobile selon cas</x:v>
      </x:c>
      <x:c r="I38" s="24" t="str">
        <x:v>https://github.com/darknigthmare/yautja-la-longue-chasse/actions/runs/41196187376/artifacts/13041067289</x:v>
      </x:c>
    </x:row>
    <x:row r="39" ht="33" customHeight="1">
      <x:c r="A39" s="22" t="str">
        <x:v>QA-035</x:v>
      </x:c>
      <x:c r="B39" s="22" t="str">
        <x:v>Accessibilité</x:v>
      </x:c>
      <x:c r="C39" s="24" t="str">
        <x:v>Contraste forcé</x:v>
      </x:c>
      <x:c r="D39" s="24" t="str">
        <x:v>Écran et textes lisibles</x:v>
      </x:c>
      <x:c r="E39" s="24" t="str">
        <x:v>Pas d'état uniquement couleur</x:v>
      </x:c>
      <x:c r="F39" s="24" t="str">
        <x:v>Source / statique</x:v>
      </x:c>
      <x:c r="G39" s="24" t="str">
        <x:v>OUVERT · scénario navigateur/artistique non vérifié</x:v>
      </x:c>
      <x:c r="H39" s="24" t="str">
        <x:v>Windows / Web / mobile selon cas</x:v>
      </x:c>
      <x:c r="I39" s="24" t="str">
        <x:v>https://github.com/darknigthmare/yautja-la-longue-chasse/pull/42</x:v>
      </x:c>
    </x:row>
    <x:row r="40" ht="33" customHeight="1">
      <x:c r="A40" s="22" t="str">
        <x:v>QA-036</x:v>
      </x:c>
      <x:c r="B40" s="22" t="str">
        <x:v>Performance</x:v>
      </x:c>
      <x:c r="C40" s="24" t="str">
        <x:v>Atlas 30 planètes</x:v>
      </x:c>
      <x:c r="D40" s="24" t="str">
        <x:v>Monter 1 atlas</x:v>
      </x:c>
      <x:c r="E40" s="24" t="str">
        <x:v>Pas de double WebGL</x:v>
      </x:c>
      <x:c r="F40" s="24" t="str">
        <x:v>Source / statique</x:v>
      </x:c>
      <x:c r="G40" s="24" t="str">
        <x:v>OUVERT · scénario navigateur/artistique non vérifié</x:v>
      </x:c>
      <x:c r="H40" s="24" t="str">
        <x:v>Windows / Web / mobile selon cas</x:v>
      </x:c>
      <x:c r="I40" s="24" t="str">
        <x:v>https://github.com/darknigthmare/yautja-la-longue-chasse/pull/42</x:v>
      </x:c>
    </x:row>
    <x:row r="41" ht="33" customHeight="1">
      <x:c r="A41" s="22" t="str">
        <x:v>QA-037</x:v>
      </x:c>
      <x:c r="B41" s="22" t="str">
        <x:v>Performance</x:v>
      </x:c>
      <x:c r="C41" s="24" t="str">
        <x:v>Équiper pendant une session</x:v>
      </x:c>
      <x:c r="D41" s="24" t="str">
        <x:v>Aucune fuite de mémoire</x:v>
      </x:c>
      <x:c r="E41" s="24" t="str">
        <x:v>Temps frame mesuré</x:v>
      </x:c>
      <x:c r="F41" s="24" t="str">
        <x:v>E2E navigateur requis</x:v>
      </x:c>
      <x:c r="G41" s="24" t="str">
        <x:v>OUVERT · scénario navigateur/artistique non vérifié</x:v>
      </x:c>
      <x:c r="H41" s="24" t="str">
        <x:v>Windows / Web / mobile selon cas</x:v>
      </x:c>
      <x:c r="I41" s="24" t="str">
        <x:v>https://github.com/darknigthmare/yautja-la-longue-chasse/pull/42</x:v>
      </x:c>
    </x:row>
    <x:row r="42" ht="33" customHeight="1">
      <x:c r="A42" s="22" t="str">
        <x:v>QA-038</x:v>
      </x:c>
      <x:c r="B42" s="22" t="str">
        <x:v>Performance</x:v>
      </x:c>
      <x:c r="C42" s="24" t="str">
        <x:v>500 unités / grande planète</x:v>
      </x:c>
      <x:c r="D42" s="24" t="str">
        <x:v>Effet gauntlet neutre</x:v>
      </x:c>
      <x:c r="E42" s="24" t="str">
        <x:v>Profiling comparatif</x:v>
      </x:c>
      <x:c r="F42" s="24" t="str">
        <x:v>E2E navigateur requis</x:v>
      </x:c>
      <x:c r="G42" s="24" t="str">
        <x:v>OUVERT · scénario navigateur/artistique non vérifié</x:v>
      </x:c>
      <x:c r="H42" s="24" t="str">
        <x:v>Windows / Web / mobile selon cas</x:v>
      </x:c>
      <x:c r="I42" s="24" t="str">
        <x:v>https://github.com/darknigthmare/yautja-la-longue-chasse/pull/42</x:v>
      </x:c>
    </x:row>
    <x:row r="43" ht="33" customHeight="1">
      <x:c r="A43" s="22" t="str">
        <x:v>QA-039</x:v>
      </x:c>
      <x:c r="B43" s="22" t="str">
        <x:v>Qualité</x:v>
      </x:c>
      <x:c r="C43" s="24" t="str">
        <x:v>Jungle 3 angles</x:v>
      </x:c>
      <x:c r="D43" s="24" t="str">
        <x:v>Plan / géométrie cohérents</x:v>
      </x:c>
      <x:c r="E43" s="24" t="str">
        <x:v>Revue artistique nécessaire</x:v>
      </x:c>
      <x:c r="F43" s="24" t="str">
        <x:v>E2E navigateur requis</x:v>
      </x:c>
      <x:c r="G43" s="24" t="str">
        <x:v>OUVERT · scénario navigateur/artistique non vérifié</x:v>
      </x:c>
      <x:c r="H43" s="24" t="str">
        <x:v>Windows / Web / mobile selon cas</x:v>
      </x:c>
      <x:c r="I43" s="24" t="str">
        <x:v>https://github.com/darknigthmare/yautja-la-longue-chasse/pull/42</x:v>
      </x:c>
    </x:row>
    <x:row r="44" ht="33" customHeight="1">
      <x:c r="A44" s="22" t="str">
        <x:v>QA-040</x:v>
      </x:c>
      <x:c r="B44" s="22" t="str">
        <x:v>Qualité</x:v>
      </x:c>
      <x:c r="C44" s="24" t="str">
        <x:v>Animation ouverture</x:v>
      </x:c>
      <x:c r="D44" s="24" t="str">
        <x:v>Pivot solide</x:v>
      </x:c>
      <x:c r="E44" s="24" t="str">
        <x:v>Comparaison 1987</x:v>
      </x:c>
      <x:c r="F44" s="24" t="str">
        <x:v>E2E navigateur requis</x:v>
      </x:c>
      <x:c r="G44" s="24" t="str">
        <x:v>OUVERT · scénario navigateur/artistique non vérifié</x:v>
      </x:c>
      <x:c r="H44" s="24" t="str">
        <x:v>Windows / Web / mobile selon cas</x:v>
      </x:c>
      <x:c r="I44" s="24" t="str">
        <x:v>https://github.com/darknigthmare/yautja-la-longue-chasse/pull/42</x:v>
      </x:c>
    </x:row>
    <x:row r="45" ht="33" customHeight="1">
      <x:c r="A45" s="22" t="str">
        <x:v>QA-041</x:v>
      </x:c>
      <x:c r="B45" s="22" t="str">
        <x:v>Qualité</x:v>
      </x:c>
      <x:c r="C45" s="24" t="str">
        <x:v>Homogénéité audio</x:v>
      </x:c>
      <x:c r="D45" s="24" t="str">
        <x:v>Volume respect settings</x:v>
      </x:c>
      <x:c r="E45" s="24" t="str">
        <x:v>Pas d'autoplay</x:v>
      </x:c>
      <x:c r="F45" s="24" t="str">
        <x:v>E2E navigateur requis</x:v>
      </x:c>
      <x:c r="G45" s="24" t="str">
        <x:v>OUVERT · scénario navigateur/artistique non vérifié</x:v>
      </x:c>
      <x:c r="H45" s="24" t="str">
        <x:v>Windows / Web / mobile selon cas</x:v>
      </x:c>
      <x:c r="I45" s="24" t="str">
        <x:v>https://github.com/darknigthmare/yautja-la-longue-chasse/pull/42</x:v>
      </x:c>
    </x:row>
    <x:row r="46" ht="33" customHeight="1">
      <x:c r="A46" s="22" t="str">
        <x:v>QA-042</x:v>
      </x:c>
      <x:c r="B46" s="22" t="str">
        <x:v>Qualité</x:v>
      </x:c>
      <x:c r="C46" s="24" t="str">
        <x:v>Référence d'origine</x:v>
      </x:c>
      <x:c r="D46" s="24" t="str">
        <x:v>URL utile présente</x:v>
      </x:c>
      <x:c r="E46" s="24" t="str">
        <x:v>Pas d'image sous copyright copiée</x:v>
      </x:c>
      <x:c r="F46" s="24" t="str">
        <x:v>E2E navigateur requis</x:v>
      </x:c>
      <x:c r="G46" s="24" t="str">
        <x:v>OUVERT · scénario navigateur/artistique non vérifié</x:v>
      </x:c>
      <x:c r="H46" s="24" t="str">
        <x:v>Windows / Web / mobile selon cas</x:v>
      </x:c>
      <x:c r="I46" s="24" t="str">
        <x:v>https://github.com/darknigthmare/yautja-la-longue-chasse/pull/42</x:v>
      </x:c>
    </x:row>
    <x:row r="47" ht="33" customHeight="1">
      <x:c r="A47" s="22" t="str">
        <x:v>QA-043</x:v>
      </x:c>
      <x:c r="B47" s="22" t="str">
        <x:v>Qualité</x:v>
      </x:c>
      <x:c r="C47" s="24" t="str">
        <x:v>CI / typecheck</x:v>
      </x:c>
      <x:c r="D47" s="24" t="str">
        <x:v>Tests automatisés ciblés</x:v>
      </x:c>
      <x:c r="E47" s="24" t="str">
        <x:v>Build complet non déduit</x:v>
      </x:c>
      <x:c r="F47" s="24" t="str">
        <x:v>Source / statique</x:v>
      </x:c>
      <x:c r="G47" s="24" t="str">
        <x:v>Tests Node/TypeScript PASS ; parcours réel dans le jeu restant</x:v>
      </x:c>
      <x:c r="H47" s="24" t="str">
        <x:v>Windows / Web / mobile selon cas</x:v>
      </x:c>
      <x:c r="I47" s="24" t="str">
        <x:v>https://github.com/darknigthmare/yautja-la-longue-chasse/actions/runs/41196187376</x:v>
      </x:c>
    </x:row>
    <x:row r="48" ht="33" customHeight="1">
      <x:c r="A48" s="22" t="str">
        <x:v>QA-044</x:v>
      </x:c>
      <x:c r="B48" s="22" t="str">
        <x:v>Sécurité</x:v>
      </x:c>
      <x:c r="C48" s="24" t="str">
        <x:v>Aucun gain combat</x:v>
      </x:c>
      <x:c r="D48" s="24" t="str">
        <x:v>Aucun modif dégâts/coûts</x:v>
      </x:c>
      <x:c r="E48" s="24" t="str">
        <x:v>Mode multi futur neutre</x:v>
      </x:c>
      <x:c r="F48" s="24" t="str">
        <x:v>Source / statique</x:v>
      </x:c>
      <x:c r="G48" s="24" t="str">
        <x:v>Tests Node/TypeScript PASS ; parcours réel dans le jeu restant</x:v>
      </x:c>
      <x:c r="H48" s="24" t="str">
        <x:v>Windows / Web / mobile selon cas</x:v>
      </x:c>
      <x:c r="I48" s="24" t="str">
        <x:v>https://github.com/darknigthmare/yautja-la-longue-chasse/actions/runs/41196187376</x:v>
      </x:c>
    </x:row>
    <x:row r="49" ht="33" customHeight="1">
      <x:c r="A49" s="22" t="str">
        <x:v>QA-045</x:v>
      </x:c>
      <x:c r="B49" s="22" t="str">
        <x:v>Sécurité</x:v>
      </x:c>
      <x:c r="C49" s="24" t="str">
        <x:v>Propriétaire local</x:v>
      </x:c>
      <x:c r="D49" s="24" t="str">
        <x:v>ID profil valide</x:v>
      </x:c>
      <x:c r="E49" s="24" t="str">
        <x:v>Pas de partage entre saves</x:v>
      </x:c>
      <x:c r="F49" s="24" t="str">
        <x:v>Source / statique</x:v>
      </x:c>
      <x:c r="G49" s="24" t="str">
        <x:v>Tests Node/TypeScript PASS ; parcours réel dans le jeu restant</x:v>
      </x:c>
      <x:c r="H49" s="24" t="str">
        <x:v>Windows / Web / mobile selon cas</x:v>
      </x:c>
      <x:c r="I49" s="24" t="str">
        <x:v>https://github.com/darknigthmare/yautja-la-longue-chasse/actions/runs/41196187376</x:v>
      </x:c>
    </x:row>
    <x:row r="50" ht="33" customHeight="1">
      <x:c r="A50" s="22" t="str">
        <x:v>QA-046</x:v>
      </x:c>
      <x:c r="B50" s="22" t="str">
        <x:v>Arsenal</x:v>
      </x:c>
      <x:c r="C50" s="24" t="str">
        <x:v>Gauntlet / wristblades séparés</x:v>
      </x:c>
      <x:c r="D50" s="24" t="str">
        <x:v>Pas d'arme cachée</x:v>
      </x:c>
      <x:c r="E50" s="24" t="str">
        <x:v>Combat inchangé</x:v>
      </x:c>
      <x:c r="F50" s="24" t="str">
        <x:v>E2E navigateur requis</x:v>
      </x:c>
      <x:c r="G50" s="24" t="str">
        <x:v>Rig sépare brassard gauche / wristblades ; contrôle visuel restant</x:v>
      </x:c>
      <x:c r="H50" s="24" t="str">
        <x:v>Windows / Web / mobile selon cas</x:v>
      </x:c>
      <x:c r="I50" s="24" t="str">
        <x:v>https://github.com/darknigthmare/yautja-la-longue-chasse/blob/feat/v131-gauntlet-hologram-dual-view-20261030/app/game/HunterRigPreview.tsx</x:v>
      </x:c>
    </x:row>
    <x:row r="51" ht="33" customHeight="1">
      <x:c r="A51" s="22" t="str">
        <x:v>QA-047</x:v>
      </x:c>
      <x:c r="B51" s="22" t="str">
        <x:v>Arsenal</x:v>
      </x:c>
      <x:c r="C51" s="24" t="str">
        <x:v>Équipement global futur</x:v>
      </x:c>
      <x:c r="D51" s="24" t="str">
        <x:v>Contrat de sauvegarde versionné</x:v>
      </x:c>
      <x:c r="E51" s="24" t="str">
        <x:v>Pas d'écriture fantôme</x:v>
      </x:c>
      <x:c r="F51" s="24" t="str">
        <x:v>E2E navigateur requis</x:v>
      </x:c>
      <x:c r="G51" s="24" t="str">
        <x:v>Slot armurerie livré ; essai jeu de bout en bout restant</x:v>
      </x:c>
      <x:c r="H51" s="24" t="str">
        <x:v>Windows / Web / mobile selon cas</x:v>
      </x:c>
      <x:c r="I51" s="24" t="str">
        <x:v>https://github.com/darknigthmare/yautja-la-longue-chasse/blob/feat/v131-gauntlet-hologram-dual-view-20261030/app/game/GameClient.tsx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8f12ec978f0400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5" hidden="0" customWidth="1"/>
    <x:col min="4" max="4" width="65" hidden="0" customWidth="1"/>
    <x:col min="5" max="5" width="58" hidden="0" customWidth="1"/>
    <x:col min="6" max="6" width="15" hidden="0" customWidth="1"/>
    <x:col min="7" max="7" width="55" hidden="0" customWidth="1"/>
  </x:cols>
  <x:sheetData>
    <x:row r="1" ht="38" customHeight="1">
      <x:c r="A1" s="4" t="str">
        <x:v>BIBLIOGRAPHIE · PHOTOS ET PROVENANCES</x:v>
      </x:c>
      <x:c r="B1" s="4"/>
      <x:c r="C1" s="4"/>
      <x:c r="D1" s="4"/>
      <x:c r="E1" s="4"/>
      <x:c r="F1" s="4"/>
      <x:c r="G1" s="4"/>
    </x:row>
    <x:row r="2" ht="32" customHeight="1">
      <x:c r="A2" s="10" t="str">
        <x:v>URLs originales : accessibles depuis chaque fiche. Les images de films/figurines ne sont pas republiées dans ce classeur.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ID</x:v>
      </x:c>
      <x:c r="B4" s="17" t="str">
        <x:v>Titre</x:v>
      </x:c>
      <x:c r="C4" s="17" t="str">
        <x:v>Nature</x:v>
      </x:c>
      <x:c r="D4" s="17" t="str">
        <x:v>URL</x:v>
      </x:c>
      <x:c r="E4" s="17" t="str">
        <x:v>Ce que cela confirme</x:v>
      </x:c>
      <x:c r="F4" s="17" t="str">
        <x:v>Confiance</x:v>
      </x:c>
      <x:c r="G4" s="17" t="str">
        <x:v>Limites</x:v>
      </x:c>
    </x:row>
    <x:row r="5" ht="38" customHeight="1">
      <x:c r="A5" s="22" t="str">
        <x:v>SRC-01</x:v>
      </x:c>
      <x:c r="B5" s="22" t="str">
        <x:v>Film Predator 1987</x:v>
      </x:c>
      <x:c r="C5" s="22" t="str">
        <x:v>Source studio</x:v>
      </x:c>
      <x:c r="D5" s="24" t="str">
        <x:v>https://www.20thcenturystudios.com/movies/predator</x:v>
      </x:c>
      <x:c r="E5" s="24" t="str">
        <x:v>Confirme film et personnage</x:v>
      </x:c>
      <x:c r="F5" s="24" t="str">
        <x:v>A</x:v>
      </x:c>
      <x:c r="G5" s="24" t="str">
        <x:v>Film / contexte uniquement</x:v>
      </x:c>
    </x:row>
    <x:row r="6" ht="38" customHeight="1">
      <x:c r="A6" s="22" t="str">
        <x:v>SRC-02</x:v>
      </x:c>
      <x:c r="B6" s="22" t="str">
        <x:v>NECA Ultimate Jungle Hunter</x:v>
      </x:c>
      <x:c r="C6" s="22" t="str">
        <x:v>Figurine licenciée</x:v>
      </x:c>
      <x:c r="D6" s="24" t="str">
        <x:v>https://store.necaonline.com/products/predator-ultimate-jungle-hunter-7-scale-action-figure</x:v>
      </x:c>
      <x:c r="E6" s="24" t="str">
        <x:v>Gauntlet ouvrant et détails fidèles</x:v>
      </x:c>
      <x:c r="F6" s="24" t="str">
        <x:v>A</x:v>
      </x:c>
      <x:c r="G6" s="24" t="str">
        <x:v>Photographies de produit ≠ plan source de chaque pièce</x:v>
      </x:c>
    </x:row>
    <x:row r="7" ht="38" customHeight="1">
      <x:c r="A7" s="22" t="str">
        <x:v>SRC-03</x:v>
      </x:c>
      <x:c r="B7" s="22" t="str">
        <x:v>Stan Winston molds / Propstore</x:v>
      </x:c>
      <x:c r="C7" s="22" t="str">
        <x:v>Réplica liée aux moules</x:v>
      </x:c>
      <x:c r="D7" s="24" t="str">
        <x:v>https://propstoreauction.com/lot-details/index/catalog/496/lot/192367/317-Planet-Hollywood-Collection-Life-Size-Predator-Figure-Replica-from-Original-Stan-Winston-Studio-Molds-with-Light-Up-Details-</x:v>
      </x:c>
      <x:c r="E7" s="24" t="str">
        <x:v>Contextes construction et limites de réplique</x:v>
      </x:c>
      <x:c r="F7" s="24" t="str">
        <x:v>B</x:v>
      </x:c>
      <x:c r="G7" s="24" t="str">
        <x:v>Gauntlets sur réplica ajoutés pour exposition</x:v>
      </x:c>
    </x:row>
    <x:row r="8" ht="38" customHeight="1">
      <x:c r="A8" s="22" t="str">
        <x:v>SRC-04</x:v>
      </x:c>
      <x:c r="B8" s="22" t="str">
        <x:v>AvP Central Wrist Gauntlet</x:v>
      </x:c>
      <x:c r="C8" s="22" t="str">
        <x:v>Analyse spécialisée</x:v>
      </x:c>
      <x:c r="D8" s="24" t="str">
        <x:v>https://www.avpcentral.com/predator-wrist-gauntlet</x:v>
      </x:c>
      <x:c r="E8" s="24" t="str">
        <x:v>Fonction et photos de gauntlet</x:v>
      </x:c>
      <x:c r="F8" s="24" t="str">
        <x:v>B</x:v>
      </x:c>
      <x:c r="G8" s="24" t="str">
        <x:v>Analyse fans ; contrôler contre film</x:v>
      </x:c>
    </x:row>
    <x:row r="9" ht="38" customHeight="1">
      <x:c r="A9" s="22" t="str">
        <x:v>SRC-05</x:v>
      </x:c>
      <x:c r="B9" s="22" t="str">
        <x:v>Film Predator 2</x:v>
      </x:c>
      <x:c r="C9" s="22" t="str">
        <x:v>Source studio</x:v>
      </x:c>
      <x:c r="D9" s="24" t="str">
        <x:v>https://www.20thcenturystudios.com/movies/predator-2</x:v>
      </x:c>
      <x:c r="E9" s="24" t="str">
        <x:v>City Hunter, Greyback et troupe</x:v>
      </x:c>
      <x:c r="F9" s="24" t="str">
        <x:v>A</x:v>
      </x:c>
      <x:c r="G9" s="24" t="str">
        <x:v>Pas preuve rapprochée de chaque gauntlet</x:v>
      </x:c>
    </x:row>
    <x:row r="10" ht="38" customHeight="1">
      <x:c r="A10" s="22" t="str">
        <x:v>SRC-06</x:v>
      </x:c>
      <x:c r="B10" s="22" t="str">
        <x:v>Predator 2 reference City Hunter</x:v>
      </x:c>
      <x:c r="C10" s="22" t="str">
        <x:v>Forum de références</x:v>
      </x:c>
      <x:c r="D10" s="24" t="str">
        <x:v>https://www.thehunterslair.com/gallery/image/63-bomb-gauntletjpg/</x:v>
      </x:c>
      <x:c r="E10" s="24" t="str">
        <x:v>Photo de wrist computer 1990</x:v>
      </x:c>
      <x:c r="F10" s="24" t="str">
        <x:v>B</x:v>
      </x:c>
      <x:c r="G10" s="24" t="str">
        <x:v>Contrôler provenance des captures</x:v>
      </x:c>
    </x:row>
    <x:row r="11" ht="38" customHeight="1">
      <x:c r="A11" s="22" t="str">
        <x:v>SRC-07</x:v>
      </x:c>
      <x:c r="B11" s="22" t="str">
        <x:v>NECA Lost Tribe</x:v>
      </x:c>
      <x:c r="C11" s="22" t="str">
        <x:v>Figurines licenciées</x:v>
      </x:c>
      <x:c r="D11" s="24" t="str">
        <x:v>https://store.necaonline.com/blogs/news/predators-introducing-the-lost-tribe-from-our-series-6-action-figures</x:v>
      </x:c>
      <x:c r="E11" s="24" t="str">
        <x:v>Identités de plusieurs membres Lost Tribe</x:v>
      </x:c>
      <x:c r="F11" s="24" t="str">
        <x:v>B</x:v>
      </x:c>
      <x:c r="G11" s="24" t="str">
        <x:v>Pas de détails gauntlets séparés</x:v>
      </x:c>
    </x:row>
    <x:row r="12" ht="38" customHeight="1">
      <x:c r="A12" s="22" t="str">
        <x:v>SRC-08</x:v>
      </x:c>
      <x:c r="B12" s="22" t="str">
        <x:v>PHG official</x:v>
      </x:c>
      <x:c r="C12" s="22" t="str">
        <x:v>Éditeur du jeu</x:v>
      </x:c>
      <x:c r="D12" s="24" t="str">
        <x:v>https://predator.illfonic.com/</x:v>
      </x:c>
      <x:c r="E12" s="24" t="str">
        <x:v>Personnages et classes licenciées</x:v>
      </x:c>
      <x:c r="F12" s="24" t="str">
        <x:v>B</x:v>
      </x:c>
      <x:c r="G12" s="24" t="str">
        <x:v>Classe ≠ modèle physique unique</x:v>
      </x:c>
    </x:row>
    <x:row r="13" ht="38" customHeight="1">
      <x:c r="A13" s="22" t="str">
        <x:v>SRC-09</x:v>
      </x:c>
      <x:c r="B13" s="22" t="str">
        <x:v>PHG DLC Steam</x:v>
      </x:c>
      <x:c r="C13" s="22" t="str">
        <x:v>Distribution du jeu</x:v>
      </x:c>
      <x:c r="D13" s="24" t="str">
        <x:v>https://store.steampowered.com/app/1556200/Predator__Hunting_Grounds/</x:v>
      </x:c>
      <x:c r="E13" s="24" t="str">
        <x:v>Liste des classes/DLC additionnels</x:v>
      </x:c>
      <x:c r="F13" s="24" t="str">
        <x:v>B</x:v>
      </x:c>
      <x:c r="G13" s="24" t="str">
        <x:v>DLC ≠ preuve écran du gauntlet</x:v>
      </x:c>
    </x:row>
    <x:row r="14" ht="38" customHeight="1">
      <x:c r="A14" s="22" t="str">
        <x:v>SRC-10</x:v>
      </x:c>
      <x:c r="B14" s="22" t="str">
        <x:v>Prey 2022 film</x:v>
      </x:c>
      <x:c r="C14" s="22" t="str">
        <x:v>Source studio</x:v>
      </x:c>
      <x:c r="D14" s="24" t="str">
        <x:v>https://www.20thcenturystudios.com/movies/prey</x:v>
      </x:c>
      <x:c r="E14" s="24" t="str">
        <x:v>Feral et équipements du film</x:v>
      </x:c>
      <x:c r="F14" s="24" t="str">
        <x:v>A</x:v>
      </x:c>
      <x:c r="G14" s="24" t="str">
        <x:v>Poignet et armes à comparer</x:v>
      </x:c>
    </x:row>
    <x:row r="15" ht="38" customHeight="1">
      <x:c r="A15" s="22" t="str">
        <x:v>SRC-11</x:v>
      </x:c>
      <x:c r="B15" s="22" t="str">
        <x:v>Prey VFX supervisor</x:v>
      </x:c>
      <x:c r="C15" s="22" t="str">
        <x:v>Entretien fabrication</x:v>
      </x:c>
      <x:c r="D15" s="24" t="str">
        <x:v>https://www.artofvfx.com/prey-chris-uyede-vfx-supervisor-mpc/</x:v>
      </x:c>
      <x:c r="E15" s="24" t="str">
        <x:v>Wrist blades/armement de Feral</x:v>
      </x:c>
      <x:c r="F15" s="24" t="str">
        <x:v>B</x:v>
      </x:c>
      <x:c r="G15" s="24" t="str">
        <x:v>Pas preuve de projection d'un HUD</x:v>
      </x:c>
    </x:row>
    <x:row r="16" ht="38" customHeight="1">
      <x:c r="A16" s="22" t="str">
        <x:v>SRC-12</x:v>
      </x:c>
      <x:c r="B16" s="22" t="str">
        <x:v>Badlands Wētā Weapons</x:v>
      </x:c>
      <x:c r="C16" s="22" t="str">
        <x:v>Design studio auteur</x:v>
      </x:c>
      <x:c r="D16" s="24" t="str">
        <x:v>https://wetaworkshopdesignstudio.artstation.com/projects/rlxRPa</x:v>
      </x:c>
      <x:c r="E16" s="24" t="str">
        <x:v>Concept gauntlet explicitement identifié</x:v>
      </x:c>
      <x:c r="F16" s="24" t="str">
        <x:v>A</x:v>
      </x:c>
      <x:c r="G16" s="24" t="str">
        <x:v>Concept ≠ modèle final sans revue</x:v>
      </x:c>
    </x:row>
    <x:row r="17" ht="38" customHeight="1">
      <x:c r="A17" s="22" t="str">
        <x:v>SRC-13</x:v>
      </x:c>
      <x:c r="B17" s="22" t="str">
        <x:v>Badlands Wētā Costumes</x:v>
      </x:c>
      <x:c r="C17" s="22" t="str">
        <x:v>Design studio auteur</x:v>
      </x:c>
      <x:c r="D17" s="24" t="str">
        <x:v>https://wetaworkshopdesignstudio.artstation.com/projects/98GeOL</x:v>
      </x:c>
      <x:c r="E17" s="24" t="str">
        <x:v>Décors / équipiers Dek, Kwei, Njohrr</x:v>
      </x:c>
      <x:c r="F17" s="24" t="str">
        <x:v>B</x:v>
      </x:c>
      <x:c r="G17" s="24" t="str">
        <x:v>Ne pas attribuer l’asset à Kwei sans preuve</x:v>
      </x:c>
    </x:row>
    <x:row r="18" ht="38" customHeight="1">
      <x:c r="A18" s="22" t="str">
        <x:v>SRC-14</x:v>
      </x:c>
      <x:c r="B18" s="22" t="str">
        <x:v>Badlands Wētā Workshop</x:v>
      </x:c>
      <x:c r="C18" s="22" t="str">
        <x:v>Fabricant officiel</x:v>
      </x:c>
      <x:c r="D18" s="24" t="str">
        <x:v>https://www.wetaworkshop.com/projects/predator-badlands</x:v>
      </x:c>
      <x:c r="E18" s="24" t="str">
        <x:v>Provenance du projet et des props</x:v>
      </x:c>
      <x:c r="F18" s="24" t="str">
        <x:v>A</x:v>
      </x:c>
      <x:c r="G18" s="24" t="str">
        <x:v>Confirme réalisation générale</x:v>
      </x:c>
    </x:row>
    <x:row r="19" ht="38" customHeight="1">
      <x:c r="A19" s="22" t="str">
        <x:v>SRC-15</x:v>
      </x:c>
      <x:c r="B19" s="22" t="str">
        <x:v>Killer of Killers</x:v>
      </x:c>
      <x:c r="C19" s="22" t="str">
        <x:v>Source studio</x:v>
      </x:c>
      <x:c r="D19" s="24" t="str">
        <x:v>https://www.20thcenturystudios.com/movies/predator-killer-of-killers</x:v>
      </x:c>
      <x:c r="E19" s="24" t="str">
        <x:v>Anthologie 2025, environnements temporels</x:v>
      </x:c>
      <x:c r="F19" s="24" t="str">
        <x:v>A</x:v>
      </x:c>
      <x:c r="G19" s="24" t="str">
        <x:v>Gants exacts à relever image par image</x:v>
      </x:c>
    </x:row>
    <x:row r="20" ht="38" customHeight="1">
      <x:c r="A20" s="22" t="str">
        <x:v>SRC-16</x:v>
      </x:c>
      <x:c r="B20" s="22" t="str">
        <x:v>Communiqué Disney KoK</x:v>
      </x:c>
      <x:c r="C20" s="22" t="str">
        <x:v>Annonce officielle</x:v>
      </x:c>
      <x:c r="D20" s="24" t="str">
        <x:v>https://press.disney.co.uk/news/predator-killer-of-killers-to-premiere-june-6-exclusively-on-disney</x:v>
      </x:c>
      <x:c r="E20" s="24" t="str">
        <x:v>Trois arcs historiques</x:v>
      </x:c>
      <x:c r="F20" s="24" t="str">
        <x:v>A</x:v>
      </x:c>
      <x:c r="G20" s="24" t="str">
        <x:v>Les guerriers historiques sont des humains</x:v>
      </x:c>
    </x:row>
    <x:row r="21" ht="38" customHeight="1">
      <x:c r="A21" s="22" t="str">
        <x:v>SRC-17</x:v>
      </x:c>
      <x:c r="B21" s="22" t="str">
        <x:v>NECA lost tribe survey</x:v>
      </x:c>
      <x:c r="C21" s="22" t="str">
        <x:v>Collection sous licence</x:v>
      </x:c>
      <x:c r="D21" s="24" t="str">
        <x:v>https://www.avpgalaxy.net/merch/neca/predator/series/</x:v>
      </x:c>
      <x:c r="E21" s="24" t="str">
        <x:v>Noms et packaging du Lost Tribe</x:v>
      </x:c>
      <x:c r="F21" s="24" t="str">
        <x:v>B</x:v>
      </x:c>
      <x:c r="G21" s="24" t="str">
        <x:v>Collection indirecte, validation image requise</x:v>
      </x:c>
    </x:row>
    <x:row r="22" ht="38" customHeight="1">
      <x:c r="A22" s="22" t="str">
        <x:v>SRC-18</x:v>
      </x:c>
      <x:c r="B22" s="22" t="str">
        <x:v>Yautja visuel global</x:v>
      </x:c>
      <x:c r="C22" s="22" t="str">
        <x:v>Analyse spécialisée</x:v>
      </x:c>
      <x:c r="D22" s="24" t="str">
        <x:v>https://www.avpcentral.com/yautja</x:v>
      </x:c>
      <x:c r="E22" s="24" t="str">
        <x:v>Brassard et ordinateur de poignet</x:v>
      </x:c>
      <x:c r="F22" s="24" t="str">
        <x:v>C</x:v>
      </x:c>
      <x:c r="G22" s="24" t="str">
        <x:v>Source secondaire à corroborer</x:v>
      </x:c>
    </x:row>
    <x:row r="23" ht="38" customHeight="1">
      <x:c r="A23" s="22" t="str">
        <x:v>SRC-19</x:v>
      </x:c>
      <x:c r="B23" s="22" t="str">
        <x:v>GitHub PR 42 V131–V132</x:v>
      </x:c>
      <x:c r="C23" s="22" t="str">
        <x:v>Code réel</x:v>
      </x:c>
      <x:c r="D23" s="24" t="str">
        <x:v>https://github.com/darknigthmare/yautja-la-longue-chasse/pull/42</x:v>
      </x:c>
      <x:c r="E23" s="24" t="str">
        <x:v>Prototype de double-vue et armurerie</x:v>
      </x:c>
      <x:c r="F23" s="24" t="str">
        <x:v>A</x:v>
      </x:c>
      <x:c r="G23" s="24" t="str">
        <x:v>Ne pas confondre avec 1:1 artistique</x:v>
      </x:c>
    </x:row>
    <x:row r="24" ht="38" customHeight="1">
      <x:c r="A24" s="22" t="str">
        <x:v>SRC-20</x:v>
      </x:c>
      <x:c r="B24" s="22" t="str">
        <x:v>Dossier projet V132</x:v>
      </x:c>
      <x:c r="C24" s="22" t="str">
        <x:v>Traçabilité projet</x:v>
      </x:c>
      <x:c r="D24" s="24" t="str">
        <x:v>https://github.com/darknigthmare/yautja-la-longue-chasse/blob/feat/v131-gauntlet-hologram-dual-view-20261030/docs/clan-war-gauntlet-v131.md</x:v>
      </x:c>
      <x:c r="E24" s="24" t="str">
        <x:v>Contrat de rendu existant</x:v>
      </x:c>
      <x:c r="F24" s="24" t="str">
        <x:v>A</x:v>
      </x:c>
      <x:c r="G24" s="24" t="str">
        <x:v>Source de développement, pas canon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41405c74c3b45f4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0" hidden="0" customWidth="1"/>
    <x:col min="4" max="4" width="77" hidden="0" customWidth="1"/>
    <x:col min="5" max="5" width="46" hidden="0" customWidth="1"/>
  </x:cols>
  <x:sheetData>
    <x:row r="1" ht="38" customHeight="1">
      <x:c r="A1" s="4" t="str">
        <x:v>CONTRATS DE GAMEPLAY ET FIDÉLITÉ</x:v>
      </x:c>
      <x:c r="B1" s="4"/>
      <x:c r="C1" s="4"/>
      <x:c r="D1" s="4"/>
      <x:c r="E1" s="4"/>
    </x:row>
    <x:row r="2" ht="32" customHeight="1">
      <x:c r="A2" s="10" t="str">
        <x:v>Option B = identité audiovisuelle + lecture tactique des informations visibles, sans effet caché sur les calculs. Séparation canon / inspiration / prototype.</x:v>
      </x:c>
      <x:c r="B2" s="10"/>
      <x:c r="C2" s="10"/>
      <x:c r="D2" s="10"/>
      <x:c r="E2" s="10"/>
    </x:row>
    <x:row r="4" ht="29" customHeight="1">
      <x:c r="A4" s="17" t="str">
        <x:v>ID</x:v>
      </x:c>
      <x:c r="B4" s="17" t="str">
        <x:v>Catégorie</x:v>
      </x:c>
      <x:c r="C4" s="17" t="str">
        <x:v>Règle</x:v>
      </x:c>
      <x:c r="D4" s="17" t="str">
        <x:v>Application en jeu</x:v>
      </x:c>
      <x:c r="E4" s="17" t="str">
        <x:v>Preuve / contrôle</x:v>
      </x:c>
    </x:row>
    <x:row r="5" ht="36" customHeight="1">
      <x:c r="A5" s="22" t="str">
        <x:v>B-01</x:v>
      </x:c>
      <x:c r="B5" s="22" t="str">
        <x:v>Gains de combat</x:v>
      </x:c>
      <x:c r="C5" s="22" t="str">
        <x:v>INTERDIT</x:v>
      </x:c>
      <x:c r="D5" s="24" t="str">
        <x:v>Équiper Wolf ne modifie pas les blessures, dommages ou nombres de troupes</x:v>
      </x:c>
      <x:c r="E5" s="24" t="str">
        <x:v>Tests de commandes/turns</x:v>
      </x:c>
    </x:row>
    <x:row r="6" ht="36" customHeight="1">
      <x:c r="A6" s="22" t="str">
        <x:v>B-02</x:v>
      </x:c>
      <x:c r="B6" s="22" t="str">
        <x:v>Option B - renseignement</x:v>
      </x:c>
      <x:c r="C6" s="22" t="str">
        <x:v>AUTORISÉ</x:v>
      </x:c>
      <x:c r="D6" s="24" t="str">
        <x:v>Afficher uniquement le nombre de rapports déjà découverts</x:v>
      </x:c>
      <x:c r="E6" s="24" t="str">
        <x:v>Ne pas révéler un ennemi non repéré</x:v>
      </x:c>
    </x:row>
    <x:row r="7" ht="36" customHeight="1">
      <x:c r="A7" s="22" t="str">
        <x:v>B-03</x:v>
      </x:c>
      <x:c r="B7" s="22" t="str">
        <x:v>Option B - ravitaillement</x:v>
      </x:c>
      <x:c r="C7" s="22" t="str">
        <x:v>AUTORISÉ</x:v>
      </x:c>
      <x:c r="D7" s="24" t="str">
        <x:v>Afficher le nombre de sites connectés déjà connus</x:v>
      </x:c>
      <x:c r="E7" s="24" t="str">
        <x:v>Même algorithme que le panneau classique</x:v>
      </x:c>
    </x:row>
    <x:row r="8" ht="36" customHeight="1">
      <x:c r="A8" s="22" t="str">
        <x:v>B-04</x:v>
      </x:c>
      <x:c r="B8" s="22" t="str">
        <x:v>Option B - médical</x:v>
      </x:c>
      <x:c r="C8" s="22" t="str">
        <x:v>AUTORISÉ</x:v>
      </x:c>
      <x:c r="D8" s="24" t="str">
        <x:v>Compter aptes et blessés présents dans la simulation</x:v>
      </x:c>
      <x:c r="E8" s="24" t="str">
        <x:v>Aucun soin gratuit</x:v>
      </x:c>
    </x:row>
    <x:row r="9" ht="36" customHeight="1">
      <x:c r="A9" s="22" t="str">
        <x:v>B-05</x:v>
      </x:c>
      <x:c r="B9" s="22" t="str">
        <x:v>Option B - ordres</x:v>
      </x:c>
      <x:c r="C9" s="22" t="str">
        <x:v>AUTORISÉ</x:v>
      </x:c>
      <x:c r="D9" s="24" t="str">
        <x:v>Afficher les ordres effectivement réservés</x:v>
      </x:c>
      <x:c r="E9" s="24" t="str">
        <x:v>Jamais réserver ou exécuter via sélection cosmétique</x:v>
      </x:c>
    </x:row>
    <x:row r="10" ht="36" customHeight="1">
      <x:c r="A10" s="22" t="str">
        <x:v>B-06</x:v>
      </x:c>
      <x:c r="B10" s="22" t="str">
        <x:v>Option B - passage</x:v>
      </x:c>
      <x:c r="C10" s="22" t="str">
        <x:v>AUTORISÉ</x:v>
      </x:c>
      <x:c r="D10" s="24" t="str">
        <x:v>Afficher les itinéraires connus par l'atlas</x:v>
      </x:c>
      <x:c r="E10" s="24" t="str">
        <x:v>Même conditions de transit</x:v>
      </x:c>
    </x:row>
    <x:row r="11" ht="36" customHeight="1">
      <x:c r="A11" s="22" t="str">
        <x:v>B-07</x:v>
      </x:c>
      <x:c r="B11" s="22" t="str">
        <x:v>Cosmétique libre</x:v>
      </x:c>
      <x:c r="C11" s="22" t="str">
        <x:v>AUTORISÉ</x:v>
      </x:c>
      <x:c r="D11" s="24" t="str">
        <x:v>Palette, animation d'ouverture, textures et signature sonore originale</x:v>
      </x:c>
      <x:c r="E11" s="24" t="str">
        <x:v>UX accessible et réglages audio respectés</x:v>
      </x:c>
    </x:row>
    <x:row r="12" ht="36" customHeight="1">
      <x:c r="A12" s="22" t="str">
        <x:v>B-08</x:v>
      </x:c>
      <x:c r="B12" s="22" t="str">
        <x:v>Multi joueur</x:v>
      </x:c>
      <x:c r="C12" s="22" t="str">
        <x:v>OBLIGATOIRE</x:v>
      </x:c>
      <x:c r="D12" s="24" t="str">
        <x:v>Équipement ne modifie aucun calcul serveur ; juste la présentation locale</x:v>
      </x:c>
      <x:c r="E12" s="24" t="str">
        <x:v>Aucun avantage PvP</x:v>
      </x:c>
    </x:row>
    <x:row r="13" ht="36" customHeight="1">
      <x:c r="A13" s="22" t="str">
        <x:v>B-09</x:v>
      </x:c>
      <x:c r="B13" s="22" t="str">
        <x:v>Déblocages</x:v>
      </x:c>
      <x:c r="C13" s="22" t="str">
        <x:v>OBLIGATOIRE</x:v>
      </x:c>
      <x:c r="D13" s="24" t="str">
        <x:v>Rang réel de la chasse depuis save.profile.rankId</x:v>
      </x:c>
      <x:c r="E13" s="24" t="str">
        <x:v>Aucune progression fabriquée</x:v>
      </x:c>
    </x:row>
    <x:row r="14" ht="36" customHeight="1">
      <x:c r="A14" s="22" t="str">
        <x:v>B-10</x:v>
      </x:c>
      <x:c r="B14" s="22" t="str">
        <x:v>Quêtes futures</x:v>
      </x:c>
      <x:c r="C14" s="22" t="str">
        <x:v>NON BRANCHÉ</x:v>
      </x:c>
      <x:c r="D14" s="24" t="str">
        <x:v>44 conditions inventoriées sans événement de récompense</x:v>
      </x:c>
      <x:c r="E14" s="24" t="str">
        <x:v>Ne pas simuler une quête terminée</x:v>
      </x:c>
    </x:row>
    <x:row r="15" ht="36" customHeight="1">
      <x:c r="A15" s="22" t="str">
        <x:v>B-11</x:v>
      </x:c>
      <x:c r="B15" s="22" t="str">
        <x:v>Fidélité JH</x:v>
      </x:c>
      <x:c r="C15" s="22" t="str">
        <x:v>NON VALIDÉ</x:v>
      </x:c>
      <x:c r="D15" s="24" t="str">
        <x:v>SVG est un blockout, la validation visuelle exige des comparaisons</x:v>
      </x:c>
      <x:c r="E15" s="24" t="str">
        <x:v>Ne pas qualifier d'actif 1:1</x:v>
      </x:c>
    </x:row>
    <x:row r="16" ht="36" customHeight="1">
      <x:c r="A16" s="22" t="str">
        <x:v>B-12</x:v>
      </x:c>
      <x:c r="B16" s="22" t="str">
        <x:v>Temporalité</x:v>
      </x:c>
      <x:c r="C16" s="22" t="str">
        <x:v>OBLIGATOIRE</x:v>
      </x:c>
      <x:c r="D16" s="24" t="str">
        <x:v>Planète Genna/Badlands != Terre ; ne pas mélanger les environnements</x:v>
      </x:c>
      <x:c r="E16" s="24" t="str">
        <x:v>Registre canon de lieux</x:v>
      </x:c>
    </x:row>
    <x:row r="17" ht="36" customHeight="1">
      <x:c r="A17" s="22" t="str">
        <x:v>B-13</x:v>
      </x:c>
      <x:c r="B17" s="22" t="str">
        <x:v>Médias distincts</x:v>
      </x:c>
      <x:c r="C17" s="22" t="str">
        <x:v>OBLIGATOIRE</x:v>
      </x:c>
      <x:c r="D17" s="24" t="str">
        <x:v>Viking PHG != chasseur Viking de Killer of Killers</x:v>
      </x:c>
      <x:c r="E17" s="24" t="str">
        <x:v>IDs et archives différents</x:v>
      </x:c>
    </x:row>
    <x:row r="18" ht="36" customHeight="1">
      <x:c r="A18" s="22" t="str">
        <x:v>B-14</x:v>
      </x:c>
      <x:c r="B18" s="22" t="str">
        <x:v>Brassard vs arme</x:v>
      </x:c>
      <x:c r="C18" s="22" t="str">
        <x:v>OBLIGATOIRE</x:v>
      </x:c>
      <x:c r="D18" s="24" t="str">
        <x:v>Ordinateur/contrôle distinct de lames de poignet</x:v>
      </x:c>
      <x:c r="E18" s="24" t="str">
        <x:v>Vues et assets séparés</x:v>
      </x:c>
    </x:row>
    <x:row r="19" ht="36" customHeight="1">
      <x:c r="A19" s="22" t="str">
        <x:v>B-15</x:v>
      </x:c>
      <x:c r="B19" s="22" t="str">
        <x:v>Ancien vs autre</x:v>
      </x:c>
      <x:c r="C19" s="22" t="str">
        <x:v>OBLIGATOIRE</x:v>
      </x:c>
      <x:c r="D19" s="24" t="str">
        <x:v>Greyback 1990 != Elder AVP 2004</x:v>
      </x:c>
      <x:c r="E19" s="24" t="str">
        <x:v>Contenus sans collision</x:v>
      </x:c>
    </x:row>
    <x:row r="20" ht="36" customHeight="1">
      <x:c r="A20" s="22" t="str">
        <x:v>B-16</x:v>
      </x:c>
      <x:c r="B20" s="22" t="str">
        <x:v>Crédit lore</x:v>
      </x:c>
      <x:c r="C20" s="22" t="str">
        <x:v>OBLIGATOIRE</x:v>
      </x:c>
      <x:c r="D20" s="24" t="str">
        <x:v>Classe PHG reconnue ne prouve pas un gauntlet unique</x:v>
      </x:c>
      <x:c r="E20" s="24" t="str">
        <x:v>Badge de preuve présent</x:v>
      </x:c>
    </x:row>
    <x:row r="21" ht="36" customHeight="1">
      <x:c r="A21" s="22" t="str">
        <x:v>B-17</x:v>
      </x:c>
      <x:c r="B21" s="22" t="str">
        <x:v>Commercialisation</x:v>
      </x:c>
      <x:c r="C21" s="22" t="str">
        <x:v>REVUE REQUISE</x:v>
      </x:c>
      <x:c r="D21" s="24" t="str">
        <x:v>La fidélité à des designs de franchise nécessite droits/licences pour une sortie commerciale</x:v>
      </x:c>
      <x:c r="E21" s="24" t="str">
        <x:v>Vérification juridique</x:v>
      </x:c>
    </x:row>
    <x:row r="22" ht="36" customHeight="1">
      <x:c r="A22" s="22" t="str">
        <x:v>B-18</x:v>
      </x:c>
      <x:c r="B22" s="22" t="str">
        <x:v>Sons films</x:v>
      </x:c>
      <x:c r="C22" s="22" t="str">
        <x:v>INTERDIT</x:v>
      </x:c>
      <x:c r="D22" s="24" t="str">
        <x:v>Pas de capture brute des sons de films ni musiques non licenciées</x:v>
      </x:c>
      <x:c r="E22" s="24" t="str">
        <x:v>Production sonore originale</x:v>
      </x:c>
    </x:row>
    <x:row r="23" ht="36" customHeight="1">
      <x:c r="A23" s="22" t="str">
        <x:v>B-19</x:v>
      </x:c>
      <x:c r="B23" s="22" t="str">
        <x:v>Persistance</x:v>
      </x:c>
      <x:c r="C23" s="22" t="str">
        <x:v>AUTORISÉ</x:v>
      </x:c>
      <x:c r="D23" s="24" t="str">
        <x:v>Préférence gauntlet stockée localement par propriétaire</x:v>
      </x:c>
      <x:c r="E23" s="24" t="str">
        <x:v>Aucune altération de sauvegarde de guerre</x:v>
      </x:c>
    </x:row>
    <x:row r="24" ht="36" customHeight="1">
      <x:c r="A24" s="22" t="str">
        <x:v>B-20</x:v>
      </x:c>
      <x:c r="B24" s="22" t="str">
        <x:v>Réversibilité</x:v>
      </x:c>
      <x:c r="C24" s="22" t="str">
        <x:v>OBLIGATOIRE</x:v>
      </x:c>
      <x:c r="D24" s="24" t="str">
        <x:v>Vue classique disponible en permanence</x:v>
      </x:c>
      <x:c r="E24" s="24" t="str">
        <x:v>Un atlas, un état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b4e5758769c45e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26" t="str">
        <x:v>YAUTJA • GAUNTLETS — ARSENAL V138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28" t="str">
        <x:v>Production et QA • 31 octobre 2026 • PR #42 • double vue holographique / classique conservée</x:v>
      </x:c>
      <x:c r="B2" s="28"/>
      <x:c r="C2" s="28"/>
      <x:c r="D2" s="28"/>
      <x:c r="E2" s="28"/>
      <x:c r="F2" s="28"/>
      <x:c r="G2" s="28"/>
      <x:c r="H2" s="28"/>
    </x:row>
    <x:row r="4">
      <x:c r="A4" s="30" t="str">
        <x:v>Indicateur</x:v>
      </x:c>
      <x:c r="B4" s="30" t="str">
        <x:v>Résultat</x:v>
      </x:c>
      <x:c r="C4" s="30" t="str">
        <x:v>Note</x:v>
      </x:c>
    </x:row>
    <x:row r="5" ht="28" customHeight="1">
      <x:c r="A5" s="32" t="str">
        <x:v>Modèles du catalogue</x:v>
      </x:c>
      <x:c r="B5" s="34" t="n">
        <x:f>COUNTA('01_Catalogue'!A5:A58)</x:f>
        <x:v>54</x:v>
      </x:c>
      <x:c r="C5" t="str">
        <x:v>Tous les propriétaires / classes, pas 54 bracelets validés</x:v>
      </x:c>
    </x:row>
    <x:row r="6" ht="28" customHeight="1">
      <x:c r="A6" s="32" t="str">
        <x:v>Disponibles initialement</x:v>
      </x:c>
      <x:c r="B6" s="34" t="n">
        <x:f>COUNTIF('01_Catalogue'!H5:H58,"Modèle initial")</x:f>
        <x:v>1</x:v>
      </x:c>
      <x:c r="C6" t="str">
        <x:v>Jungle Hunter initial</x:v>
      </x:c>
    </x:row>
    <x:row r="7" ht="28" customHeight="1">
      <x:c r="A7" s="32" t="str">
        <x:v>Rangs actifs</x:v>
      </x:c>
      <x:c r="B7" s="34" t="n">
        <x:f>COUNTIF('01_Catalogue'!I5:I58,"Disponible si rang atteint")</x:f>
        <x:v>9</x:v>
      </x:c>
      <x:c r="C7" t="str">
        <x:v>Accessibles selon la sauvegarde réelle</x:v>
      </x:c>
    </x:row>
    <x:row r="8" ht="28" customHeight="1">
      <x:c r="A8" s="32" t="str">
        <x:v>Quêtes encore non câblées</x:v>
      </x:c>
      <x:c r="B8" s="34" t="n">
        <x:f>COUNTIF('01_Catalogue'!I5:I58,"Non encore débloquable")</x:f>
        <x:v>44</x:v>
      </x:c>
      <x:c r="C8" t="str">
        <x:v>Prochain raccordement aux missions</x:v>
      </x:c>
    </x:row>
    <x:row r="9" ht="28" customHeight="1">
      <x:c r="A9" s="32" t="str">
        <x:v>Profils holographiques</x:v>
      </x:c>
      <x:c r="B9" s="34" t="n">
        <x:f>COUNTA('03_Themes'!A5:A14)</x:f>
        <x:v>10</x:v>
      </x:c>
      <x:c r="C9" t="str">
        <x:v>10 palettes et scans + 10 signatures de synthèse originales V133 raccordées au moteur audio ; aucun son de film copié.</x:v>
      </x:c>
    </x:row>
    <x:row r="10" ht="28" customHeight="1">
      <x:c r="A10" s="32" t="str">
        <x:v>Paquets d'assets</x:v>
      </x:c>
      <x:c r="B10" s="34" t="n">
        <x:f>COUNTA('05_Assets'!B5:B544)</x:f>
        <x:v>540</x:v>
      </x:c>
      <x:c r="C10" t="str">
        <x:v>10 éléments par modèle</x:v>
      </x:c>
    </x:row>
    <x:row r="11" ht="28" customHeight="1">
      <x:c r="A11" s="32" t="str">
        <x:v>Estimation artistique totale (h)</x:v>
      </x:c>
      <x:c r="B11" s="34" t="n">
        <x:f>SUM('05_Assets'!G5:G544)</x:f>
        <x:v>1944</x:v>
      </x:c>
      <x:c r="C11" t="str">
        <x:v>Hypothèse de planification, pas heures réelles</x:v>
      </x:c>
    </x:row>
    <x:row r="12" ht="28" customHeight="1">
      <x:c r="A12" s="32" t="str">
        <x:v>Tâches intégration</x:v>
      </x:c>
      <x:c r="B12" s="34" t="n">
        <x:f>COUNTA('06_Roadmap'!A5:A74)</x:f>
        <x:v>70</x:v>
      </x:c>
      <x:c r="C12" t="str">
        <x:v>Statuts distincts</x:v>
      </x:c>
    </x:row>
    <x:row r="13" ht="28" customHeight="1">
      <x:c r="A13" s="32" t="str">
        <x:v>Contrôles Jungle Hunter</x:v>
      </x:c>
      <x:c r="B13" s="34" t="n">
        <x:f>COUNTA('04_Jungle_1pour1'!A5:A31)</x:f>
        <x:v>27</x:v>
      </x:c>
      <x:c r="C13" t="str">
        <x:v>Aucun marqué validé artistiquement</x:v>
      </x:c>
    </x:row>
    <x:row r="14" ht="28" customHeight="1">
      <x:c r="A14" s="32" t="str">
        <x:v>Cas QA</x:v>
      </x:c>
      <x:c r="B14" s="34" t="n">
        <x:f>COUNTA('07_QA'!A5:A51)</x:f>
        <x:v>47</x:v>
      </x:c>
      <x:c r="C14" t="str">
        <x:v>À exécuter sur navigateur/appareils</x:v>
      </x:c>
    </x:row>
    <x:row r="16" ht="26" customHeight="1">
      <x:c r="A16" s="36" t="str">
        <x:v>DÉCISION PRODUIT / MISE EN GARDE</x:v>
      </x:c>
      <x:c r="B16" s="36"/>
      <x:c r="C16" s="36"/>
      <x:c r="D16" s="36"/>
      <x:c r="E16" s="36"/>
      <x:c r="F16" s="36"/>
      <x:c r="G16" s="36"/>
      <x:c r="H16" s="36"/>
    </x:row>
    <x:row r="17" ht="29" customHeight="1">
      <x:c r="A17" t="str">
        <x:v>1. Le Jungle Hunter est le gauntlet par défaut. Le modèle vectoriel actuel est un blockout non homologué 1:1.</x:v>
      </x:c>
    </x:row>
    <x:row r="18" ht="29" customHeight="1">
      <x:c r="A18" t="str">
        <x:v>2. La vue classique reste disponible ; aucune simulation de guerre n'est dupliquée.</x:v>
      </x:c>
    </x:row>
    <x:row r="19" ht="29" customHeight="1">
      <x:c r="A19" t="str">
        <x:v>3. Option B : identité sonore, palette, animation et informations déjà connues uniquement, sans bonus de combat.</x:v>
      </x:c>
    </x:row>
    <x:row r="20" ht="29" customHeight="1">
      <x:c r="A20" t="str">
        <x:v>4. Les rangs existants débloquent neuf modèles supplémentaires ; les 44 défis restent non branchés.</x:v>
      </x:c>
    </x:row>
    <x:row r="21" ht="29" customHeight="1">
      <x:c r="A21" t="str">
        <x:v>5. Les URLs documentent films, jeux et concepts, mais ne prouvent pas le design propre à chaque gauntlet.</x:v>
      </x:c>
    </x:row>
    <x:row r="22" ht="29" customHeight="1">
      <x:c r="A22" t="str">
        <x:v>6. Les nombreux assets PNG/son et la revue commerciale/licence sont des travaux restant à faire.</x:v>
      </x:c>
    </x:row>
    <x:row r="23" ht="29" customHeight="1">
      <x:c r="A23" t="str">
        <x:v>7. Cette feuille reflète la PR #42 en cours et ne prétend pas que les changements sont dans main.</x:v>
      </x:c>
    </x:row>
    <x:row r="24" ht="28" customHeight="1">
      <x:c r="A24" s="39" t="str">
        <x:v>V133 — MISE À JOUR DE PRODUCTION</x:v>
      </x:c>
      <x:c r="B24" s="39"/>
      <x:c r="C24" s="39"/>
    </x:row>
    <x:row r="25">
      <x:c r="A25" t="str">
        <x:v>8. Le gauntlet s'équipe depuis l'armurerie du vaisseau et se synchronise avec les guerres de clans ; il colore le proxy sur le rig du chasseur.</x:v>
      </x:c>
      <x:c r="B25"/>
      <x:c r="C25"/>
    </x:row>
    <x:row r="26">
      <x:c r="A26" t="str">
        <x:v>9. Une prévisualisation du capot et 10 signatures sonores synthétisées sont codées ; ils restent des prototypes, non des reproductions 1:1.</x:v>
      </x:c>
      <x:c r="B26"/>
      <x:c r="C26"/>
    </x:row>
    <x:row r="27">
      <x:c r="A27" t="str">
        <x:v>10. Les données de choix sont stockées localement par chasseur. L'export de sauvegarde globale n'inclut PAS encore ce nouveau choix.</x:v>
      </x:c>
      <x:c r="B27"/>
      <x:c r="C27"/>
    </x:row>
    <x:row r="28">
      <x:c r="A28" t="str">
        <x:v>Version active</x:v>
      </x:c>
      <x:c r="B28" t="str">
        <x:v>V137</x:v>
      </x:c>
      <x:c r="C28" t="str">
        <x:v>Voir 26–31 pour les 54 modèles, 219 preuves, tests Chrome, 1073 lignes à poursuivre</x:v>
      </x:c>
    </x:row>
    <x:row r="29">
      <x:c r="A29" t="str">
        <x:v>Calques SVG individuels</x:v>
      </x:c>
      <x:c r="B29" t="n">
        <x:v>219</x:v>
      </x:c>
      <x:c r="C29" t="str">
        <x:v>7 JH + 16 connus + 196 études originales ; art NON homologué 1:1</x:v>
      </x:c>
    </x:row>
    <x:row r="30">
      <x:c r="A30" t="str">
        <x:v>Validation artistique 1:1</x:v>
      </x:c>
      <x:c r="B30" t="str">
        <x:v>0/54</x:v>
      </x:c>
      <x:c r="C30" t="str">
        <x:v>54 revues de référence et droits encore ouvertes</x:v>
      </x:c>
    </x:row>
    <x:row r="31">
      <x:c r="A31" t="str">
        <x:v>Travaux ouverts/partiels</x:v>
      </x:c>
      <x:c r="B31" t="n">
        <x:v>1073</x:v>
      </x:c>
      <x:c r="C31" t="str">
        <x:v>Lignes historiques consolidées, certaines recouvrent les mêmes paquets de travail</x:v>
      </x:c>
    </x:row>
  </x:sheetData>
  <x:mergeCells>
    <x:mergeCell ref="A1:H1"/>
    <x:mergeCell ref="A2:H2"/>
    <x:mergeCell ref="A16:H16"/>
    <x:mergeCell ref="A17:H17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38" hidden="0" customWidth="1"/>
    <x:col min="5" max="5" width="32" hidden="0" customWidth="1"/>
    <x:col min="6" max="6" width="11" hidden="0" customWidth="1"/>
    <x:col min="7" max="7" width="28" hidden="0" customWidth="1"/>
    <x:col min="8" max="8" width="20" hidden="0" customWidth="1"/>
    <x:col min="9" max="9" width="19" hidden="0" customWidth="1"/>
    <x:col min="10" max="10" width="39" hidden="0" customWidth="1"/>
    <x:col min="11" max="11" width="40" hidden="0" customWidth="1"/>
  </x:cols>
  <x:sheetData>
    <x:row r="1" ht="34" customHeight="1">
      <x:c r="A1" s="41" t="str">
        <x:v>V133 — INTÉGRATION GAUNTLET : CODE / PREUVES / LIMITES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 ht="28" customHeight="1">
      <x:c r="A2" s="42" t="str">
        <x:v>Seule une revue en jeu peut certifier les interactions et la fidélité. La CI cible le code, pas les captures.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 ht="26" customHeight="1">
      <x:c r="A4" s="44" t="str">
        <x:v>ID</x:v>
      </x:c>
      <x:c r="B4" s="44" t="str">
        <x:v>Domaine</x:v>
      </x:c>
      <x:c r="C4" s="44" t="str">
        <x:v>Travail V133</x:v>
      </x:c>
      <x:c r="D4" s="44" t="str">
        <x:v>Code / pièce</x:v>
      </x:c>
      <x:c r="E4" s="44" t="str">
        <x:v>Preuve actuelle</x:v>
      </x:c>
      <x:c r="F4" s="44" t="str">
        <x:v>Priorité</x:v>
      </x:c>
      <x:c r="G4" s="44" t="str">
        <x:v>État réel</x:v>
      </x:c>
      <x:c r="H4" s="44" t="str">
        <x:v>CI</x:v>
      </x:c>
      <x:c r="I4" s="44" t="str">
        <x:v>Preuve artistique</x:v>
      </x:c>
      <x:c r="J4" s="44" t="str">
        <x:v>Issue / manquant</x:v>
      </x:c>
      <x:c r="K4" s="44" t="str">
        <x:v>Référence GitHub</x:v>
      </x:c>
    </x:row>
    <x:row r="5" ht="27" customHeight="1">
      <x:c r="A5" t="str">
        <x:v>P01</x:v>
      </x:c>
      <x:c r="B5" s="45" t="str">
        <x:v>Fidélité</x:v>
      </x:c>
      <x:c r="C5" s="45" t="str">
        <x:v>Cinq rangées LED rouges et panneau axial</x:v>
      </x:c>
      <x:c r="D5" s="45" t="str">
        <x:v>HunterGauntletArtV132.tsx</x:v>
      </x:c>
      <x:c r="E5" s="45" t="str">
        <x:v>Source corrigée</x:v>
      </x:c>
      <x:c r="F5" s="45" t="str">
        <x:v>P0</x:v>
      </x:c>
      <x:c r="G5" s="45" t="str">
        <x:v>PARTIEL · prototype ou composant testé, finition 1:1/mission encore ouverte</x:v>
      </x:c>
      <x:c r="H5" s="45" t="str">
        <x:v>CI + sources présentes</x:v>
      </x:c>
      <x:c r="I5" s="45" t="str">
        <x:v>Non validé</x:v>
      </x:c>
      <x:c r="J5" s="45" t="str">
        <x:v>Voir backlog V137 ; ne pas fermer sans preuve de film, rig ou quête</x:v>
      </x:c>
      <x:c r="K5" t="str">
        <x:v>https://github.com/darknigthmare/yautja-la-longue-chasse/pull/42</x:v>
      </x:c>
    </x:row>
    <x:row r="6" ht="27" customHeight="1">
      <x:c r="A6" t="str">
        <x:v>P02</x:v>
      </x:c>
      <x:c r="B6" s="45" t="str">
        <x:v>Fidélité</x:v>
      </x:c>
      <x:c r="C6" s="45" t="str">
        <x:v>Capot articulé ouvrable / refermable</x:v>
      </x:c>
      <x:c r="D6" s="45" t="str">
        <x:v>HunterGauntletArtV132.tsx</x:v>
      </x:c>
      <x:c r="E6" s="45" t="str">
        <x:v>Commande de prévisualisation</x:v>
      </x:c>
      <x:c r="F6" s="45" t="str">
        <x:v>P0</x:v>
      </x:c>
      <x:c r="G6" s="45" t="str">
        <x:v>PARTIEL · prototype ou composant testé, finition 1:1/mission encore ouverte</x:v>
      </x:c>
      <x:c r="H6" s="45" t="str">
        <x:v>CI + sources présentes</x:v>
      </x:c>
      <x:c r="I6" s="45" t="str">
        <x:v>Non validé</x:v>
      </x:c>
      <x:c r="J6" s="45" t="str">
        <x:v>Voir backlog V137 ; ne pas fermer sans preuve de film, rig ou quête</x:v>
      </x:c>
      <x:c r="K6" t="str">
        <x:v>https://github.com/darknigthmare/yautja-la-longue-chasse/pull/42</x:v>
      </x:c>
    </x:row>
    <x:row r="7" ht="27" customHeight="1">
      <x:c r="A7" t="str">
        <x:v>P03</x:v>
      </x:c>
      <x:c r="B7" s="45" t="str">
        <x:v>Rendu</x:v>
      </x:c>
      <x:c r="C7" s="45" t="str">
        <x:v>IDs uniques des gradients SVG</x:v>
      </x:c>
      <x:c r="D7" s="45" t="str">
        <x:v>HunterGauntletArtV132.tsx</x:v>
      </x:c>
      <x:c r="E7" s="45" t="str">
        <x:v>React useId</x:v>
      </x:c>
      <x:c r="F7" s="45" t="str">
        <x:v>P0</x:v>
      </x:c>
      <x:c r="G7" s="45" t="str">
        <x:v>Code implémenté · CI ciblée PASS ; QA de jeu si applicable</x:v>
      </x:c>
      <x:c r="H7" s="45" t="str">
        <x:v>https://github.com/darknigthmare/yautja-la-longue-chasse/actions/runs/41196187434</x:v>
      </x:c>
      <x:c r="I7" s="45" t="str">
        <x:v>Non validé</x:v>
      </x:c>
      <x:c r="J7" s="45" t="str">
        <x:v>Contrôler plusieurs instances simultanées</x:v>
      </x:c>
      <x:c r="K7" t="str">
        <x:v>https://github.com/darknigthmare/yautja-la-longue-chasse/pull/42</x:v>
      </x:c>
    </x:row>
    <x:row r="8" ht="27" customHeight="1">
      <x:c r="A8" t="str">
        <x:v>P04</x:v>
      </x:c>
      <x:c r="B8" s="45" t="str">
        <x:v>Rendu</x:v>
      </x:c>
      <x:c r="C8" s="45" t="str">
        <x:v>Grand aperçu du modèle dans le catalogue</x:v>
      </x:c>
      <x:c r="D8" s="45" t="str">
        <x:v>ClanWarGauntletLockerV132.tsx</x:v>
      </x:c>
      <x:c r="E8" s="45" t="str">
        <x:v>Jungle/Feral/Badlands/proxy</x:v>
      </x:c>
      <x:c r="F8" s="45" t="str">
        <x:v>P0</x:v>
      </x:c>
      <x:c r="G8" s="45" t="str">
        <x:v>Code implémenté · CI ciblée PASS ; QA de jeu si applicable</x:v>
      </x:c>
      <x:c r="H8" s="45" t="str">
        <x:v>https://github.com/darknigthmare/yautja-la-longue-chasse/actions/runs/41196187434</x:v>
      </x:c>
      <x:c r="I8" s="45" t="str">
        <x:v>Non validé</x:v>
      </x:c>
      <x:c r="J8" s="45" t="str">
        <x:v>54 silhouettes photographiques encore absentes</x:v>
      </x:c>
      <x:c r="K8" t="str">
        <x:v>https://github.com/darknigthmare/yautja-la-longue-chasse/pull/42</x:v>
      </x:c>
    </x:row>
    <x:row r="9" ht="27" customHeight="1">
      <x:c r="A9" t="str">
        <x:v>P05</x:v>
      </x:c>
      <x:c r="B9" s="45" t="str">
        <x:v>Équipement</x:v>
      </x:c>
      <x:c r="C9" s="45" t="str">
        <x:v>Store commun au vaisseau et à la guerre</x:v>
      </x:c>
      <x:c r="D9" s="45" t="str">
        <x:v>useHunterGauntletV133.ts</x:v>
      </x:c>
      <x:c r="E9" s="45" t="str">
        <x:v>useSyncExternalStore</x:v>
      </x:c>
      <x:c r="F9" s="45" t="str">
        <x:v>P0</x:v>
      </x:c>
      <x:c r="G9" s="45" t="str">
        <x:v>Code implémenté · CI ciblée PASS ; QA de jeu si applicable</x:v>
      </x:c>
      <x:c r="H9" s="45" t="str">
        <x:v>https://github.com/darknigthmare/yautja-la-longue-chasse/actions/runs/41196187434</x:v>
      </x:c>
      <x:c r="I9" s="45" t="str">
        <x:v>Sans objet</x:v>
      </x:c>
      <x:c r="J9" s="45" t="str">
        <x:v>Préférence locale hors export de campagne</x:v>
      </x:c>
      <x:c r="K9" t="str">
        <x:v>https://github.com/darknigthmare/yautja-la-longue-chasse/pull/42</x:v>
      </x:c>
    </x:row>
    <x:row r="10" ht="27" customHeight="1">
      <x:c r="A10" t="str">
        <x:v>P06</x:v>
      </x:c>
      <x:c r="B10" s="45" t="str">
        <x:v>Équipement</x:v>
      </x:c>
      <x:c r="C10" s="45" t="str">
        <x:v>Notification changement même onglet</x:v>
      </x:c>
      <x:c r="D10" s="45" t="str">
        <x:v>useHunterGauntletV133.ts</x:v>
      </x:c>
      <x:c r="E10" s="45" t="str">
        <x:v>CustomEvent ciblé</x:v>
      </x:c>
      <x:c r="F10" s="45" t="str">
        <x:v>P0</x:v>
      </x:c>
      <x:c r="G10" s="45" t="str">
        <x:v>Code implémenté · CI ciblée PASS ; QA de jeu si applicable</x:v>
      </x:c>
      <x:c r="H10" s="45" t="str">
        <x:v>https://github.com/darknigthmare/yautja-la-longue-chasse/actions/runs/41196187434</x:v>
      </x:c>
      <x:c r="I10" s="45" t="str">
        <x:v>Sans objet</x:v>
      </x:c>
      <x:c r="J10" s="45" t="str">
        <x:v>E2E deux écrans à faire</x:v>
      </x:c>
      <x:c r="K10" t="str">
        <x:v>https://github.com/darknigthmare/yautja-la-longue-chasse/pull/42</x:v>
      </x:c>
    </x:row>
    <x:row r="11" ht="27" customHeight="1">
      <x:c r="A11" t="str">
        <x:v>P07</x:v>
      </x:c>
      <x:c r="B11" s="45" t="str">
        <x:v>Équipement</x:v>
      </x:c>
      <x:c r="C11" s="45" t="str">
        <x:v>Propagation des modifications externes</x:v>
      </x:c>
      <x:c r="D11" s="45" t="str">
        <x:v>useHunterGauntletV133.ts</x:v>
      </x:c>
      <x:c r="E11" s="45" t="str">
        <x:v>storage listener</x:v>
      </x:c>
      <x:c r="F11" s="45" t="str">
        <x:v>P0</x:v>
      </x:c>
      <x:c r="G11" s="45" t="str">
        <x:v>Code implémenté · CI ciblée PASS ; QA de jeu si applicable</x:v>
      </x:c>
      <x:c r="H11" s="45" t="str">
        <x:v>https://github.com/darknigthmare/yautja-la-longue-chasse/actions/runs/41196187434</x:v>
      </x:c>
      <x:c r="I11" s="45" t="str">
        <x:v>Sans objet</x:v>
      </x:c>
      <x:c r="J11" s="45" t="str">
        <x:v>E2E deux onglets à faire</x:v>
      </x:c>
      <x:c r="K11" t="str">
        <x:v>https://github.com/darknigthmare/yautja-la-longue-chasse/pull/42</x:v>
      </x:c>
    </x:row>
    <x:row r="12" ht="27" customHeight="1">
      <x:c r="A12" t="str">
        <x:v>P08</x:v>
      </x:c>
      <x:c r="B12" s="45" t="str">
        <x:v>Équipement</x:v>
      </x:c>
      <x:c r="C12" s="45" t="str">
        <x:v>Fallback mémoire si écriture refusée</x:v>
      </x:c>
      <x:c r="D12" s="45" t="str">
        <x:v>useHunterGauntletV133.ts</x:v>
      </x:c>
      <x:c r="E12" s="45" t="str">
        <x:v>Map temporaire</x:v>
      </x:c>
      <x:c r="F12" s="45" t="str">
        <x:v>P0</x:v>
      </x:c>
      <x:c r="G12" s="45" t="str">
        <x:v>Code implémenté · CI ciblée PASS ; QA de jeu si applicable</x:v>
      </x:c>
      <x:c r="H12" s="45" t="str">
        <x:v>https://github.com/darknigthmare/yautja-la-longue-chasse/actions/runs/41196187434</x:v>
      </x:c>
      <x:c r="I12" s="45" t="str">
        <x:v>Sans objet</x:v>
      </x:c>
      <x:c r="J12" s="45" t="str">
        <x:v>Notification non persistante après fermeture</x:v>
      </x:c>
      <x:c r="K12" t="str">
        <x:v>https://github.com/darknigthmare/yautja-la-longue-chasse/pull/42</x:v>
      </x:c>
    </x:row>
    <x:row r="13" ht="27" customHeight="1">
      <x:c r="A13" t="str">
        <x:v>P09</x:v>
      </x:c>
      <x:c r="B13" s="45" t="str">
        <x:v>Équipement</x:v>
      </x:c>
      <x:c r="C13" s="45" t="str">
        <x:v>Blocage des gauntlets non débloqués</x:v>
      </x:c>
      <x:c r="D13" s="45" t="str">
        <x:v>clanWarGauntletCatalogV132.ts</x:v>
      </x:c>
      <x:c r="E13" s="45" t="str">
        <x:v>Vérification du rang et des défis</x:v>
      </x:c>
      <x:c r="F13" s="45" t="str">
        <x:v>P0</x:v>
      </x:c>
      <x:c r="G13" s="45" t="str">
        <x:v>Code implémenté · CI ciblée PASS ; QA de jeu si applicable</x:v>
      </x:c>
      <x:c r="H13" s="45" t="str">
        <x:v>https://github.com/darknigthmare/yautja-la-longue-chasse/actions/runs/41196187434</x:v>
      </x:c>
      <x:c r="I13" s="45" t="str">
        <x:v>Sans objet</x:v>
      </x:c>
      <x:c r="J13" s="45" t="str">
        <x:v>44 quêtes non branchées</x:v>
      </x:c>
      <x:c r="K13" t="str">
        <x:v>https://github.com/darknigthmare/yautja-la-longue-chasse/pull/42</x:v>
      </x:c>
    </x:row>
    <x:row r="14" ht="27" customHeight="1">
      <x:c r="A14" t="str">
        <x:v>P10</x:v>
      </x:c>
      <x:c r="B14" s="45" t="str">
        <x:v>Interface</x:v>
      </x:c>
      <x:c r="C14" s="45" t="str">
        <x:v>Accès via l'armurerie du vaisseau</x:v>
      </x:c>
      <x:c r="D14" s="45" t="str">
        <x:v>GameClient.tsx</x:v>
      </x:c>
      <x:c r="E14" s="45" t="str">
        <x:v>Panneau dédié</x:v>
      </x:c>
      <x:c r="F14" s="45" t="str">
        <x:v>P0</x:v>
      </x:c>
      <x:c r="G14" s="45" t="str">
        <x:v>Code implémenté · CI ciblée PASS ; QA de jeu si applicable</x:v>
      </x:c>
      <x:c r="H14" s="45" t="str">
        <x:v>https://github.com/darknigthmare/yautja-la-longue-chasse/actions/runs/41196187434</x:v>
      </x:c>
      <x:c r="I14" s="45" t="str">
        <x:v>À voir en jeu</x:v>
      </x:c>
      <x:c r="J14" s="45" t="str">
        <x:v>Navigation et confort à confirmer</x:v>
      </x:c>
      <x:c r="K14" t="str">
        <x:v>https://github.com/darknigthmare/yautja-la-longue-chasse/pull/42</x:v>
      </x:c>
    </x:row>
    <x:row r="15" ht="27" customHeight="1">
      <x:c r="A15" t="str">
        <x:v>P11</x:v>
      </x:c>
      <x:c r="B15" s="45" t="str">
        <x:v>Rig</x:v>
      </x:c>
      <x:c r="C15" s="45" t="str">
        <x:v>Gauntlet équipé dans l'aperçu du chasseur</x:v>
      </x:c>
      <x:c r="D15" s="45" t="str">
        <x:v>HunterRigPreview.tsx</x:v>
      </x:c>
      <x:c r="E15" s="45" t="str">
        <x:v>Proxy coloré et data-gauntlet-equipped</x:v>
      </x:c>
      <x:c r="F15" s="45" t="str">
        <x:v>P0</x:v>
      </x:c>
      <x:c r="G15" s="45" t="str">
        <x:v>Code implémenté · CI ciblée PASS ; QA de jeu si applicable</x:v>
      </x:c>
      <x:c r="H15" s="45" t="str">
        <x:v>https://github.com/darknigthmare/yautja-la-longue-chasse/actions/runs/41196187434</x:v>
      </x:c>
      <x:c r="I15" s="45" t="str">
        <x:v>Non validé</x:v>
      </x:c>
      <x:c r="J15" s="45" t="str">
        <x:v>Les pièces 1:1 par modèle manquent</x:v>
      </x:c>
      <x:c r="K15" t="str">
        <x:v>https://github.com/darknigthmare/yautja-la-longue-chasse/pull/42</x:v>
      </x:c>
    </x:row>
    <x:row r="16" ht="27" customHeight="1">
      <x:c r="A16" t="str">
        <x:v>P12</x:v>
      </x:c>
      <x:c r="B16" s="45" t="str">
        <x:v>Rig</x:v>
      </x:c>
      <x:c r="C16" s="45" t="str">
        <x:v>Aperçu en personnalisation aussi</x:v>
      </x:c>
      <x:c r="D16" s="45" t="str">
        <x:v>GameClient.tsx</x:v>
      </x:c>
      <x:c r="E16" s="45" t="str">
        <x:v>gauntletVariantId transmis</x:v>
      </x:c>
      <x:c r="F16" s="45" t="str">
        <x:v>P1</x:v>
      </x:c>
      <x:c r="G16" s="45" t="str">
        <x:v>Code implémenté · CI ciblée PASS ; QA de jeu si applicable</x:v>
      </x:c>
      <x:c r="H16" s="45" t="str">
        <x:v>https://github.com/darknigthmare/yautja-la-longue-chasse/actions/runs/41196187434</x:v>
      </x:c>
      <x:c r="I16" s="45" t="str">
        <x:v>À voir en jeu</x:v>
      </x:c>
      <x:c r="J16" s="45" t="str">
        <x:v>Pas de nouveau slot de sauvegarde</x:v>
      </x:c>
      <x:c r="K16" t="str">
        <x:v>https://github.com/darknigthmare/yautja-la-longue-chasse/pull/42</x:v>
      </x:c>
    </x:row>
    <x:row r="17" ht="27" customHeight="1">
      <x:c r="A17" t="str">
        <x:v>P13</x:v>
      </x:c>
      <x:c r="B17" s="45" t="str">
        <x:v>Stratégie</x:v>
      </x:c>
      <x:c r="C17" s="45" t="str">
        <x:v>Maintien d'un seul atlas pour les deux vues</x:v>
      </x:c>
      <x:c r="D17" s="45" t="str">
        <x:v>ClanWarPanelV85.tsx</x:v>
      </x:c>
      <x:c r="E17" s="45" t="str">
        <x:v>Atlas V95 conservé</x:v>
      </x:c>
      <x:c r="F17" s="45" t="str">
        <x:v>P0</x:v>
      </x:c>
      <x:c r="G17" s="45" t="str">
        <x:v>Code implémenté · CI ciblée PASS ; QA de jeu si applicable</x:v>
      </x:c>
      <x:c r="H17" s="45" t="str">
        <x:v>https://github.com/darknigthmare/yautja-la-longue-chasse/actions/runs/41196187434</x:v>
      </x:c>
      <x:c r="I17" s="45" t="str">
        <x:v>Sans objet</x:v>
      </x:c>
      <x:c r="J17" s="45" t="str">
        <x:v>E2E caméra / zoom à faire</x:v>
      </x:c>
      <x:c r="K17" t="str">
        <x:v>https://github.com/darknigthmare/yautja-la-longue-chasse/pull/42</x:v>
      </x:c>
    </x:row>
    <x:row r="18" ht="27" customHeight="1">
      <x:c r="A18" t="str">
        <x:v>P14</x:v>
      </x:c>
      <x:c r="B18" s="45" t="str">
        <x:v>Missions</x:v>
      </x:c>
      <x:c r="C18" s="45" t="str">
        <x:v>Gauntlet dans les 4 gameplays V115</x:v>
      </x:c>
      <x:c r="D18" s="45" t="str">
        <x:v>ClanWarOperationsV115.tsx</x:v>
      </x:c>
      <x:c r="E18" s="45" t="str">
        <x:v>Overlay assaut/outer/stealth/RTS</x:v>
      </x:c>
      <x:c r="F18" s="45" t="str">
        <x:v>P0</x:v>
      </x:c>
      <x:c r="G18" s="45" t="str">
        <x:v>Code implémenté · CI ciblée PASS ; QA de jeu si applicable</x:v>
      </x:c>
      <x:c r="H18" s="45" t="str">
        <x:v>https://github.com/darknigthmare/yautja-la-longue-chasse/actions/runs/41196187434</x:v>
      </x:c>
      <x:c r="I18" s="45" t="str">
        <x:v>À voir en jeu</x:v>
      </x:c>
      <x:c r="J18" s="45" t="str">
        <x:v>Pas de skin du terrain de mission</x:v>
      </x:c>
      <x:c r="K18" t="str">
        <x:v>https://github.com/darknigthmare/yautja-la-longue-chasse/pull/42</x:v>
      </x:c>
    </x:row>
    <x:row r="19" ht="27" customHeight="1">
      <x:c r="A19" t="str">
        <x:v>P15</x:v>
      </x:c>
      <x:c r="B19" s="45" t="str">
        <x:v>Audio</x:v>
      </x:c>
      <x:c r="C19" s="45" t="str">
        <x:v>10 signaux électroniques originaux</x:v>
      </x:c>
      <x:c r="D19" s="45" t="str">
        <x:v>sound.ts</x:v>
      </x:c>
      <x:c r="E19" s="45" t="str">
        <x:v>Profil / bus effets existant</x:v>
      </x:c>
      <x:c r="F19" s="45" t="str">
        <x:v>P1</x:v>
      </x:c>
      <x:c r="G19" s="45" t="str">
        <x:v>Code implémenté · CI ciblée PASS ; QA de jeu si applicable</x:v>
      </x:c>
      <x:c r="H19" s="45" t="str">
        <x:v>https://github.com/darknigthmare/yautja-la-longue-chasse/actions/runs/41196187434</x:v>
      </x:c>
      <x:c r="I19" s="45" t="str">
        <x:v>Non validé</x:v>
      </x:c>
      <x:c r="J19" s="45" t="str">
        <x:v>Mix film / spatialisation non réalisés</x:v>
      </x:c>
      <x:c r="K19" t="str">
        <x:v>https://github.com/darknigthmare/yautja-la-longue-chasse/pull/42</x:v>
      </x:c>
    </x:row>
    <x:row r="20" ht="27" customHeight="1">
      <x:c r="A20" t="str">
        <x:v>P16</x:v>
      </x:c>
      <x:c r="B20" s="45" t="str">
        <x:v>Audio</x:v>
      </x:c>
      <x:c r="C20" s="45" t="str">
        <x:v>Réglages mute et volume préservés</x:v>
      </x:c>
      <x:c r="D20" s="45" t="str">
        <x:v>sound.ts</x:v>
      </x:c>
      <x:c r="E20" s="45" t="str">
        <x:v>GameAudio.readyTime + bus effets</x:v>
      </x:c>
      <x:c r="F20" s="45" t="str">
        <x:v>P0</x:v>
      </x:c>
      <x:c r="G20" s="45" t="str">
        <x:v>Code implémenté · CI ciblée PASS ; QA de jeu si applicable</x:v>
      </x:c>
      <x:c r="H20" s="45" t="str">
        <x:v>https://github.com/darknigthmare/yautja-la-longue-chasse/actions/runs/41196187434</x:v>
      </x:c>
      <x:c r="I20" s="45" t="str">
        <x:v>Sans objet</x:v>
      </x:c>
      <x:c r="J20" s="45" t="str">
        <x:v>Test audible manuel requis</x:v>
      </x:c>
      <x:c r="K20" t="str">
        <x:v>https://github.com/darknigthmare/yautja-la-longue-chasse/pull/42</x:v>
      </x:c>
    </x:row>
    <x:row r="21" ht="27" customHeight="1">
      <x:c r="A21" t="str">
        <x:v>P17</x:v>
      </x:c>
      <x:c r="B21" s="45" t="str">
        <x:v>Sécurité</x:v>
      </x:c>
      <x:c r="C21" s="45" t="str">
        <x:v>Aucun bonus combat / ressources</x:v>
      </x:c>
      <x:c r="D21" s="45" t="str">
        <x:v>catalog/locker/UI</x:v>
      </x:c>
      <x:c r="E21" s="45" t="str">
        <x:v>Aucune mutation WarSimulation</x:v>
      </x:c>
      <x:c r="F21" s="45" t="str">
        <x:v>P0</x:v>
      </x:c>
      <x:c r="G21" s="45" t="str">
        <x:v>Code implémenté · CI ciblée PASS ; QA de jeu si applicable</x:v>
      </x:c>
      <x:c r="H21" s="45" t="str">
        <x:v>https://github.com/darknigthmare/yautja-la-longue-chasse/actions/runs/41196187434</x:v>
      </x:c>
      <x:c r="I21" s="45" t="str">
        <x:v>Sans objet</x:v>
      </x:c>
      <x:c r="J21" s="45" t="str">
        <x:v>Validation PvP future</x:v>
      </x:c>
      <x:c r="K21" t="str">
        <x:v>https://github.com/darknigthmare/yautja-la-longue-chasse/pull/42</x:v>
      </x:c>
    </x:row>
    <x:row r="22" ht="27" customHeight="1">
      <x:c r="A22" t="str">
        <x:v>P18</x:v>
      </x:c>
      <x:c r="B22" s="45" t="str">
        <x:v>Tests</x:v>
      </x:c>
      <x:c r="C22" s="45" t="str">
        <x:v>Test du choix par propriétaire et rang</x:v>
      </x:c>
      <x:c r="D22" s="45" t="str">
        <x:v>tests/clan-war-gauntlets-v133.test.mjs</x:v>
      </x:c>
      <x:c r="E22" s="45" t="str">
        <x:v>Scénarios unitaires</x:v>
      </x:c>
      <x:c r="F22" s="45" t="str">
        <x:v>P0</x:v>
      </x:c>
      <x:c r="G22" s="45" t="str">
        <x:v>Code implémenté · CI ciblée PASS ; QA de jeu si applicable</x:v>
      </x:c>
      <x:c r="H22" s="45" t="str">
        <x:v>https://github.com/darknigthmare/yautja-la-longue-chasse/actions/runs/41196187434</x:v>
      </x:c>
      <x:c r="I22" s="45" t="str">
        <x:v>Sans objet</x:v>
      </x:c>
      <x:c r="J22" s="45" t="str">
        <x:v>Tester import/export plus tard</x:v>
      </x:c>
      <x:c r="K22" t="str">
        <x:v>https://github.com/darknigthmare/yautja-la-longue-chasse/pull/42</x:v>
      </x:c>
    </x:row>
    <x:row r="23" ht="27" customHeight="1">
      <x:c r="A23" t="str">
        <x:v>P19</x:v>
      </x:c>
      <x:c r="B23" s="45" t="str">
        <x:v>Tests</x:v>
      </x:c>
      <x:c r="C23" s="45" t="str">
        <x:v>Parse TSX des fichiers modifiés</x:v>
      </x:c>
      <x:c r="D23" s="45" t="str">
        <x:v>tests/clan-war-gauntlets-v133.test.mjs</x:v>
      </x:c>
      <x:c r="E23" s="45" t="str">
        <x:v>typescript.transpileModule</x:v>
      </x:c>
      <x:c r="F23" s="45" t="str">
        <x:v>P0</x:v>
      </x:c>
      <x:c r="G23" s="45" t="str">
        <x:v>Code implémenté · CI ciblée PASS ; QA de jeu si applicable</x:v>
      </x:c>
      <x:c r="H23" s="45" t="str">
        <x:v>https://github.com/darknigthmare/yautja-la-longue-chasse/actions/runs/41196187434</x:v>
      </x:c>
      <x:c r="I23" s="45" t="str">
        <x:v>Sans objet</x:v>
      </x:c>
      <x:c r="J23" s="45" t="str">
        <x:v>Ne remplace pas un tsc global</x:v>
      </x:c>
      <x:c r="K23" t="str">
        <x:v>https://github.com/darknigthmare/yautja-la-longue-chasse/pull/42</x:v>
      </x:c>
    </x:row>
    <x:row r="24" ht="27" customHeight="1">
      <x:c r="A24" t="str">
        <x:v>P20</x:v>
      </x:c>
      <x:c r="B24" s="45" t="str">
        <x:v>Excel</x:v>
      </x:c>
      <x:c r="C24" s="45" t="str">
        <x:v>Conserver statut des 540 paquets manquants</x:v>
      </x:c>
      <x:c r="D24" s="45" t="str">
        <x:v>Yautja_Gauntlets_V132_Arsenal_Clans.xlsx</x:v>
      </x:c>
      <x:c r="E24" s="45" t="str">
        <x:v>540 fiches prévues</x:v>
      </x:c>
      <x:c r="F24" s="45" t="str">
        <x:v>P1</x:v>
      </x:c>
      <x:c r="G24" s="45" t="str">
        <x:v>Suivi actualisé avec états source/technique/manquants V137</x:v>
      </x:c>
      <x:c r="H24" s="45" t="str">
        <x:v>Excel V137</x:v>
      </x:c>
      <x:c r="I24" s="45" t="str">
        <x:v>Non validé</x:v>
      </x:c>
      <x:c r="J24" s="45" t="str">
        <x:v>Tâches de fidélité conservées</x:v>
      </x:c>
      <x:c r="K24" t="str">
        <x:v>https://github.com/darknigthmare/yautja-la-longue-chasse/pull/42</x:v>
      </x:c>
    </x:row>
    <x:row r="25" ht="27" customHeight="1">
      <x:c r="A25" t="str">
        <x:v>P21</x:v>
      </x:c>
      <x:c r="B25" s="45" t="str">
        <x:v>Fidélité</x:v>
      </x:c>
      <x:c r="C25" s="45" t="str">
        <x:v>Captures 1987 en 3 angles authentiques</x:v>
      </x:c>
      <x:c r="D25" s="45" t="str">
        <x:v>Sources film / NECA</x:v>
      </x:c>
      <x:c r="E25" s="45" t="str">
        <x:v>URL + captures à choisir</x:v>
      </x:c>
      <x:c r="F25" s="45" t="str">
        <x:v>P0</x:v>
      </x:c>
      <x:c r="G25" s="45" t="str">
        <x:v>OUVERT · références/mesures ou test humain requis</x:v>
      </x:c>
      <x:c r="H25" s="45" t="str">
        <x:v>Non couvert par la CI</x:v>
      </x:c>
      <x:c r="I25" s="45" t="str">
        <x:v>Non validé</x:v>
      </x:c>
      <x:c r="J25" s="45" t="str">
        <x:v>Aucune validation 1:1 sans comparaison</x:v>
      </x:c>
      <x:c r="K25" t="str">
        <x:v>https://github.com/darknigthmare/yautja-la-longue-chasse/pull/42</x:v>
      </x:c>
    </x:row>
    <x:row r="26" ht="27" customHeight="1">
      <x:c r="A26" t="str">
        <x:v>P22</x:v>
      </x:c>
      <x:c r="B26" s="45" t="str">
        <x:v>Fidélité</x:v>
      </x:c>
      <x:c r="C26" s="45" t="str">
        <x:v>Mesure photogrammétrique proportions/charnière</x:v>
      </x:c>
      <x:c r="D26" s="45" t="str">
        <x:v>Jungle 1:1</x:v>
      </x:c>
      <x:c r="E26" s="45" t="str">
        <x:v>Mesures absentes</x:v>
      </x:c>
      <x:c r="F26" s="45" t="str">
        <x:v>P0</x:v>
      </x:c>
      <x:c r="G26" s="45" t="str">
        <x:v>OUVERT · références/mesures ou test humain requis</x:v>
      </x:c>
      <x:c r="H26" s="45" t="str">
        <x:v>Non couvert par la CI</x:v>
      </x:c>
      <x:c r="I26" s="45" t="str">
        <x:v>Non validé</x:v>
      </x:c>
      <x:c r="J26" s="45" t="str">
        <x:v>Besoin vues et échelle</x:v>
      </x:c>
      <x:c r="K26" t="str">
        <x:v>https://github.com/darknigthmare/yautja-la-longue-chasse/pull/42</x:v>
      </x:c>
    </x:row>
    <x:row r="27" ht="27" customHeight="1">
      <x:c r="A27" t="str">
        <x:v>P23</x:v>
      </x:c>
      <x:c r="B27" s="45" t="str">
        <x:v>Assets</x:v>
      </x:c>
      <x:c r="C27" s="45" t="str">
        <x:v>Produire PNG alpha séparés et modèles</x:v>
      </x:c>
      <x:c r="D27" s="45" t="str">
        <x:v>05_Assets</x:v>
      </x:c>
      <x:c r="E27" s="45" t="str">
        <x:v>540 items recensés</x:v>
      </x:c>
      <x:c r="F27" s="45" t="str">
        <x:v>P0</x:v>
      </x:c>
      <x:c r="G27" s="45" t="str">
        <x:v>PARTIEL · prototype ou composant testé, finition 1:1/mission encore ouverte</x:v>
      </x:c>
      <x:c r="H27" s="45" t="str">
        <x:v>CI + sources présentes</x:v>
      </x:c>
      <x:c r="I27" s="45" t="str">
        <x:v>Non validé</x:v>
      </x:c>
      <x:c r="J27" s="45" t="str">
        <x:v>Voir backlog V137 ; ne pas fermer sans preuve de film, rig ou quête</x:v>
      </x:c>
      <x:c r="K27" t="str">
        <x:v>https://github.com/darknigthmare/yautja-la-longue-chasse/pull/42</x:v>
      </x:c>
    </x:row>
    <x:row r="28" ht="27" customHeight="1">
      <x:c r="A28" t="str">
        <x:v>P24</x:v>
      </x:c>
      <x:c r="B28" s="45" t="str">
        <x:v>Gameplay</x:v>
      </x:c>
      <x:c r="C28" s="45" t="str">
        <x:v>44 défis de gauntlet</x:v>
      </x:c>
      <x:c r="D28" s="45" t="str">
        <x:v>02_Deblocages</x:v>
      </x:c>
      <x:c r="E28" s="45" t="str">
        <x:v>Conditions réservées</x:v>
      </x:c>
      <x:c r="F28" s="45" t="str">
        <x:v>P1</x:v>
      </x:c>
      <x:c r="G28" s="45" t="str">
        <x:v>PARTIEL · prototype ou composant testé, finition 1:1/mission encore ouverte</x:v>
      </x:c>
      <x:c r="H28" s="45" t="str">
        <x:v>CI + sources présentes</x:v>
      </x:c>
      <x:c r="I28" s="45" t="str">
        <x:v>Sans objet</x:v>
      </x:c>
      <x:c r="J28" s="45" t="str">
        <x:v>Voir backlog V137 ; ne pas fermer sans preuve de film, rig ou quête</x:v>
      </x:c>
      <x:c r="K28" t="str">
        <x:v>https://github.com/darknigthmare/yautja-la-longue-chasse/pull/42</x:v>
      </x:c>
    </x:row>
    <x:row r="29" ht="27" customHeight="1">
      <x:c r="A29" t="str">
        <x:v>P25</x:v>
      </x:c>
      <x:c r="B29" s="45" t="str">
        <x:v>Sauvegarde</x:v>
      </x:c>
      <x:c r="C29" s="45" t="str">
        <x:v>Exporter gauntlet avec la campagne</x:v>
      </x:c>
      <x:c r="D29" s="45" t="str">
        <x:v>SaveGame migration à définir</x:v>
      </x:c>
      <x:c r="E29" s="45" t="str">
        <x:v>Préférence locale seulement</x:v>
      </x:c>
      <x:c r="F29" s="45" t="str">
        <x:v>P1</x:v>
      </x:c>
      <x:c r="G29" s="45" t="str">
        <x:v>Code implémenté · CI ciblée PASS ; QA de jeu si applicable</x:v>
      </x:c>
      <x:c r="H29" s="45" t="str">
        <x:v>https://github.com/darknigthmare/yautja-la-longue-chasse/actions/runs/41196187434</x:v>
      </x:c>
      <x:c r="I29" s="45" t="str">
        <x:v>Sans objet</x:v>
      </x:c>
      <x:c r="J29" s="45" t="str">
        <x:v>Migration ancienne sauvegarde / cloud</x:v>
      </x:c>
      <x:c r="K29" t="str">
        <x:v>https://github.com/darknigthmare/yautja-la-longue-chasse/pull/42</x:v>
      </x:c>
    </x:row>
    <x:row r="30" ht="27" customHeight="1">
      <x:c r="A30" t="str">
        <x:v>P26</x:v>
      </x:c>
      <x:c r="B30" s="45" t="str">
        <x:v>Interface</x:v>
      </x:c>
      <x:c r="C30" s="45" t="str">
        <x:v>Tester 4 sous-modes au clavier/manette</x:v>
      </x:c>
      <x:c r="D30" s="45" t="str">
        <x:v>QA V133</x:v>
      </x:c>
      <x:c r="E30" s="45" t="str">
        <x:v>Aucune capture en navigateur</x:v>
      </x:c>
      <x:c r="F30" s="45" t="str">
        <x:v>P0</x:v>
      </x:c>
      <x:c r="G30" s="45" t="str">
        <x:v>OUVERT · références/mesures ou test humain requis</x:v>
      </x:c>
      <x:c r="H30" s="45" t="str">
        <x:v>Non couvert par la CI</x:v>
      </x:c>
      <x:c r="I30" s="45" t="str">
        <x:v>À voir en jeu</x:v>
      </x:c>
      <x:c r="J30" s="45" t="str">
        <x:v>E2E et lecteur écran</x:v>
      </x:c>
      <x:c r="K30" t="str">
        <x:v>https://github.com/darknigthmare/yautja-la-longue-chasse/pull/42</x:v>
      </x:c>
    </x:row>
    <x:row r="31" ht="27" customHeight="1">
      <x:c r="A31" t="str">
        <x:v>P27</x:v>
      </x:c>
      <x:c r="B31" s="45" t="str">
        <x:v>Performance</x:v>
      </x:c>
      <x:c r="C31" s="45" t="str">
        <x:v>Mesurer FPS/VRAM avec plusieurs mondes</x:v>
      </x:c>
      <x:c r="D31" s="45" t="str">
        <x:v>QA V133</x:v>
      </x:c>
      <x:c r="E31" s="45" t="str">
        <x:v>Pas de mesures</x:v>
      </x:c>
      <x:c r="F31" s="45" t="str">
        <x:v>P1</x:v>
      </x:c>
      <x:c r="G31" s="45" t="str">
        <x:v>OUVERT · références/mesures ou test humain requis</x:v>
      </x:c>
      <x:c r="H31" s="45" t="str">
        <x:v>Non couvert par la CI</x:v>
      </x:c>
      <x:c r="I31" s="45" t="str">
        <x:v>À voir en jeu</x:v>
      </x:c>
      <x:c r="J31" s="45" t="str">
        <x:v>Profilage desktop/mobile</x:v>
      </x:c>
      <x:c r="K31" t="str">
        <x:v>https://github.com/darknigthmare/yautja-la-longue-chasse/pull/42</x:v>
      </x:c>
    </x:row>
    <x:row r="32" ht="27" customHeight="1">
      <x:c r="A32" t="str">
        <x:v>P28</x:v>
      </x:c>
      <x:c r="B32" s="45" t="str">
        <x:v>Lore</x:v>
      </x:c>
      <x:c r="C32" s="45" t="str">
        <x:v>Valider gauntlets connus des 54 sources</x:v>
      </x:c>
      <x:c r="D32" s="45" t="str">
        <x:v>01_Catalogue</x:v>
      </x:c>
      <x:c r="E32" s="45" t="str">
        <x:v>Preuves distinctes par source</x:v>
      </x:c>
      <x:c r="F32" s="45" t="str">
        <x:v>P0</x:v>
      </x:c>
      <x:c r="G32" s="45" t="str">
        <x:v>OUVERT · références/mesures ou test humain requis</x:v>
      </x:c>
      <x:c r="H32" s="45" t="str">
        <x:v>Non couvert par la CI</x:v>
      </x:c>
      <x:c r="I32" s="45" t="str">
        <x:v>Non validé</x:v>
      </x:c>
      <x:c r="J32" s="45" t="str">
        <x:v>Classes PHG != pièce de poignet confirmée</x:v>
      </x:c>
      <x:c r="K32" t="str">
        <x:v>https://github.com/darknigthmare/yautja-la-longue-chasse/pull/42</x:v>
      </x:c>
    </x:row>
    <x:row r="33" ht="27" customHeight="1">
      <x:c r="A33" t="str">
        <x:v>P29</x:v>
      </x:c>
      <x:c r="B33" s="45" t="str">
        <x:v>QA humaine</x:v>
      </x:c>
      <x:c r="C33" s="45" t="str">
        <x:v>Quatre testeurs indépendants</x:v>
      </x:c>
      <x:c r="D33" s="45" t="str">
        <x:v>QA V133</x:v>
      </x:c>
      <x:c r="E33" s="45" t="str">
        <x:v>Non réalisés</x:v>
      </x:c>
      <x:c r="F33" s="45" t="str">
        <x:v>P1</x:v>
      </x:c>
      <x:c r="G33" s="45" t="str">
        <x:v>OUVERT · références/mesures ou test humain requis</x:v>
      </x:c>
      <x:c r="H33" s="45" t="str">
        <x:v>Non couvert par la CI</x:v>
      </x:c>
      <x:c r="I33" s="45" t="str">
        <x:v>À voir en jeu</x:v>
      </x:c>
      <x:c r="J33" s="45" t="str">
        <x:v>Récap de bugs à produire</x:v>
      </x:c>
      <x:c r="K33" t="str">
        <x:v>https://github.com/darknigthmare/yautja-la-longue-chasse/pull/42</x:v>
      </x:c>
    </x:row>
    <x:row r="34" ht="27" customHeight="1">
      <x:c r="A34" t="str">
        <x:v>P30</x:v>
      </x:c>
      <x:c r="B34" s="45" t="str">
        <x:v>Livraison</x:v>
      </x:c>
      <x:c r="C34" s="45" t="str">
        <x:v>Garder la PR #42 en draft réversible</x:v>
      </x:c>
      <x:c r="D34" s="45" t="str">
        <x:v>PR #42</x:v>
      </x:c>
      <x:c r="E34" s="45" t="str">
        <x:v>Base PR #40</x:v>
      </x:c>
      <x:c r="F34" s="45" t="str">
        <x:v>P0</x:v>
      </x:c>
      <x:c r="G34" s="45" t="str">
        <x:v>Code implémenté · CI ciblée PASS ; QA de jeu si applicable</x:v>
      </x:c>
      <x:c r="H34" s="45" t="str">
        <x:v>https://github.com/darknigthmare/yautja-la-longue-chasse/actions/runs/41196187434</x:v>
      </x:c>
      <x:c r="I34" s="45" t="str">
        <x:v>Sans objet</x:v>
      </x:c>
      <x:c r="J34" s="45" t="str">
        <x:v>Pas de fusion tant que pile ouverte</x:v>
      </x:c>
      <x:c r="K34" t="str">
        <x:v>https://github.com/darknigthmare/yautja-la-longue-chasse/pull/42</x:v>
      </x:c>
    </x:row>
  </x:sheetData>
  <x:mergeCells>
    <x:mergeCell ref="A1:K1"/>
  </x:mergeCells>
  <x:conditionalFormatting sqref="G5:G34">
    <x:cfRule type="expression" dxfId="0" priority="1">
      <x:formula>G5="À faire"</x:formula>
    </x:cfRule>
    <x:cfRule type="expression" dxfId="1" priority="2">
      <x:formula>G5="Code écrit · CI à confirmer"</x:formula>
    </x:cfRule>
    <x:cfRule type="expression" dxfId="2" priority="3">
      <x:formula>G5="Code contrôlé par CI"</x:formula>
    </x:cfRule>
  </x:conditionalFormatting>
  <x:dataValidations count="1">
    <x:dataValidation type="list" sqref="G5:G34">
      <x:formula1>"Code écrit · CI à confirmer,Code contrôlé par CI,Documentation tenue,À faire,En revue artistique,Terminé avec preuve"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30" hidden="0" customWidth="1"/>
    <x:col min="4" max="4" width="25" hidden="0" customWidth="1"/>
    <x:col min="5" max="5" width="35" hidden="0" customWidth="1"/>
    <x:col min="6" max="6" width="25" hidden="0" customWidth="1"/>
    <x:col min="7" max="7" width="36" hidden="0" customWidth="1"/>
  </x:cols>
  <x:sheetData>
    <x:row r="1" ht="38" customHeight="1">
      <x:c r="A1" s="48" t="str">
        <x:v>V133 — QA DE L’ARMURERIE CONNECTÉE À LA CAMPAGNE</x:v>
      </x:c>
      <x:c r="B1" s="48"/>
      <x:c r="C1" s="48"/>
      <x:c r="D1" s="48"/>
      <x:c r="E1" s="48"/>
      <x:c r="F1" s="48"/>
      <x:c r="G1" s="48"/>
    </x:row>
    <x:row r="2" ht="25" customHeight="1">
      <x:c r="A2" s="49" t="str">
        <x:v>Tests code en CI ≠ preuves navigateur / contrôle 1:1 des accessoires ; les rendus restent des prototypes.</x:v>
      </x:c>
      <x:c r="B2" s="49"/>
      <x:c r="C2" s="49"/>
      <x:c r="D2" s="49"/>
      <x:c r="E2" s="49"/>
      <x:c r="F2" s="49"/>
      <x:c r="G2" s="49"/>
    </x:row>
    <x:row r="4" ht="27" customHeight="1">
      <x:c r="A4" s="51" t="str">
        <x:v>ID</x:v>
      </x:c>
      <x:c r="B4" s="51" t="str">
        <x:v>Scénario précis</x:v>
      </x:c>
      <x:c r="C4" s="51" t="str">
        <x:v>Composant concerné</x:v>
      </x:c>
      <x:c r="D4" s="51" t="str">
        <x:v>Automatisation</x:v>
      </x:c>
      <x:c r="E4" s="51" t="str">
        <x:v>Test manuel</x:v>
      </x:c>
      <x:c r="F4" s="51" t="str">
        <x:v>État</x:v>
      </x:c>
      <x:c r="G4" s="51" t="str">
        <x:v>Preuve attendue</x:v>
      </x:c>
    </x:row>
    <x:row r="5">
      <x:c r="A5" s="45" t="str">
        <x:v>Q133-01</x:v>
      </x:c>
      <x:c r="B5" s="45" t="str">
        <x:v>Changer le gauntlet au vaisseau puis ouvrir Guerre des clans</x:v>
      </x:c>
      <x:c r="C5" s="45" t="str">
        <x:v>GameClient / ClanWarPanel</x:v>
      </x:c>
      <x:c r="D5" s="45" t="str">
        <x:v>V133 contract test</x:v>
      </x:c>
      <x:c r="E5" s="45" t="str">
        <x:v>Parcours navigateur</x:v>
      </x:c>
      <x:c r="F5" s="45" t="str">
        <x:v>Contrat code PASS ; navigation de la campagne non vérifiée</x:v>
      </x:c>
      <x:c r="G5" s="45" t="str">
        <x:v>Capture armurerie puis carte identique</x:v>
      </x:c>
    </x:row>
    <x:row r="6">
      <x:c r="A6" s="45" t="str">
        <x:v>Q133-02</x:v>
      </x:c>
      <x:c r="B6" s="45" t="str">
        <x:v>Choisir un équipement au rang insuffisant doit échouer</x:v>
      </x:c>
      <x:c r="C6" s="45" t="str">
        <x:v>useHunterGauntlet</x:v>
      </x:c>
      <x:c r="D6" s="45" t="str">
        <x:v>V132/V133 unit</x:v>
      </x:c>
      <x:c r="E6" s="45" t="str">
        <x:v>Rang modifié sauvegarde</x:v>
      </x:c>
      <x:c r="F6" s="45" t="str">
        <x:v>Tests source/CI passés ; revue navigateur complète à faire</x:v>
      </x:c>
      <x:c r="G6" s="45" t="str">
        <x:v>Aucun déblocage non gagné</x:v>
      </x:c>
    </x:row>
    <x:row r="7">
      <x:c r="A7" s="45" t="str">
        <x:v>Q133-03</x:v>
      </x:c>
      <x:c r="B7" s="45" t="str">
        <x:v>Deux sauvegardes chasseur, deux équipements distincts</x:v>
      </x:c>
      <x:c r="C7" s="45" t="str">
        <x:v>useHunterGauntlet</x:v>
      </x:c>
      <x:c r="D7" s="45" t="str">
        <x:v>V133 unit</x:v>
      </x:c>
      <x:c r="E7" s="45" t="str">
        <x:v>Changer de profil en UI</x:v>
      </x:c>
      <x:c r="F7" s="45" t="str">
        <x:v>Tests source/CI passés ; revue navigateur complète à faire</x:v>
      </x:c>
      <x:c r="G7" s="45" t="str">
        <x:v>Aucune fuite d’un slot</x:v>
      </x:c>
    </x:row>
    <x:row r="8">
      <x:c r="A8" s="45" t="str">
        <x:v>Q133-04</x:v>
      </x:c>
      <x:c r="B8" s="45" t="str">
        <x:v>Bloquer localStorage puis équiper et basculer d'écran</x:v>
      </x:c>
      <x:c r="C8" s="45" t="str">
        <x:v>useHunterGauntlet</x:v>
      </x:c>
      <x:c r="D8" s="45" t="str">
        <x:v>V133 unit</x:v>
      </x:c>
      <x:c r="E8" s="45" t="str">
        <x:v>Navigateur permission refusée</x:v>
      </x:c>
      <x:c r="F8" s="45" t="str">
        <x:v>Tests source/CI passés ; revue navigateur complète à faire</x:v>
      </x:c>
      <x:c r="G8" s="45" t="str">
        <x:v>Même choix maintenu temporairement</x:v>
      </x:c>
    </x:row>
    <x:row r="9">
      <x:c r="A9" s="45" t="str">
        <x:v>Q133-05</x:v>
      </x:c>
      <x:c r="B9" s="45" t="str">
        <x:v>Équipement actualisé dans un autre onglet</x:v>
      </x:c>
      <x:c r="C9" s="45" t="str">
        <x:v>useHunterGauntlet</x:v>
      </x:c>
      <x:c r="D9" s="45" t="str">
        <x:v>Handler source</x:v>
      </x:c>
      <x:c r="E9" s="45" t="str">
        <x:v>Ouvrir deux onglets</x:v>
      </x:c>
      <x:c r="F9" s="45" t="str">
        <x:v>Tests source/CI passés ; revue navigateur complète à faire</x:v>
      </x:c>
      <x:c r="G9" s="45" t="str">
        <x:v>Convergence sans écrasement</x:v>
      </x:c>
    </x:row>
    <x:row r="10">
      <x:c r="A10" s="45" t="str">
        <x:v>Q133-06</x:v>
      </x:c>
      <x:c r="B10" s="45" t="str">
        <x:v>Ouvrir/fermer le capot rouge du Jungle Hunter</x:v>
      </x:c>
      <x:c r="C10" s="45" t="str">
        <x:v>HunterGauntletArt / Locker</x:v>
      </x:c>
      <x:c r="D10" s="45" t="str">
        <x:v>Contract test</x:v>
      </x:c>
      <x:c r="E10" s="45" t="str">
        <x:v>Vérifier animation et charnière</x:v>
      </x:c>
      <x:c r="F10" s="45" t="str">
        <x:v>Tests source/CI passés ; revue navigateur complète à faire</x:v>
      </x:c>
      <x:c r="G10" s="45" t="str">
        <x:v>Positions ouvertes/fermées</x:v>
      </x:c>
    </x:row>
    <x:row r="11">
      <x:c r="A11" s="45" t="str">
        <x:v>Q133-07</x:v>
      </x:c>
      <x:c r="B11" s="45" t="str">
        <x:v>Aucune collision de gradient SVG sur 2 previews</x:v>
      </x:c>
      <x:c r="C11" s="45" t="str">
        <x:v>HunterGauntletArt</x:v>
      </x:c>
      <x:c r="D11" s="45" t="str">
        <x:v>Source useId</x:v>
      </x:c>
      <x:c r="E11" s="45" t="str">
        <x:v>Deux instances visibles</x:v>
      </x:c>
      <x:c r="F11" s="45" t="str">
        <x:v>Tests source/CI passés ; revue navigateur complète à faire</x:v>
      </x:c>
      <x:c r="G11" s="45" t="str">
        <x:v>Couleurs distinctes sans contamination</x:v>
      </x:c>
    </x:row>
    <x:row r="12">
      <x:c r="A12" s="45" t="str">
        <x:v>Q133-08</x:v>
      </x:c>
      <x:c r="B12" s="45" t="str">
        <x:v>Résoudre un tour après 5 changements d'interface</x:v>
      </x:c>
      <x:c r="C12" s="45" t="str">
        <x:v>ClanWarPanel</x:v>
      </x:c>
      <x:c r="D12" s="45" t="str">
        <x:v>Test source</x:v>
      </x:c>
      <x:c r="E12" s="45" t="str">
        <x:v>Parcours réel</x:v>
      </x:c>
      <x:c r="F12" s="45" t="str">
        <x:v>Tests source/CI passés ; revue navigateur complète à faire</x:v>
      </x:c>
      <x:c r="G12" s="45" t="str">
        <x:v>Une et une seule résolution</x:v>
      </x:c>
    </x:row>
    <x:row r="13">
      <x:c r="A13" s="45" t="str">
        <x:v>Q133-09</x:v>
      </x:c>
      <x:c r="B13" s="45" t="str">
        <x:v>Basculer les 4 modes sans perdre leurs archives</x:v>
      </x:c>
      <x:c r="C13" s="45" t="str">
        <x:v>ClanWarBible / Operations</x:v>
      </x:c>
      <x:c r="D13" s="45" t="str">
        <x:v>Contract test</x:v>
      </x:c>
      <x:c r="E13" s="45" t="str">
        <x:v>V115 assaut/outer/stealth/RTS</x:v>
      </x:c>
      <x:c r="F13" s="45" t="str">
        <x:v>Tests source/CI passés ; revue navigateur complète à faire</x:v>
      </x:c>
      <x:c r="G13" s="45" t="str">
        <x:v>Même archive et mêmes missions</x:v>
      </x:c>
    </x:row>
    <x:row r="14">
      <x:c r="A14" s="45" t="str">
        <x:v>Q133-10</x:v>
      </x:c>
      <x:c r="B14" s="45" t="str">
        <x:v>Couper les effets et vérifier les sons des variantes</x:v>
      </x:c>
      <x:c r="C14" s="45" t="str">
        <x:v>sound.ts</x:v>
      </x:c>
      <x:c r="D14" s="45" t="str">
        <x:v>Source readyTime</x:v>
      </x:c>
      <x:c r="E14" s="45" t="str">
        <x:v>Audio réel avec mix 0/mute</x:v>
      </x:c>
      <x:c r="F14" s="45" t="str">
        <x:v>Tests source/CI passés ; revue navigateur complète à faire</x:v>
      </x:c>
      <x:c r="G14" s="45" t="str">
        <x:v>Aucun son lorsque muet</x:v>
      </x:c>
    </x:row>
    <x:row r="15">
      <x:c r="A15" s="45" t="str">
        <x:v>Q133-11</x:v>
      </x:c>
      <x:c r="B15" s="45" t="str">
        <x:v>Réduire les animations depuis le système</x:v>
      </x:c>
      <x:c r="C15" s="45" t="str">
        <x:v>CSS projector</x:v>
      </x:c>
      <x:c r="D15" s="45" t="str">
        <x:v>CSS media query</x:v>
      </x:c>
      <x:c r="E15" s="45" t="str">
        <x:v>Mobile et PC</x:v>
      </x:c>
      <x:c r="F15" s="45" t="str">
        <x:v>Tests source/CI passés ; revue navigateur complète à faire</x:v>
      </x:c>
      <x:c r="G15" s="45" t="str">
        <x:v>Animation neutralisée</x:v>
      </x:c>
    </x:row>
    <x:row r="16">
      <x:c r="A16" s="45" t="str">
        <x:v>Q133-12</x:v>
      </x:c>
      <x:c r="B16" s="45" t="str">
        <x:v>Vérifier la silhouette Jungle Hunter face/profil/dessus</x:v>
      </x:c>
      <x:c r="C16" s="45" t="str">
        <x:v>HunterGauntletArt</x:v>
      </x:c>
      <x:c r="D16" s="45" t="str">
        <x:v>Aucun test automatisable</x:v>
      </x:c>
      <x:c r="E16" s="45" t="str">
        <x:v>Comparaison avec plans film</x:v>
      </x:c>
      <x:c r="F16" s="45" t="str">
        <x:v>Tests source/CI passés ; revue navigateur complète à faire</x:v>
      </x:c>
      <x:c r="G16" s="45" t="str">
        <x:v>Grille écart 27 critères</x:v>
      </x:c>
    </x:row>
    <x:row r="17">
      <x:c r="A17" s="45" t="str">
        <x:v>Q133-13</x:v>
      </x:c>
      <x:c r="B17" s="45" t="str">
        <x:v>Corriger l'affichage du rig articulé séparé du bracelet tactique</x:v>
      </x:c>
      <x:c r="C17" s="45" t="str">
        <x:v>HunterRigPreview</x:v>
      </x:c>
      <x:c r="D17" s="45" t="str">
        <x:v>Source data flags</x:v>
      </x:c>
      <x:c r="E17" s="45" t="str">
        <x:v>Armurerie + personnalisation</x:v>
      </x:c>
      <x:c r="F17" s="45" t="str">
        <x:v>OUVERT : comparaison artistique de référence</x:v>
      </x:c>
      <x:c r="G17" s="45" t="str">
        <x:v>Modèle définitif PNG ou 3D</x:v>
      </x:c>
    </x:row>
    <x:row r="18">
      <x:c r="A18" s="45" t="str">
        <x:v>Q133-14</x:v>
      </x:c>
      <x:c r="B18" s="45" t="str">
        <x:v>Vérifier que les gauntlets n'améliorent ni dégât ni coût</x:v>
      </x:c>
      <x:c r="C18" s="45" t="str">
        <x:v>Gauntlet catalog</x:v>
      </x:c>
      <x:c r="D18" s="45" t="str">
        <x:v>Unit / contract</x:v>
      </x:c>
      <x:c r="E18" s="45" t="str">
        <x:v>PvP régression</x:v>
      </x:c>
      <x:c r="F18" s="45" t="str">
        <x:v>Tests source/CI passés ; revue navigateur complète à faire</x:v>
      </x:c>
      <x:c r="G18" s="45" t="str">
        <x:v>Parité de combat</x:v>
      </x:c>
    </x:row>
    <x:row r="19">
      <x:c r="A19" s="45" t="str">
        <x:v>Q133-15</x:v>
      </x:c>
      <x:c r="B19" s="45" t="str">
        <x:v>Comparer rendu mobile 390 px et desktop 1440 px</x:v>
      </x:c>
      <x:c r="C19" s="45" t="str">
        <x:v>Locker and projection CSS</x:v>
      </x:c>
      <x:c r="D19" s="45" t="str">
        <x:v>CSS uniquement</x:v>
      </x:c>
      <x:c r="E19" s="45" t="str">
        <x:v>Captures navigables</x:v>
      </x:c>
      <x:c r="F19" s="45" t="str">
        <x:v>Tests source/CI passés ; revue navigateur complète à faire</x:v>
      </x:c>
      <x:c r="G19" s="45" t="str">
        <x:v>Lisibilité et interactions intactes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5" hidden="0" customWidth="1"/>
    <x:col min="4" max="4" width="15" hidden="0" customWidth="1"/>
    <x:col min="5" max="5" width="16" hidden="0" customWidth="1"/>
    <x:col min="6" max="6" width="12" hidden="0" customWidth="1"/>
    <x:col min="7" max="7" width="16" hidden="0" customWidth="1"/>
    <x:col min="8" max="8" width="14" hidden="0" customWidth="1"/>
    <x:col min="9" max="9" width="28" hidden="0" customWidth="1"/>
    <x:col min="10" max="10" width="37" hidden="0" customWidth="1"/>
    <x:col min="11" max="11" width="26" hidden="0" customWidth="1"/>
    <x:col min="12" max="12" width="40" hidden="0" customWidth="1"/>
    <x:col min="13" max="13" width="40" hidden="0" customWidth="1"/>
    <x:col min="14" max="14" width="17" hidden="0" customWidth="1"/>
  </x:cols>
  <x:sheetData>
    <x:row r="1" ht="35" customHeight="1">
      <x:c r="A1" s="54" t="str">
        <x:v>V134 • 44 études d'archives Yautja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</x:row>
    <x:row r="2" ht="32" customHeight="1">
      <x:c r="A2" s="58" t="str">
        <x:v>Un déblocage n'est ni un gauntlet canonique retrouvé ni une récompense fictive : preuve issue d'une mission, d'un trophée et de scans réellement enregistrés.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4" ht="30" customHeight="1">
      <x:c r="A4" s="62" t="str">
        <x:v>Gauntlet ID</x:v>
      </x:c>
      <x:c r="B4" s="62" t="str">
        <x:v>Personnage / version</x:v>
      </x:c>
      <x:c r="C4" s="62" t="str">
        <x:v>Mission preuve</x:v>
      </x:c>
      <x:c r="D4" s="62" t="str">
        <x:v>Complétions min</x:v>
      </x:c>
      <x:c r="E4" s="62" t="str">
        <x:v>Qualité trophée</x:v>
      </x:c>
      <x:c r="F4" s="62" t="str">
        <x:v>Scans min</x:v>
      </x:c>
      <x:c r="G4" s="62" t="str">
        <x:v>Atelier</x:v>
      </x:c>
      <x:c r="H4" s="62" t="str">
        <x:v>Rang</x:v>
      </x:c>
      <x:c r="I4" s="62" t="str">
        <x:v>Action</x:v>
      </x:c>
      <x:c r="J4" s="62" t="str">
        <x:v>Preuves exigées</x:v>
      </x:c>
      <x:c r="K4" s="62" t="str">
        <x:v>Statut code</x:v>
      </x:c>
      <x:c r="L4" s="62" t="str">
        <x:v>Cohérence lore</x:v>
      </x:c>
      <x:c r="M4" s="62" t="str">
        <x:v>URL source</x:v>
      </x:c>
      <x:c r="N4" s="62" t="str">
        <x:v>Test</x:v>
      </x:c>
    </x:row>
    <x:row r="5" ht="25" customHeight="1">
      <x:c r="A5" t="str">
        <x:v>lost-boar</x:v>
      </x:c>
      <x:c r="B5" t="str">
        <x:v>Boar · Lost Tribe</x:v>
      </x:c>
      <x:c r="C5" t="str">
        <x:v>desert-sandmaw</x:v>
      </x:c>
      <x:c r="D5" t="n">
        <x:v>1</x:v>
      </x:c>
      <x:c r="E5" t="str">
        <x:v>elite</x:v>
      </x:c>
      <x:c r="F5" t="n">
        <x:v>15</x:v>
      </x:c>
      <x:c r="G5" t="str">
        <x:v>Rite requis</x:v>
      </x:c>
      <x:c r="H5" t="str">
        <x:v>elite</x:v>
      </x:c>
      <x:c r="I5" t="str">
        <x:v>Validation manuelle au comptoir</x:v>
      </x:c>
      <x:c r="J5" t="str">
        <x:v>MISSION + SCAN + TROPHEE + RANG + RITE</x:v>
      </x:c>
      <x:c r="K5" t="str">
        <x:v>Code V134 • vérification CI</x:v>
      </x:c>
      <x:c r="L5" t="str">
        <x:v>Reconstitution au Homeworld (pas trophée film)</x:v>
      </x:c>
      <x:c r="M5" t="str">
        <x:v>https://store.necaonline.com/blogs/news/predators-introducing-the-lost-tribe-from-our-series-6-action-figures</x:v>
      </x:c>
      <x:c r="N5" t="str">
        <x:v>Test V134</x:v>
      </x:c>
    </x:row>
    <x:row r="6" ht="25" customHeight="1">
      <x:c r="A6" t="str">
        <x:v>lost-shaman</x:v>
      </x:c>
      <x:c r="B6" t="str">
        <x:v>Shaman · Lost Tribe</x:v>
      </x:c>
      <x:c r="C6" t="str">
        <x:v>ocean-leviathan</x:v>
      </x:c>
      <x:c r="D6" t="n">
        <x:v>1</x:v>
      </x:c>
      <x:c r="E6" t="str">
        <x:v>worthy</x:v>
      </x:c>
      <x:c r="F6" t="n">
        <x:v>5</x:v>
      </x:c>
      <x:c r="G6" t="str">
        <x:v>Sans rite</x:v>
      </x:c>
      <x:c r="H6" t="str">
        <x:v>blooded</x:v>
      </x:c>
      <x:c r="I6" t="str">
        <x:v>Validation manuelle au comptoir</x:v>
      </x:c>
      <x:c r="J6" t="str">
        <x:v>MISSION + SCAN + TROPHEE + RANG</x:v>
      </x:c>
      <x:c r="K6" t="str">
        <x:v>Code V134 • vérification CI</x:v>
      </x:c>
      <x:c r="L6" t="str">
        <x:v>Reconstitution au Homeworld (pas trophée film)</x:v>
      </x:c>
      <x:c r="M6" t="str">
        <x:v>https://store.necaonline.com/blogs/news/predators-introducing-the-lost-tribe-from-our-series-6-action-figures</x:v>
      </x:c>
      <x:c r="N6" t="str">
        <x:v>Test V134</x:v>
      </x:c>
    </x:row>
    <x:row r="7" ht="25" customHeight="1">
      <x:c r="A7" t="str">
        <x:v>lost-guardian</x:v>
      </x:c>
      <x:c r="B7" t="str">
        <x:v>Guardian · Lost Tribe</x:v>
      </x:c>
      <x:c r="C7" t="str">
        <x:v>desert-sandmaw</x:v>
      </x:c>
      <x:c r="D7" t="n">
        <x:v>1</x:v>
      </x:c>
      <x:c r="E7" t="str">
        <x:v>blooded</x:v>
      </x:c>
      <x:c r="F7" t="n">
        <x:v>10</x:v>
      </x:c>
      <x:c r="G7" t="str">
        <x:v>Sans rite</x:v>
      </x:c>
      <x:c r="H7" t="str">
        <x:v>blooded</x:v>
      </x:c>
      <x:c r="I7" t="str">
        <x:v>Validation manuelle au comptoir</x:v>
      </x:c>
      <x:c r="J7" t="str">
        <x:v>MISSION + SCAN + TROPHEE + RANG</x:v>
      </x:c>
      <x:c r="K7" t="str">
        <x:v>Code V134 • vérification CI</x:v>
      </x:c>
      <x:c r="L7" t="str">
        <x:v>Reconstitution au Homeworld (pas trophée film)</x:v>
      </x:c>
      <x:c r="M7" t="str">
        <x:v>https://store.necaonline.com/blogs/news/predators-introducing-the-lost-tribe-from-our-series-6-action-figures</x:v>
      </x:c>
      <x:c r="N7" t="str">
        <x:v>Test V134</x:v>
      </x:c>
    </x:row>
    <x:row r="8" ht="25" customHeight="1">
      <x:c r="A8" t="str">
        <x:v>lost-stalker</x:v>
      </x:c>
      <x:c r="B8" t="str">
        <x:v>Stalker · Lost Tribe</x:v>
      </x:c>
      <x:c r="C8" t="str">
        <x:v>fungal-hivemind</x:v>
      </x:c>
      <x:c r="D8" t="n">
        <x:v>1</x:v>
      </x:c>
      <x:c r="E8" t="str">
        <x:v>elite</x:v>
      </x:c>
      <x:c r="F8" t="n">
        <x:v>15</x:v>
      </x:c>
      <x:c r="G8" t="str">
        <x:v>Rite requis</x:v>
      </x:c>
      <x:c r="H8" t="str">
        <x:v>elite</x:v>
      </x:c>
      <x:c r="I8" t="str">
        <x:v>Validation manuelle au comptoir</x:v>
      </x:c>
      <x:c r="J8" t="str">
        <x:v>MISSION + SCAN + TROPHEE + RANG + RITE</x:v>
      </x:c>
      <x:c r="K8" t="str">
        <x:v>Code V134 • vérification CI</x:v>
      </x:c>
      <x:c r="L8" t="str">
        <x:v>Reconstitution au Homeworld (pas trophée film)</x:v>
      </x:c>
      <x:c r="M8" t="str">
        <x:v>https://store.necaonline.com/blogs/news/predators-introducing-the-lost-tribe-from-our-series-6-action-figures</x:v>
      </x:c>
      <x:c r="N8" t="str">
        <x:v>Test V134</x:v>
      </x:c>
    </x:row>
    <x:row r="9" ht="25" customHeight="1">
      <x:c r="A9" t="str">
        <x:v>lost-snake</x:v>
      </x:c>
      <x:c r="B9" t="str">
        <x:v>Snake · Lost Tribe</x:v>
      </x:c>
      <x:c r="C9" t="str">
        <x:v>volcano-bad-blood</x:v>
      </x:c>
      <x:c r="D9" t="n">
        <x:v>1</x:v>
      </x:c>
      <x:c r="E9" t="str">
        <x:v>elite</x:v>
      </x:c>
      <x:c r="F9" t="n">
        <x:v>15</x:v>
      </x:c>
      <x:c r="G9" t="str">
        <x:v>Rite requis</x:v>
      </x:c>
      <x:c r="H9" t="str">
        <x:v>elite</x:v>
      </x:c>
      <x:c r="I9" t="str">
        <x:v>Validation manuelle au comptoir</x:v>
      </x:c>
      <x:c r="J9" t="str">
        <x:v>MISSION + SCAN + TROPHEE + RANG + RITE</x:v>
      </x:c>
      <x:c r="K9" t="str">
        <x:v>Code V134 • vérification CI</x:v>
      </x:c>
      <x:c r="L9" t="str">
        <x:v>Reconstitution au Homeworld (pas trophée film)</x:v>
      </x:c>
      <x:c r="M9" t="str">
        <x:v>https://store.necaonline.com/blogs/news/predators-introducing-the-lost-tribe-from-our-series-6-action-figures</x:v>
      </x:c>
      <x:c r="N9" t="str">
        <x:v>Test V134</x:v>
      </x:c>
    </x:row>
    <x:row r="10" ht="25" customHeight="1">
      <x:c r="A10" t="str">
        <x:v>lost-warrior</x:v>
      </x:c>
      <x:c r="B10" t="str">
        <x:v>Warrior · Lost Tribe</x:v>
      </x:c>
      <x:c r="C10" t="str">
        <x:v>ice-cryostalker</x:v>
      </x:c>
      <x:c r="D10" t="n">
        <x:v>1</x:v>
      </x:c>
      <x:c r="E10" t="str">
        <x:v>worthy</x:v>
      </x:c>
      <x:c r="F10" t="n">
        <x:v>5</x:v>
      </x:c>
      <x:c r="G10" t="str">
        <x:v>Sans rite</x:v>
      </x:c>
      <x:c r="H10" t="str">
        <x:v>blooded</x:v>
      </x:c>
      <x:c r="I10" t="str">
        <x:v>Validation manuelle au comptoir</x:v>
      </x:c>
      <x:c r="J10" t="str">
        <x:v>MISSION + SCAN + TROPHEE + RANG</x:v>
      </x:c>
      <x:c r="K10" t="str">
        <x:v>Code V134 • vérification CI</x:v>
      </x:c>
      <x:c r="L10" t="str">
        <x:v>Reconstitution au Homeworld (pas trophée film)</x:v>
      </x:c>
      <x:c r="M10" t="str">
        <x:v>https://store.necaonline.com/blogs/news/predators-introducing-the-lost-tribe-from-our-series-6-action-figures</x:v>
      </x:c>
      <x:c r="N10" t="str">
        <x:v>Test V134</x:v>
      </x:c>
    </x:row>
    <x:row r="11" ht="25" customHeight="1">
      <x:c r="A11" t="str">
        <x:v>lost-scout</x:v>
      </x:c>
      <x:c r="B11" t="str">
        <x:v>Scout · Lost Tribe</x:v>
      </x:c>
      <x:c r="C11" t="str">
        <x:v>ice-cryostalker</x:v>
      </x:c>
      <x:c r="D11" t="n">
        <x:v>1</x:v>
      </x:c>
      <x:c r="E11" t="str">
        <x:v>worthy</x:v>
      </x:c>
      <x:c r="F11" t="n">
        <x:v>5</x:v>
      </x:c>
      <x:c r="G11" t="str">
        <x:v>Sans rite</x:v>
      </x:c>
      <x:c r="H11" t="str">
        <x:v>blooded</x:v>
      </x:c>
      <x:c r="I11" t="str">
        <x:v>Validation manuelle au comptoir</x:v>
      </x:c>
      <x:c r="J11" t="str">
        <x:v>MISSION + SCAN + TROPHEE + RANG</x:v>
      </x:c>
      <x:c r="K11" t="str">
        <x:v>Code V134 • vérification CI</x:v>
      </x:c>
      <x:c r="L11" t="str">
        <x:v>Reconstitution au Homeworld (pas trophée film)</x:v>
      </x:c>
      <x:c r="M11" t="str">
        <x:v>https://store.necaonline.com/blogs/news/predators-introducing-the-lost-tribe-from-our-series-6-action-figures</x:v>
      </x:c>
      <x:c r="N11" t="str">
        <x:v>Test V134</x:v>
      </x:c>
    </x:row>
    <x:row r="12" ht="25" customHeight="1">
      <x:c r="A12" t="str">
        <x:v>lost-borg</x:v>
      </x:c>
      <x:c r="B12" t="str">
        <x:v>Lost / Borg · Lost Tribe</x:v>
      </x:c>
      <x:c r="C12" t="str">
        <x:v>swamp-hydra</x:v>
      </x:c>
      <x:c r="D12" t="n">
        <x:v>1</x:v>
      </x:c>
      <x:c r="E12" t="str">
        <x:v>elite</x:v>
      </x:c>
      <x:c r="F12" t="n">
        <x:v>15</x:v>
      </x:c>
      <x:c r="G12" t="str">
        <x:v>Rite requis</x:v>
      </x:c>
      <x:c r="H12" t="str">
        <x:v>elite</x:v>
      </x:c>
      <x:c r="I12" t="str">
        <x:v>Validation manuelle au comptoir</x:v>
      </x:c>
      <x:c r="J12" t="str">
        <x:v>MISSION + SCAN + TROPHEE + RANG + RITE</x:v>
      </x:c>
      <x:c r="K12" t="str">
        <x:v>Code V134 • vérification CI</x:v>
      </x:c>
      <x:c r="L12" t="str">
        <x:v>Reconstitution au Homeworld (pas trophée film)</x:v>
      </x:c>
      <x:c r="M12" t="str">
        <x:v>https://store.necaonline.com/blogs/news/predators-introducing-the-lost-tribe-from-our-series-6-action-figures</x:v>
      </x:c>
      <x:c r="N12" t="str">
        <x:v>Test V134</x:v>
      </x:c>
    </x:row>
    <x:row r="13" ht="25" customHeight="1">
      <x:c r="A13" t="str">
        <x:v>celtic</x:v>
      </x:c>
      <x:c r="B13" t="str">
        <x:v>Celtic · AVP 2004</x:v>
      </x:c>
      <x:c r="C13" t="str">
        <x:v>swamp-hydra</x:v>
      </x:c>
      <x:c r="D13" t="n">
        <x:v>1</x:v>
      </x:c>
      <x:c r="E13" t="str">
        <x:v>blooded</x:v>
      </x:c>
      <x:c r="F13" t="n">
        <x:v>10</x:v>
      </x:c>
      <x:c r="G13" t="str">
        <x:v>Sans rite</x:v>
      </x:c>
      <x:c r="H13" t="str">
        <x:v>blooded</x:v>
      </x:c>
      <x:c r="I13" t="str">
        <x:v>Validation manuelle au comptoir</x:v>
      </x:c>
      <x:c r="J13" t="str">
        <x:v>MISSION + SCAN + TROPHEE + RANG</x:v>
      </x:c>
      <x:c r="K13" t="str">
        <x:v>Code V134 • vérification CI</x:v>
      </x:c>
      <x:c r="L13" t="str">
        <x:v>Reconstitution au Homeworld (pas trophée film)</x:v>
      </x:c>
      <x:c r="M13" t="str">
        <x:v>https://predator.illfonic.com/</x:v>
      </x:c>
      <x:c r="N13" t="str">
        <x:v>Test V134</x:v>
      </x:c>
    </x:row>
    <x:row r="14" ht="25" customHeight="1">
      <x:c r="A14" t="str">
        <x:v>chopper</x:v>
      </x:c>
      <x:c r="B14" t="str">
        <x:v>Chopper · AVP 2004</x:v>
      </x:c>
      <x:c r="C14" t="str">
        <x:v>volcano-bad-blood</x:v>
      </x:c>
      <x:c r="D14" t="n">
        <x:v>1</x:v>
      </x:c>
      <x:c r="E14" t="str">
        <x:v>worthy</x:v>
      </x:c>
      <x:c r="F14" t="n">
        <x:v>5</x:v>
      </x:c>
      <x:c r="G14" t="str">
        <x:v>Sans rite</x:v>
      </x:c>
      <x:c r="H14" t="str">
        <x:v>blooded</x:v>
      </x:c>
      <x:c r="I14" t="str">
        <x:v>Validation manuelle au comptoir</x:v>
      </x:c>
      <x:c r="J14" t="str">
        <x:v>MISSION + SCAN + TROPHEE + RANG</x:v>
      </x:c>
      <x:c r="K14" t="str">
        <x:v>Code V134 • vérification CI</x:v>
      </x:c>
      <x:c r="L14" t="str">
        <x:v>Reconstitution au Homeworld (pas trophée film)</x:v>
      </x:c>
      <x:c r="M14" t="str">
        <x:v>https://predator.illfonic.com/</x:v>
      </x:c>
      <x:c r="N14" t="str">
        <x:v>Test V134</x:v>
      </x:c>
    </x:row>
    <x:row r="15" ht="25" customHeight="1">
      <x:c r="A15" t="str">
        <x:v>avp-elder</x:v>
      </x:c>
      <x:c r="B15" t="str">
        <x:v>Elder · AVP 2004</x:v>
      </x:c>
      <x:c r="C15" t="str">
        <x:v>ice-cryostalker</x:v>
      </x:c>
      <x:c r="D15" t="n">
        <x:v>2</x:v>
      </x:c>
      <x:c r="E15" t="str">
        <x:v>flawless</x:v>
      </x:c>
      <x:c r="F15" t="n">
        <x:v>20</x:v>
      </x:c>
      <x:c r="G15" t="str">
        <x:v>Rite requis</x:v>
      </x:c>
      <x:c r="H15" t="str">
        <x:v>elder</x:v>
      </x:c>
      <x:c r="I15" t="str">
        <x:v>Validation manuelle au comptoir</x:v>
      </x:c>
      <x:c r="J15" t="str">
        <x:v>MISSION + SCAN + TROPHEE + RANG + RITE</x:v>
      </x:c>
      <x:c r="K15" t="str">
        <x:v>Code V134 • vérification CI</x:v>
      </x:c>
      <x:c r="L15" t="str">
        <x:v>Reconstitution au Homeworld (pas trophée film)</x:v>
      </x:c>
      <x:c r="M15" t="str">
        <x:v>https://www.avpgalaxy.net/merch/neca/predator/series/</x:v>
      </x:c>
      <x:c r="N15" t="str">
        <x:v>Test V134</x:v>
      </x:c>
    </x:row>
    <x:row r="16" ht="25" customHeight="1">
      <x:c r="A16" t="str">
        <x:v>berserker-2010</x:v>
      </x:c>
      <x:c r="B16" t="str">
        <x:v>Mr Black / Berserker · 2010</x:v>
      </x:c>
      <x:c r="C16" t="str">
        <x:v>desert-sandmaw</x:v>
      </x:c>
      <x:c r="D16" t="n">
        <x:v>1</x:v>
      </x:c>
      <x:c r="E16" t="str">
        <x:v>elite</x:v>
      </x:c>
      <x:c r="F16" t="n">
        <x:v>15</x:v>
      </x:c>
      <x:c r="G16" t="str">
        <x:v>Rite requis</x:v>
      </x:c>
      <x:c r="H16" t="str">
        <x:v>elite</x:v>
      </x:c>
      <x:c r="I16" t="str">
        <x:v>Validation manuelle au comptoir</x:v>
      </x:c>
      <x:c r="J16" t="str">
        <x:v>MISSION + SCAN + TROPHEE + RANG + RITE</x:v>
      </x:c>
      <x:c r="K16" t="str">
        <x:v>Code V134 • vérification CI</x:v>
      </x:c>
      <x:c r="L16" t="str">
        <x:v>Reconstitution au Homeworld (pas trophée film)</x:v>
      </x:c>
      <x:c r="M16" t="str">
        <x:v>https://predator.illfonic.com/</x:v>
      </x:c>
      <x:c r="N16" t="str">
        <x:v>Test V134</x:v>
      </x:c>
    </x:row>
    <x:row r="17" ht="25" customHeight="1">
      <x:c r="A17" t="str">
        <x:v>falconer-2010</x:v>
      </x:c>
      <x:c r="B17" t="str">
        <x:v>Falconer · 2010</x:v>
      </x:c>
      <x:c r="C17" t="str">
        <x:v>ruins-ancient-guardian</x:v>
      </x:c>
      <x:c r="D17" t="n">
        <x:v>1</x:v>
      </x:c>
      <x:c r="E17" t="str">
        <x:v>blooded</x:v>
      </x:c>
      <x:c r="F17" t="n">
        <x:v>10</x:v>
      </x:c>
      <x:c r="G17" t="str">
        <x:v>Sans rite</x:v>
      </x:c>
      <x:c r="H17" t="str">
        <x:v>blooded</x:v>
      </x:c>
      <x:c r="I17" t="str">
        <x:v>Validation manuelle au comptoir</x:v>
      </x:c>
      <x:c r="J17" t="str">
        <x:v>MISSION + SCAN + TROPHEE + RANG</x:v>
      </x:c>
      <x:c r="K17" t="str">
        <x:v>Code V134 • vérification CI</x:v>
      </x:c>
      <x:c r="L17" t="str">
        <x:v>Reconstitution au Homeworld (pas trophée film)</x:v>
      </x:c>
      <x:c r="M17" t="str">
        <x:v>https://predator.illfonic.com/</x:v>
      </x:c>
      <x:c r="N17" t="str">
        <x:v>Test V134</x:v>
      </x:c>
    </x:row>
    <x:row r="18" ht="25" customHeight="1">
      <x:c r="A18" t="str">
        <x:v>tracker-2010</x:v>
      </x:c>
      <x:c r="B18" t="str">
        <x:v>Tracker · 2010</x:v>
      </x:c>
      <x:c r="C18" t="str">
        <x:v>fungal-hivemind</x:v>
      </x:c>
      <x:c r="D18" t="n">
        <x:v>1</x:v>
      </x:c>
      <x:c r="E18" t="str">
        <x:v>blooded</x:v>
      </x:c>
      <x:c r="F18" t="n">
        <x:v>10</x:v>
      </x:c>
      <x:c r="G18" t="str">
        <x:v>Sans rite</x:v>
      </x:c>
      <x:c r="H18" t="str">
        <x:v>blooded</x:v>
      </x:c>
      <x:c r="I18" t="str">
        <x:v>Validation manuelle au comptoir</x:v>
      </x:c>
      <x:c r="J18" t="str">
        <x:v>MISSION + SCAN + TROPHEE + RANG</x:v>
      </x:c>
      <x:c r="K18" t="str">
        <x:v>Code V134 • vérification CI</x:v>
      </x:c>
      <x:c r="L18" t="str">
        <x:v>Reconstitution au Homeworld (pas trophée film)</x:v>
      </x:c>
      <x:c r="M18" t="str">
        <x:v>https://predator.illfonic.com/</x:v>
      </x:c>
      <x:c r="N18" t="str">
        <x:v>Test V134</x:v>
      </x:c>
    </x:row>
    <x:row r="19" ht="25" customHeight="1">
      <x:c r="A19" t="str">
        <x:v>assassin</x:v>
      </x:c>
      <x:c r="B19" t="str">
        <x:v>Upgrade / Assassin · The Predator 2018</x:v>
      </x:c>
      <x:c r="C19" t="str">
        <x:v>ice-cryostalker</x:v>
      </x:c>
      <x:c r="D19" t="n">
        <x:v>1</x:v>
      </x:c>
      <x:c r="E19" t="str">
        <x:v>worthy</x:v>
      </x:c>
      <x:c r="F19" t="n">
        <x:v>5</x:v>
      </x:c>
      <x:c r="G19" t="str">
        <x:v>Sans rite</x:v>
      </x:c>
      <x:c r="H19" t="str">
        <x:v>blooded</x:v>
      </x:c>
      <x:c r="I19" t="str">
        <x:v>Validation manuelle au comptoir</x:v>
      </x:c>
      <x:c r="J19" t="str">
        <x:v>MISSION + SCAN + TROPHEE + RANG</x:v>
      </x:c>
      <x:c r="K19" t="str">
        <x:v>Code V134 • vérification CI</x:v>
      </x:c>
      <x:c r="L19" t="str">
        <x:v>Reconstitution au Homeworld (pas trophée film)</x:v>
      </x:c>
      <x:c r="M19" t="str">
        <x:v>https://www.avpgalaxy.net/merch/neca/predator/series/</x:v>
      </x:c>
      <x:c r="N19" t="str">
        <x:v>Test V134</x:v>
      </x:c>
    </x:row>
    <x:row r="20" ht="25" customHeight="1">
      <x:c r="A20" t="str">
        <x:v>kwei</x:v>
      </x:c>
      <x:c r="B20" t="str">
        <x:v>Kwei · Badlands 2025</x:v>
      </x:c>
      <x:c r="C20" t="str">
        <x:v>ruins-ancient-guardian</x:v>
      </x:c>
      <x:c r="D20" t="n">
        <x:v>1</x:v>
      </x:c>
      <x:c r="E20" t="str">
        <x:v>blooded</x:v>
      </x:c>
      <x:c r="F20" t="n">
        <x:v>10</x:v>
      </x:c>
      <x:c r="G20" t="str">
        <x:v>Sans rite</x:v>
      </x:c>
      <x:c r="H20" t="str">
        <x:v>blooded</x:v>
      </x:c>
      <x:c r="I20" t="str">
        <x:v>Validation manuelle au comptoir</x:v>
      </x:c>
      <x:c r="J20" t="str">
        <x:v>MISSION + SCAN + TROPHEE + RANG</x:v>
      </x:c>
      <x:c r="K20" t="str">
        <x:v>Code V134 • vérification CI</x:v>
      </x:c>
      <x:c r="L20" t="str">
        <x:v>Reconstitution au Homeworld (pas trophée film)</x:v>
      </x:c>
      <x:c r="M20" t="str">
        <x:v>https://wetaworkshopdesignstudio.artstation.com/projects/rlxRPa</x:v>
      </x:c>
      <x:c r="N20" t="str">
        <x:v>Test V134</x:v>
      </x:c>
    </x:row>
    <x:row r="21" ht="25" customHeight="1">
      <x:c r="A21" t="str">
        <x:v>njohrr</x:v>
      </x:c>
      <x:c r="B21" t="str">
        <x:v>Njohrr · Badlands 2025</x:v>
      </x:c>
      <x:c r="C21" t="str">
        <x:v>volcano-bad-blood</x:v>
      </x:c>
      <x:c r="D21" t="n">
        <x:v>1</x:v>
      </x:c>
      <x:c r="E21" t="str">
        <x:v>elite</x:v>
      </x:c>
      <x:c r="F21" t="n">
        <x:v>15</x:v>
      </x:c>
      <x:c r="G21" t="str">
        <x:v>Rite requis</x:v>
      </x:c>
      <x:c r="H21" t="str">
        <x:v>elite</x:v>
      </x:c>
      <x:c r="I21" t="str">
        <x:v>Validation manuelle au comptoir</x:v>
      </x:c>
      <x:c r="J21" t="str">
        <x:v>MISSION + SCAN + TROPHEE + RANG + RITE</x:v>
      </x:c>
      <x:c r="K21" t="str">
        <x:v>Code V134 • vérification CI</x:v>
      </x:c>
      <x:c r="L21" t="str">
        <x:v>Reconstitution au Homeworld (pas trophée film)</x:v>
      </x:c>
      <x:c r="M21" t="str">
        <x:v>https://wetaworkshopdesignstudio.artstation.com/projects/rlxRPa</x:v>
      </x:c>
      <x:c r="N21" t="str">
        <x:v>Test V134</x:v>
      </x:c>
    </x:row>
    <x:row r="22" ht="25" customHeight="1">
      <x:c r="A22" t="str">
        <x:v>kok-viking</x:v>
      </x:c>
      <x:c r="B22" t="str">
        <x:v>Chasseur Viking · Killer of Killers</x:v>
      </x:c>
      <x:c r="C22" t="str">
        <x:v>ruins-ancient-guardian</x:v>
      </x:c>
      <x:c r="D22" t="n">
        <x:v>1</x:v>
      </x:c>
      <x:c r="E22" t="str">
        <x:v>blooded</x:v>
      </x:c>
      <x:c r="F22" t="n">
        <x:v>10</x:v>
      </x:c>
      <x:c r="G22" t="str">
        <x:v>Sans rite</x:v>
      </x:c>
      <x:c r="H22" t="str">
        <x:v>blooded</x:v>
      </x:c>
      <x:c r="I22" t="str">
        <x:v>Validation manuelle au comptoir</x:v>
      </x:c>
      <x:c r="J22" t="str">
        <x:v>MISSION + SCAN + TROPHEE + RANG</x:v>
      </x:c>
      <x:c r="K22" t="str">
        <x:v>Code V134 • vérification CI</x:v>
      </x:c>
      <x:c r="L22" t="str">
        <x:v>Reconstitution au Homeworld (pas trophée film)</x:v>
      </x:c>
      <x:c r="M22" t="str">
        <x:v>https://www.20thcenturystudios.com/movies/predator-killer-of-killers</x:v>
      </x:c>
      <x:c r="N22" t="str">
        <x:v>Test V134</x:v>
      </x:c>
    </x:row>
    <x:row r="23" ht="25" customHeight="1">
      <x:c r="A23" t="str">
        <x:v>kok-ninja</x:v>
      </x:c>
      <x:c r="B23" t="str">
        <x:v>Chasseur Ninja · Killer of Killers</x:v>
      </x:c>
      <x:c r="C23" t="str">
        <x:v>fungal-hivemind</x:v>
      </x:c>
      <x:c r="D23" t="n">
        <x:v>1</x:v>
      </x:c>
      <x:c r="E23" t="str">
        <x:v>blooded</x:v>
      </x:c>
      <x:c r="F23" t="n">
        <x:v>10</x:v>
      </x:c>
      <x:c r="G23" t="str">
        <x:v>Sans rite</x:v>
      </x:c>
      <x:c r="H23" t="str">
        <x:v>blooded</x:v>
      </x:c>
      <x:c r="I23" t="str">
        <x:v>Validation manuelle au comptoir</x:v>
      </x:c>
      <x:c r="J23" t="str">
        <x:v>MISSION + SCAN + TROPHEE + RANG</x:v>
      </x:c>
      <x:c r="K23" t="str">
        <x:v>Code V134 • vérification CI</x:v>
      </x:c>
      <x:c r="L23" t="str">
        <x:v>Reconstitution au Homeworld (pas trophée film)</x:v>
      </x:c>
      <x:c r="M23" t="str">
        <x:v>https://www.20thcenturystudios.com/movies/predator-killer-of-killers</x:v>
      </x:c>
      <x:c r="N23" t="str">
        <x:v>Test V134</x:v>
      </x:c>
    </x:row>
    <x:row r="24" ht="25" customHeight="1">
      <x:c r="A24" t="str">
        <x:v>kok-pilot</x:v>
      </x:c>
      <x:c r="B24" t="str">
        <x:v>Chasseur Pilote · Killer of Killers</x:v>
      </x:c>
      <x:c r="C24" t="str">
        <x:v>ruins-ancient-guardian</x:v>
      </x:c>
      <x:c r="D24" t="n">
        <x:v>2</x:v>
      </x:c>
      <x:c r="E24" t="str">
        <x:v>flawless</x:v>
      </x:c>
      <x:c r="F24" t="n">
        <x:v>20</x:v>
      </x:c>
      <x:c r="G24" t="str">
        <x:v>Rite requis</x:v>
      </x:c>
      <x:c r="H24" t="str">
        <x:v>elder</x:v>
      </x:c>
      <x:c r="I24" t="str">
        <x:v>Validation manuelle au comptoir</x:v>
      </x:c>
      <x:c r="J24" t="str">
        <x:v>MISSION + SCAN + TROPHEE + RANG + RITE</x:v>
      </x:c>
      <x:c r="K24" t="str">
        <x:v>Code V134 • vérification CI</x:v>
      </x:c>
      <x:c r="L24" t="str">
        <x:v>Reconstitution au Homeworld (pas trophée film)</x:v>
      </x:c>
      <x:c r="M24" t="str">
        <x:v>https://www.20thcenturystudios.com/movies/predator-killer-of-killers</x:v>
      </x:c>
      <x:c r="N24" t="str">
        <x:v>Test V134</x:v>
      </x:c>
    </x:row>
    <x:row r="25" ht="25" customHeight="1">
      <x:c r="A25" t="str">
        <x:v>kok-grendel</x:v>
      </x:c>
      <x:c r="B25" t="str">
        <x:v>Grendel King · Killer of Killers</x:v>
      </x:c>
      <x:c r="C25" t="str">
        <x:v>ruins-ancient-guardian</x:v>
      </x:c>
      <x:c r="D25" t="n">
        <x:v>1</x:v>
      </x:c>
      <x:c r="E25" t="str">
        <x:v>elite</x:v>
      </x:c>
      <x:c r="F25" t="n">
        <x:v>15</x:v>
      </x:c>
      <x:c r="G25" t="str">
        <x:v>Rite requis</x:v>
      </x:c>
      <x:c r="H25" t="str">
        <x:v>elite</x:v>
      </x:c>
      <x:c r="I25" t="str">
        <x:v>Validation manuelle au comptoir</x:v>
      </x:c>
      <x:c r="J25" t="str">
        <x:v>MISSION + SCAN + TROPHEE + RANG + RITE</x:v>
      </x:c>
      <x:c r="K25" t="str">
        <x:v>Code V134 • vérification CI</x:v>
      </x:c>
      <x:c r="L25" t="str">
        <x:v>Reconstitution au Homeworld (pas trophée film)</x:v>
      </x:c>
      <x:c r="M25" t="str">
        <x:v>https://www.20thcenturystudios.com/movies/predator-killer-of-killers</x:v>
      </x:c>
      <x:c r="N25" t="str">
        <x:v>Test V134</x:v>
      </x:c>
    </x:row>
    <x:row r="26" ht="25" customHeight="1">
      <x:c r="A26" t="str">
        <x:v>phg-scout</x:v>
      </x:c>
      <x:c r="B26" t="str">
        <x:v>Scout · PHG</x:v>
      </x:c>
      <x:c r="C26" t="str">
        <x:v>desert-sandmaw</x:v>
      </x:c>
      <x:c r="D26" t="n">
        <x:v>1</x:v>
      </x:c>
      <x:c r="E26" t="str">
        <x:v>blooded</x:v>
      </x:c>
      <x:c r="F26" t="n">
        <x:v>10</x:v>
      </x:c>
      <x:c r="G26" t="str">
        <x:v>Sans rite</x:v>
      </x:c>
      <x:c r="H26" t="str">
        <x:v>blooded</x:v>
      </x:c>
      <x:c r="I26" t="str">
        <x:v>Validation manuelle au comptoir</x:v>
      </x:c>
      <x:c r="J26" t="str">
        <x:v>MISSION + SCAN + TROPHEE + RANG</x:v>
      </x:c>
      <x:c r="K26" t="str">
        <x:v>Code V134 • vérification CI</x:v>
      </x:c>
      <x:c r="L26" t="str">
        <x:v>Reconstitution au Homeworld (pas trophée film)</x:v>
      </x:c>
      <x:c r="M26" t="str">
        <x:v>https://predator.illfonic.com/</x:v>
      </x:c>
      <x:c r="N26" t="str">
        <x:v>Test V134</x:v>
      </x:c>
    </x:row>
    <x:row r="27" ht="25" customHeight="1">
      <x:c r="A27" t="str">
        <x:v>phg-berserker</x:v>
      </x:c>
      <x:c r="B27" t="str">
        <x:v>Berserker · PHG</x:v>
      </x:c>
      <x:c r="C27" t="str">
        <x:v>volcano-bad-blood</x:v>
      </x:c>
      <x:c r="D27" t="n">
        <x:v>1</x:v>
      </x:c>
      <x:c r="E27" t="str">
        <x:v>elite</x:v>
      </x:c>
      <x:c r="F27" t="n">
        <x:v>15</x:v>
      </x:c>
      <x:c r="G27" t="str">
        <x:v>Rite requis</x:v>
      </x:c>
      <x:c r="H27" t="str">
        <x:v>elite</x:v>
      </x:c>
      <x:c r="I27" t="str">
        <x:v>Validation manuelle au comptoir</x:v>
      </x:c>
      <x:c r="J27" t="str">
        <x:v>MISSION + SCAN + TROPHEE + RANG + RITE</x:v>
      </x:c>
      <x:c r="K27" t="str">
        <x:v>Code V134 • vérification CI</x:v>
      </x:c>
      <x:c r="L27" t="str">
        <x:v>Reconstitution au Homeworld (pas trophée film)</x:v>
      </x:c>
      <x:c r="M27" t="str">
        <x:v>https://predator.illfonic.com/</x:v>
      </x:c>
      <x:c r="N27" t="str">
        <x:v>Test V134</x:v>
      </x:c>
    </x:row>
    <x:row r="28" ht="25" customHeight="1">
      <x:c r="A28" t="str">
        <x:v>phg-alpha</x:v>
      </x:c>
      <x:c r="B28" t="str">
        <x:v>Alpha · PHG</x:v>
      </x:c>
      <x:c r="C28" t="str">
        <x:v>ocean-leviathan</x:v>
      </x:c>
      <x:c r="D28" t="n">
        <x:v>2</x:v>
      </x:c>
      <x:c r="E28" t="str">
        <x:v>flawless</x:v>
      </x:c>
      <x:c r="F28" t="n">
        <x:v>20</x:v>
      </x:c>
      <x:c r="G28" t="str">
        <x:v>Rite requis</x:v>
      </x:c>
      <x:c r="H28" t="str">
        <x:v>elder</x:v>
      </x:c>
      <x:c r="I28" t="str">
        <x:v>Validation manuelle au comptoir</x:v>
      </x:c>
      <x:c r="J28" t="str">
        <x:v>MISSION + SCAN + TROPHEE + RANG + RITE</x:v>
      </x:c>
      <x:c r="K28" t="str">
        <x:v>Code V134 • vérification CI</x:v>
      </x:c>
      <x:c r="L28" t="str">
        <x:v>Reconstitution au Homeworld (pas trophée film)</x:v>
      </x:c>
      <x:c r="M28" t="str">
        <x:v>https://predator.illfonic.com/</x:v>
      </x:c>
      <x:c r="N28" t="str">
        <x:v>Test V134</x:v>
      </x:c>
    </x:row>
    <x:row r="29" ht="25" customHeight="1">
      <x:c r="A29" t="str">
        <x:v>phg-samurai</x:v>
      </x:c>
      <x:c r="B29" t="str">
        <x:v>Samurai · PHG</x:v>
      </x:c>
      <x:c r="C29" t="str">
        <x:v>volcano-bad-blood</x:v>
      </x:c>
      <x:c r="D29" t="n">
        <x:v>1</x:v>
      </x:c>
      <x:c r="E29" t="str">
        <x:v>blooded</x:v>
      </x:c>
      <x:c r="F29" t="n">
        <x:v>10</x:v>
      </x:c>
      <x:c r="G29" t="str">
        <x:v>Sans rite</x:v>
      </x:c>
      <x:c r="H29" t="str">
        <x:v>blooded</x:v>
      </x:c>
      <x:c r="I29" t="str">
        <x:v>Validation manuelle au comptoir</x:v>
      </x:c>
      <x:c r="J29" t="str">
        <x:v>MISSION + SCAN + TROPHEE + RANG</x:v>
      </x:c>
      <x:c r="K29" t="str">
        <x:v>Code V134 • vérification CI</x:v>
      </x:c>
      <x:c r="L29" t="str">
        <x:v>Reconstitution au Homeworld (pas trophée film)</x:v>
      </x:c>
      <x:c r="M29" t="str">
        <x:v>https://predator.illfonic.com/</x:v>
      </x:c>
      <x:c r="N29" t="str">
        <x:v>Test V134</x:v>
      </x:c>
    </x:row>
    <x:row r="30" ht="25" customHeight="1">
      <x:c r="A30" t="str">
        <x:v>phg-viking</x:v>
      </x:c>
      <x:c r="B30" t="str">
        <x:v>Viking · PHG</x:v>
      </x:c>
      <x:c r="C30" t="str">
        <x:v>jungle-vey</x:v>
      </x:c>
      <x:c r="D30" t="n">
        <x:v>2</x:v>
      </x:c>
      <x:c r="E30" t="str">
        <x:v>flawless</x:v>
      </x:c>
      <x:c r="F30" t="n">
        <x:v>20</x:v>
      </x:c>
      <x:c r="G30" t="str">
        <x:v>Rite requis</x:v>
      </x:c>
      <x:c r="H30" t="str">
        <x:v>elder</x:v>
      </x:c>
      <x:c r="I30" t="str">
        <x:v>Validation manuelle au comptoir</x:v>
      </x:c>
      <x:c r="J30" t="str">
        <x:v>MISSION + SCAN + TROPHEE + RANG + RITE</x:v>
      </x:c>
      <x:c r="K30" t="str">
        <x:v>Code V134 • vérification CI</x:v>
      </x:c>
      <x:c r="L30" t="str">
        <x:v>Reconstitution au Homeworld (pas trophée film)</x:v>
      </x:c>
      <x:c r="M30" t="str">
        <x:v>https://predator.illfonic.com/</x:v>
      </x:c>
      <x:c r="N30" t="str">
        <x:v>Test V134</x:v>
      </x:c>
    </x:row>
    <x:row r="31" ht="25" customHeight="1">
      <x:c r="A31" t="str">
        <x:v>phg-valkyrie</x:v>
      </x:c>
      <x:c r="B31" t="str">
        <x:v>Valkyrie · PHG</x:v>
      </x:c>
      <x:c r="C31" t="str">
        <x:v>desert-sandmaw</x:v>
      </x:c>
      <x:c r="D31" t="n">
        <x:v>1</x:v>
      </x:c>
      <x:c r="E31" t="str">
        <x:v>worthy</x:v>
      </x:c>
      <x:c r="F31" t="n">
        <x:v>5</x:v>
      </x:c>
      <x:c r="G31" t="str">
        <x:v>Sans rite</x:v>
      </x:c>
      <x:c r="H31" t="str">
        <x:v>blooded</x:v>
      </x:c>
      <x:c r="I31" t="str">
        <x:v>Validation manuelle au comptoir</x:v>
      </x:c>
      <x:c r="J31" t="str">
        <x:v>MISSION + SCAN + TROPHEE + RANG</x:v>
      </x:c>
      <x:c r="K31" t="str">
        <x:v>Code V134 • vérification CI</x:v>
      </x:c>
      <x:c r="L31" t="str">
        <x:v>Reconstitution au Homeworld (pas trophée film)</x:v>
      </x:c>
      <x:c r="M31" t="str">
        <x:v>https://predator.illfonic.com/</x:v>
      </x:c>
      <x:c r="N31" t="str">
        <x:v>Test V134</x:v>
      </x:c>
    </x:row>
    <x:row r="32" ht="25" customHeight="1">
      <x:c r="A32" t="str">
        <x:v>phg-cleopatra</x:v>
      </x:c>
      <x:c r="B32" t="str">
        <x:v>Cleopatra · PHG</x:v>
      </x:c>
      <x:c r="C32" t="str">
        <x:v>ruins-ancient-guardian</x:v>
      </x:c>
      <x:c r="D32" t="n">
        <x:v>1</x:v>
      </x:c>
      <x:c r="E32" t="str">
        <x:v>elite</x:v>
      </x:c>
      <x:c r="F32" t="n">
        <x:v>15</x:v>
      </x:c>
      <x:c r="G32" t="str">
        <x:v>Rite requis</x:v>
      </x:c>
      <x:c r="H32" t="str">
        <x:v>elite</x:v>
      </x:c>
      <x:c r="I32" t="str">
        <x:v>Validation manuelle au comptoir</x:v>
      </x:c>
      <x:c r="J32" t="str">
        <x:v>MISSION + SCAN + TROPHEE + RANG + RITE</x:v>
      </x:c>
      <x:c r="K32" t="str">
        <x:v>Code V134 • vérification CI</x:v>
      </x:c>
      <x:c r="L32" t="str">
        <x:v>Reconstitution au Homeworld (pas trophée film)</x:v>
      </x:c>
      <x:c r="M32" t="str">
        <x:v>https://predator.illfonic.com/</x:v>
      </x:c>
      <x:c r="N32" t="str">
        <x:v>Test V134</x:v>
      </x:c>
    </x:row>
    <x:row r="33" ht="25" customHeight="1">
      <x:c r="A33" t="str">
        <x:v>phg-exiled</x:v>
      </x:c>
      <x:c r="B33" t="str">
        <x:v>Exiled · PHG</x:v>
      </x:c>
      <x:c r="C33" t="str">
        <x:v>jungle-vey</x:v>
      </x:c>
      <x:c r="D33" t="n">
        <x:v>1</x:v>
      </x:c>
      <x:c r="E33" t="str">
        <x:v>worthy</x:v>
      </x:c>
      <x:c r="F33" t="n">
        <x:v>5</x:v>
      </x:c>
      <x:c r="G33" t="str">
        <x:v>Sans rite</x:v>
      </x:c>
      <x:c r="H33" t="str">
        <x:v>blooded</x:v>
      </x:c>
      <x:c r="I33" t="str">
        <x:v>Validation manuelle au comptoir</x:v>
      </x:c>
      <x:c r="J33" t="str">
        <x:v>MISSION + SCAN + TROPHEE + RANG</x:v>
      </x:c>
      <x:c r="K33" t="str">
        <x:v>Code V134 • vérification CI</x:v>
      </x:c>
      <x:c r="L33" t="str">
        <x:v>Reconstitution au Homeworld (pas trophée film)</x:v>
      </x:c>
      <x:c r="M33" t="str">
        <x:v>https://predator.illfonic.com/</x:v>
      </x:c>
      <x:c r="N33" t="str">
        <x:v>Test V134</x:v>
      </x:c>
    </x:row>
    <x:row r="34" ht="25" customHeight="1">
      <x:c r="A34" t="str">
        <x:v>phg-pirate</x:v>
      </x:c>
      <x:c r="B34" t="str">
        <x:v>Pirate · PHG</x:v>
      </x:c>
      <x:c r="C34" t="str">
        <x:v>swamp-hydra</x:v>
      </x:c>
      <x:c r="D34" t="n">
        <x:v>1</x:v>
      </x:c>
      <x:c r="E34" t="str">
        <x:v>worthy</x:v>
      </x:c>
      <x:c r="F34" t="n">
        <x:v>5</x:v>
      </x:c>
      <x:c r="G34" t="str">
        <x:v>Sans rite</x:v>
      </x:c>
      <x:c r="H34" t="str">
        <x:v>blooded</x:v>
      </x:c>
      <x:c r="I34" t="str">
        <x:v>Validation manuelle au comptoir</x:v>
      </x:c>
      <x:c r="J34" t="str">
        <x:v>MISSION + SCAN + TROPHEE + RANG</x:v>
      </x:c>
      <x:c r="K34" t="str">
        <x:v>Code V134 • vérification CI</x:v>
      </x:c>
      <x:c r="L34" t="str">
        <x:v>Reconstitution au Homeworld (pas trophée film)</x:v>
      </x:c>
      <x:c r="M34" t="str">
        <x:v>https://predator.illfonic.com/</x:v>
      </x:c>
      <x:c r="N34" t="str">
        <x:v>Test V134</x:v>
      </x:c>
    </x:row>
    <x:row r="35" ht="25" customHeight="1">
      <x:c r="A35" t="str">
        <x:v>phg-bionic</x:v>
      </x:c>
      <x:c r="B35" t="str">
        <x:v>Bionic · PHG</x:v>
      </x:c>
      <x:c r="C35" t="str">
        <x:v>fungal-hivemind</x:v>
      </x:c>
      <x:c r="D35" t="n">
        <x:v>1</x:v>
      </x:c>
      <x:c r="E35" t="str">
        <x:v>blooded</x:v>
      </x:c>
      <x:c r="F35" t="n">
        <x:v>10</x:v>
      </x:c>
      <x:c r="G35" t="str">
        <x:v>Sans rite</x:v>
      </x:c>
      <x:c r="H35" t="str">
        <x:v>blooded</x:v>
      </x:c>
      <x:c r="I35" t="str">
        <x:v>Validation manuelle au comptoir</x:v>
      </x:c>
      <x:c r="J35" t="str">
        <x:v>MISSION + SCAN + TROPHEE + RANG</x:v>
      </x:c>
      <x:c r="K35" t="str">
        <x:v>Code V134 • vérification CI</x:v>
      </x:c>
      <x:c r="L35" t="str">
        <x:v>Reconstitution au Homeworld (pas trophée film)</x:v>
      </x:c>
      <x:c r="M35" t="str">
        <x:v>https://store.steampowered.com/app/1556200/Predator__Hunting_Grounds/</x:v>
      </x:c>
      <x:c r="N35" t="str">
        <x:v>Test V134</x:v>
      </x:c>
    </x:row>
    <x:row r="36" ht="25" customHeight="1">
      <x:c r="A36" t="str">
        <x:v>phg-emissary</x:v>
      </x:c>
      <x:c r="B36" t="str">
        <x:v>Emissary · PHG</x:v>
      </x:c>
      <x:c r="C36" t="str">
        <x:v>desert-sandmaw</x:v>
      </x:c>
      <x:c r="D36" t="n">
        <x:v>1</x:v>
      </x:c>
      <x:c r="E36" t="str">
        <x:v>elite</x:v>
      </x:c>
      <x:c r="F36" t="n">
        <x:v>15</x:v>
      </x:c>
      <x:c r="G36" t="str">
        <x:v>Rite requis</x:v>
      </x:c>
      <x:c r="H36" t="str">
        <x:v>elite</x:v>
      </x:c>
      <x:c r="I36" t="str">
        <x:v>Validation manuelle au comptoir</x:v>
      </x:c>
      <x:c r="J36" t="str">
        <x:v>MISSION + SCAN + TROPHEE + RANG + RITE</x:v>
      </x:c>
      <x:c r="K36" t="str">
        <x:v>Code V134 • vérification CI</x:v>
      </x:c>
      <x:c r="L36" t="str">
        <x:v>Reconstitution au Homeworld (pas trophée film)</x:v>
      </x:c>
      <x:c r="M36" t="str">
        <x:v>https://store.steampowered.com/app/1556200/Predator__Hunting_Grounds/</x:v>
      </x:c>
      <x:c r="N36" t="str">
        <x:v>Test V134</x:v>
      </x:c>
    </x:row>
    <x:row r="37" ht="25" customHeight="1">
      <x:c r="A37" t="str">
        <x:v>phg-oni</x:v>
      </x:c>
      <x:c r="B37" t="str">
        <x:v>Oni · PHG</x:v>
      </x:c>
      <x:c r="C37" t="str">
        <x:v>swamp-hydra</x:v>
      </x:c>
      <x:c r="D37" t="n">
        <x:v>2</x:v>
      </x:c>
      <x:c r="E37" t="str">
        <x:v>flawless</x:v>
      </x:c>
      <x:c r="F37" t="n">
        <x:v>20</x:v>
      </x:c>
      <x:c r="G37" t="str">
        <x:v>Rite requis</x:v>
      </x:c>
      <x:c r="H37" t="str">
        <x:v>elder</x:v>
      </x:c>
      <x:c r="I37" t="str">
        <x:v>Validation manuelle au comptoir</x:v>
      </x:c>
      <x:c r="J37" t="str">
        <x:v>MISSION + SCAN + TROPHEE + RANG + RITE</x:v>
      </x:c>
      <x:c r="K37" t="str">
        <x:v>Code V134 • vérification CI</x:v>
      </x:c>
      <x:c r="L37" t="str">
        <x:v>Reconstitution au Homeworld (pas trophée film)</x:v>
      </x:c>
      <x:c r="M37" t="str">
        <x:v>https://store.steampowered.com/app/1556200/Predator__Hunting_Grounds/</x:v>
      </x:c>
      <x:c r="N37" t="str">
        <x:v>Test V134</x:v>
      </x:c>
    </x:row>
    <x:row r="38" ht="25" customHeight="1">
      <x:c r="A38" t="str">
        <x:v>phg-witch</x:v>
      </x:c>
      <x:c r="B38" t="str">
        <x:v>Witch · PHG</x:v>
      </x:c>
      <x:c r="C38" t="str">
        <x:v>ice-cryostalker</x:v>
      </x:c>
      <x:c r="D38" t="n">
        <x:v>1</x:v>
      </x:c>
      <x:c r="E38" t="str">
        <x:v>worthy</x:v>
      </x:c>
      <x:c r="F38" t="n">
        <x:v>5</x:v>
      </x:c>
      <x:c r="G38" t="str">
        <x:v>Sans rite</x:v>
      </x:c>
      <x:c r="H38" t="str">
        <x:v>blooded</x:v>
      </x:c>
      <x:c r="I38" t="str">
        <x:v>Validation manuelle au comptoir</x:v>
      </x:c>
      <x:c r="J38" t="str">
        <x:v>MISSION + SCAN + TROPHEE + RANG</x:v>
      </x:c>
      <x:c r="K38" t="str">
        <x:v>Code V134 • vérification CI</x:v>
      </x:c>
      <x:c r="L38" t="str">
        <x:v>Reconstitution au Homeworld (pas trophée film)</x:v>
      </x:c>
      <x:c r="M38" t="str">
        <x:v>https://store.steampowered.com/app/1556200/Predator__Hunting_Grounds/</x:v>
      </x:c>
      <x:c r="N38" t="str">
        <x:v>Test V134</x:v>
      </x:c>
    </x:row>
    <x:row r="39" ht="25" customHeight="1">
      <x:c r="A39" t="str">
        <x:v>phg-father</x:v>
      </x:c>
      <x:c r="B39" t="str">
        <x:v>Father · PHG</x:v>
      </x:c>
      <x:c r="C39" t="str">
        <x:v>ice-cryostalker</x:v>
      </x:c>
      <x:c r="D39" t="n">
        <x:v>2</x:v>
      </x:c>
      <x:c r="E39" t="str">
        <x:v>flawless</x:v>
      </x:c>
      <x:c r="F39" t="n">
        <x:v>20</x:v>
      </x:c>
      <x:c r="G39" t="str">
        <x:v>Rite requis</x:v>
      </x:c>
      <x:c r="H39" t="str">
        <x:v>elder</x:v>
      </x:c>
      <x:c r="I39" t="str">
        <x:v>Validation manuelle au comptoir</x:v>
      </x:c>
      <x:c r="J39" t="str">
        <x:v>MISSION + SCAN + TROPHEE + RANG + RITE</x:v>
      </x:c>
      <x:c r="K39" t="str">
        <x:v>Code V134 • vérification CI</x:v>
      </x:c>
      <x:c r="L39" t="str">
        <x:v>Reconstitution au Homeworld (pas trophée film)</x:v>
      </x:c>
      <x:c r="M39" t="str">
        <x:v>https://store.steampowered.com/app/1556200/Predator__Hunting_Grounds/</x:v>
      </x:c>
      <x:c r="N39" t="str">
        <x:v>Test V134</x:v>
      </x:c>
    </x:row>
    <x:row r="40" ht="25" customHeight="1">
      <x:c r="A40" t="str">
        <x:v>phg-jotun</x:v>
      </x:c>
      <x:c r="B40" t="str">
        <x:v>Jotun · PHG</x:v>
      </x:c>
      <x:c r="C40" t="str">
        <x:v>volcano-bad-blood</x:v>
      </x:c>
      <x:c r="D40" t="n">
        <x:v>1</x:v>
      </x:c>
      <x:c r="E40" t="str">
        <x:v>blooded</x:v>
      </x:c>
      <x:c r="F40" t="n">
        <x:v>10</x:v>
      </x:c>
      <x:c r="G40" t="str">
        <x:v>Sans rite</x:v>
      </x:c>
      <x:c r="H40" t="str">
        <x:v>blooded</x:v>
      </x:c>
      <x:c r="I40" t="str">
        <x:v>Validation manuelle au comptoir</x:v>
      </x:c>
      <x:c r="J40" t="str">
        <x:v>MISSION + SCAN + TROPHEE + RANG</x:v>
      </x:c>
      <x:c r="K40" t="str">
        <x:v>Code V134 • vérification CI</x:v>
      </x:c>
      <x:c r="L40" t="str">
        <x:v>Reconstitution au Homeworld (pas trophée film)</x:v>
      </x:c>
      <x:c r="M40" t="str">
        <x:v>https://store.steampowered.com/app/1556200/Predator__Hunting_Grounds/</x:v>
      </x:c>
      <x:c r="N40" t="str">
        <x:v>Test V134</x:v>
      </x:c>
    </x:row>
    <x:row r="41" ht="25" customHeight="1">
      <x:c r="A41" t="str">
        <x:v>phg-exalted</x:v>
      </x:c>
      <x:c r="B41" t="str">
        <x:v>Exalted · PHG</x:v>
      </x:c>
      <x:c r="C41" t="str">
        <x:v>swamp-hydra</x:v>
      </x:c>
      <x:c r="D41" t="n">
        <x:v>1</x:v>
      </x:c>
      <x:c r="E41" t="str">
        <x:v>elite</x:v>
      </x:c>
      <x:c r="F41" t="n">
        <x:v>15</x:v>
      </x:c>
      <x:c r="G41" t="str">
        <x:v>Rite requis</x:v>
      </x:c>
      <x:c r="H41" t="str">
        <x:v>elite</x:v>
      </x:c>
      <x:c r="I41" t="str">
        <x:v>Validation manuelle au comptoir</x:v>
      </x:c>
      <x:c r="J41" t="str">
        <x:v>MISSION + SCAN + TROPHEE + RANG + RITE</x:v>
      </x:c>
      <x:c r="K41" t="str">
        <x:v>Code V134 • vérification CI</x:v>
      </x:c>
      <x:c r="L41" t="str">
        <x:v>Reconstitution au Homeworld (pas trophée film)</x:v>
      </x:c>
      <x:c r="M41" t="str">
        <x:v>https://store.steampowered.com/app/1556200/Predator__Hunting_Grounds/</x:v>
      </x:c>
      <x:c r="N41" t="str">
        <x:v>Test V134</x:v>
      </x:c>
    </x:row>
    <x:row r="42" ht="25" customHeight="1">
      <x:c r="A42" t="str">
        <x:v>phg-anubis</x:v>
      </x:c>
      <x:c r="B42" t="str">
        <x:v>Anubis · PHG</x:v>
      </x:c>
      <x:c r="C42" t="str">
        <x:v>swamp-hydra</x:v>
      </x:c>
      <x:c r="D42" t="n">
        <x:v>1</x:v>
      </x:c>
      <x:c r="E42" t="str">
        <x:v>blooded</x:v>
      </x:c>
      <x:c r="F42" t="n">
        <x:v>10</x:v>
      </x:c>
      <x:c r="G42" t="str">
        <x:v>Sans rite</x:v>
      </x:c>
      <x:c r="H42" t="str">
        <x:v>blooded</x:v>
      </x:c>
      <x:c r="I42" t="str">
        <x:v>Validation manuelle au comptoir</x:v>
      </x:c>
      <x:c r="J42" t="str">
        <x:v>MISSION + SCAN + TROPHEE + RANG</x:v>
      </x:c>
      <x:c r="K42" t="str">
        <x:v>Code V134 • vérification CI</x:v>
      </x:c>
      <x:c r="L42" t="str">
        <x:v>Reconstitution au Homeworld (pas trophée film)</x:v>
      </x:c>
      <x:c r="M42" t="str">
        <x:v>https://store.steampowered.com/app/1556200/Predator__Hunting_Grounds/</x:v>
      </x:c>
      <x:c r="N42" t="str">
        <x:v>Test V134</x:v>
      </x:c>
    </x:row>
    <x:row r="43" ht="25" customHeight="1">
      <x:c r="A43" t="str">
        <x:v>phg-gladiator</x:v>
      </x:c>
      <x:c r="B43" t="str">
        <x:v>Gladiator · PHG</x:v>
      </x:c>
      <x:c r="C43" t="str">
        <x:v>ruins-ancient-guardian</x:v>
      </x:c>
      <x:c r="D43" t="n">
        <x:v>1</x:v>
      </x:c>
      <x:c r="E43" t="str">
        <x:v>elite</x:v>
      </x:c>
      <x:c r="F43" t="n">
        <x:v>15</x:v>
      </x:c>
      <x:c r="G43" t="str">
        <x:v>Rite requis</x:v>
      </x:c>
      <x:c r="H43" t="str">
        <x:v>elite</x:v>
      </x:c>
      <x:c r="I43" t="str">
        <x:v>Validation manuelle au comptoir</x:v>
      </x:c>
      <x:c r="J43" t="str">
        <x:v>MISSION + SCAN + TROPHEE + RANG + RITE</x:v>
      </x:c>
      <x:c r="K43" t="str">
        <x:v>Code V134 • vérification CI</x:v>
      </x:c>
      <x:c r="L43" t="str">
        <x:v>Reconstitution au Homeworld (pas trophée film)</x:v>
      </x:c>
      <x:c r="M43" t="str">
        <x:v>https://store.steampowered.com/app/1556200/Predator__Hunting_Grounds/</x:v>
      </x:c>
      <x:c r="N43" t="str">
        <x:v>Test V134</x:v>
      </x:c>
    </x:row>
    <x:row r="44" ht="25" customHeight="1">
      <x:c r="A44" t="str">
        <x:v>scarface</x:v>
      </x:c>
      <x:c r="B44" t="str">
        <x:v>Scarface · Concrete Jungle</x:v>
      </x:c>
      <x:c r="C44" t="str">
        <x:v>ruins-ancient-guardian</x:v>
      </x:c>
      <x:c r="D44" t="n">
        <x:v>1</x:v>
      </x:c>
      <x:c r="E44" t="str">
        <x:v>blooded</x:v>
      </x:c>
      <x:c r="F44" t="n">
        <x:v>10</x:v>
      </x:c>
      <x:c r="G44" t="str">
        <x:v>Sans rite</x:v>
      </x:c>
      <x:c r="H44" t="str">
        <x:v>blooded</x:v>
      </x:c>
      <x:c r="I44" t="str">
        <x:v>Validation manuelle au comptoir</x:v>
      </x:c>
      <x:c r="J44" t="str">
        <x:v>MISSION + SCAN + TROPHEE + RANG</x:v>
      </x:c>
      <x:c r="K44" t="str">
        <x:v>Code V134 • vérification CI</x:v>
      </x:c>
      <x:c r="L44" t="str">
        <x:v>Reconstitution au Homeworld (pas trophée film)</x:v>
      </x:c>
      <x:c r="M44" t="str">
        <x:v>https://www.avpgalaxy.net/merch/neca/predator/series/</x:v>
      </x:c>
      <x:c r="N44" t="str">
        <x:v>Test V134</x:v>
      </x:c>
    </x:row>
    <x:row r="45" ht="25" customHeight="1">
      <x:c r="A45" t="str">
        <x:v>stone-heart</x:v>
      </x:c>
      <x:c r="B45" t="str">
        <x:v>Stone Heart · Concrete Jungle</x:v>
      </x:c>
      <x:c r="C45" t="str">
        <x:v>desert-sandmaw</x:v>
      </x:c>
      <x:c r="D45" t="n">
        <x:v>2</x:v>
      </x:c>
      <x:c r="E45" t="str">
        <x:v>flawless</x:v>
      </x:c>
      <x:c r="F45" t="n">
        <x:v>20</x:v>
      </x:c>
      <x:c r="G45" t="str">
        <x:v>Rite requis</x:v>
      </x:c>
      <x:c r="H45" t="str">
        <x:v>elder</x:v>
      </x:c>
      <x:c r="I45" t="str">
        <x:v>Validation manuelle au comptoir</x:v>
      </x:c>
      <x:c r="J45" t="str">
        <x:v>MISSION + SCAN + TROPHEE + RANG + RITE</x:v>
      </x:c>
      <x:c r="K45" t="str">
        <x:v>Code V134 • vérification CI</x:v>
      </x:c>
      <x:c r="L45" t="str">
        <x:v>Reconstitution au Homeworld (pas trophée film)</x:v>
      </x:c>
      <x:c r="M45" t="str">
        <x:v>https://www.avpgalaxy.net/merch/neca/predator/series/</x:v>
      </x:c>
      <x:c r="N45" t="str">
        <x:v>Test V134</x:v>
      </x:c>
    </x:row>
    <x:row r="46" ht="25" customHeight="1">
      <x:c r="A46" t="str">
        <x:v>ahab</x:v>
      </x:c>
      <x:c r="B46" t="str">
        <x:v>Ahab · comics / NECA</x:v>
      </x:c>
      <x:c r="C46" t="str">
        <x:v>swamp-hydra</x:v>
      </x:c>
      <x:c r="D46" t="n">
        <x:v>2</x:v>
      </x:c>
      <x:c r="E46" t="str">
        <x:v>flawless</x:v>
      </x:c>
      <x:c r="F46" t="n">
        <x:v>20</x:v>
      </x:c>
      <x:c r="G46" t="str">
        <x:v>Rite requis</x:v>
      </x:c>
      <x:c r="H46" t="str">
        <x:v>elder</x:v>
      </x:c>
      <x:c r="I46" t="str">
        <x:v>Validation manuelle au comptoir</x:v>
      </x:c>
      <x:c r="J46" t="str">
        <x:v>MISSION + SCAN + TROPHEE + RANG + RITE</x:v>
      </x:c>
      <x:c r="K46" t="str">
        <x:v>Code V134 • vérification CI</x:v>
      </x:c>
      <x:c r="L46" t="str">
        <x:v>Reconstitution au Homeworld (pas trophée film)</x:v>
      </x:c>
      <x:c r="M46" t="str">
        <x:v>https://www.avpgalaxy.net/merch/neca/predator/series/</x:v>
      </x:c>
      <x:c r="N46" t="str">
        <x:v>Test V134</x:v>
      </x:c>
    </x:row>
    <x:row r="47" ht="25" customHeight="1">
      <x:c r="A47" t="str">
        <x:v>dark-2010</x:v>
      </x:c>
      <x:c r="B47" t="str">
        <x:v>Dark · Aliens vs Predator (2010)</x:v>
      </x:c>
      <x:c r="C47" t="str">
        <x:v>jungle-vey</x:v>
      </x:c>
      <x:c r="D47" t="n">
        <x:v>2</x:v>
      </x:c>
      <x:c r="E47" t="str">
        <x:v>flawless</x:v>
      </x:c>
      <x:c r="F47" t="n">
        <x:v>20</x:v>
      </x:c>
      <x:c r="G47" t="str">
        <x:v>Rite requis</x:v>
      </x:c>
      <x:c r="H47" t="str">
        <x:v>elder</x:v>
      </x:c>
      <x:c r="I47" t="str">
        <x:v>Validation manuelle au comptoir</x:v>
      </x:c>
      <x:c r="J47" t="str">
        <x:v>MISSION + SCAN + TROPHEE + RANG + RITE</x:v>
      </x:c>
      <x:c r="K47" t="str">
        <x:v>Code V134 • vérification CI</x:v>
      </x:c>
      <x:c r="L47" t="str">
        <x:v>Reconstitution au Homeworld (pas trophée film)</x:v>
      </x:c>
      <x:c r="M47" t="str">
        <x:v>https://www.avpgalaxy.net/merch/neca/predator/series/</x:v>
      </x:c>
      <x:c r="N47" t="str">
        <x:v>Test V134</x:v>
      </x:c>
    </x:row>
    <x:row r="48" ht="25" customHeight="1">
      <x:c r="A48" t="str">
        <x:v>phg-captured</x:v>
      </x:c>
      <x:c r="B48" t="str">
        <x:v>Captured · PHG</x:v>
      </x:c>
      <x:c r="C48" t="str">
        <x:v>volcano-bad-blood</x:v>
      </x:c>
      <x:c r="D48" t="n">
        <x:v>2</x:v>
      </x:c>
      <x:c r="E48" t="str">
        <x:v>flawless</x:v>
      </x:c>
      <x:c r="F48" t="n">
        <x:v>20</x:v>
      </x:c>
      <x:c r="G48" t="str">
        <x:v>Rite requis</x:v>
      </x:c>
      <x:c r="H48" t="str">
        <x:v>elder</x:v>
      </x:c>
      <x:c r="I48" t="str">
        <x:v>Validation manuelle au comptoir</x:v>
      </x:c>
      <x:c r="J48" t="str">
        <x:v>MISSION + SCAN + TROPHEE + RANG + RITE</x:v>
      </x:c>
      <x:c r="K48" t="str">
        <x:v>Code V134 • vérification CI</x:v>
      </x:c>
      <x:c r="L48" t="str">
        <x:v>Reconstitution au Homeworld (pas trophée film)</x:v>
      </x:c>
      <x:c r="M48" t="str">
        <x:v>https://predator.illfonic.com/</x:v>
      </x:c>
      <x:c r="N48" t="str">
        <x:v>Test V134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43" hidden="0" customWidth="1"/>
    <x:col min="4" max="4" width="25" hidden="0" customWidth="1"/>
    <x:col min="5" max="5" width="30" hidden="0" customWidth="1"/>
    <x:col min="6" max="6" width="28" hidden="0" customWidth="1"/>
    <x:col min="7" max="7" width="30" hidden="0" customWidth="1"/>
    <x:col min="8" max="8" width="40" hidden="0" customWidth="1"/>
    <x:col min="9" max="9" width="46" hidden="0" customWidth="1"/>
    <x:col min="10" max="10" width="36" hidden="0" customWidth="1"/>
  </x:cols>
  <x:sheetData>
    <x:row r="1" ht="35" customHeight="1">
      <x:c r="A1" s="54" t="str">
        <x:v>V134 • Pipeline d'assets à calques indépendants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32" customHeight="1">
      <x:c r="A2" s="58" t="str">
        <x:v>7 SVG Jungle Hunter intégrés au dépôt, génération PNG dans GitHub Actions. Les autres modèles nécessitent de véritables références visuelles.</x:v>
      </x:c>
      <x:c r="B2" s="58"/>
      <x:c r="C2" s="58"/>
      <x:c r="D2" s="58"/>
      <x:c r="E2" s="58"/>
      <x:c r="F2" s="58"/>
      <x:c r="G2" s="58"/>
      <x:c r="H2" s="58"/>
      <x:c r="I2" s="58"/>
      <x:c r="J2" s="58"/>
    </x:row>
    <x:row r="4" ht="30" customHeight="1">
      <x:c r="A4" s="62" t="str">
        <x:v>ID</x:v>
      </x:c>
      <x:c r="B4" s="62" t="str">
        <x:v>Famille</x:v>
      </x:c>
      <x:c r="C4" s="62" t="str">
        <x:v>Fichier / vue</x:v>
      </x:c>
      <x:c r="D4" s="62" t="str">
        <x:v>Format</x:v>
      </x:c>
      <x:c r="E4" s="62" t="str">
        <x:v>État réel</x:v>
      </x:c>
      <x:c r="F4" s="62" t="str">
        <x:v>Propriété technique</x:v>
      </x:c>
      <x:c r="G4" s="62" t="str">
        <x:v>Fidélité</x:v>
      </x:c>
      <x:c r="H4" s="62" t="str">
        <x:v>Emplacement / script</x:v>
      </x:c>
      <x:c r="I4" s="62" t="str">
        <x:v>Manquant</x:v>
      </x:c>
      <x:c r="J4" s="62" t="str">
        <x:v>QA</x:v>
      </x:c>
    </x:row>
    <x:row r="5" ht="25" customHeight="1">
      <x:c r="A5" t="str">
        <x:v>JH-01</x:v>
      </x:c>
      <x:c r="B5" t="str">
        <x:v>Jungle Hunter 1987</x:v>
      </x:c>
      <x:c r="C5" t="str">
        <x:v>01-arm.svg</x:v>
      </x:c>
      <x:c r="D5" t="str">
        <x:v>SVG source</x:v>
      </x:c>
      <x:c r="E5" t="str">
        <x:v>Présent dans PR #42</x:v>
      </x:c>
      <x:c r="F5" t="str">
        <x:v>Cadrage 540x290</x:v>
      </x:c>
      <x:c r="G5" t="str">
        <x:v>Étude vectorielle NON 1:1</x:v>
      </x:c>
      <x:c r="H5" t="str">
        <x:v>JungleHunterLayeredV134.tsx</x:v>
      </x:c>
      <x:c r="I5" t="str">
        <x:v>Production PNG reproductible (CI)</x:v>
      </x:c>
      <x:c r="J5" t="str">
        <x:v>À revoir plan par plan</x:v>
      </x:c>
    </x:row>
    <x:row r="6" ht="25" customHeight="1">
      <x:c r="A6" t="str">
        <x:v>PNG-01</x:v>
      </x:c>
      <x:c r="B6" t="str">
        <x:v>Jungle Hunter 1987</x:v>
      </x:c>
      <x:c r="C6" t="str">
        <x:v>01-arm.png</x:v>
      </x:c>
      <x:c r="D6" t="str">
        <x:v>PNG alpha 1080x580</x:v>
      </x:c>
      <x:c r="E6" t="str">
        <x:v>Sortie CI, non versionnée</x:v>
      </x:c>
      <x:c r="F6" t="str">
        <x:v>PNG généré par sharp</x:v>
      </x:c>
      <x:c r="G6" t="str">
        <x:v>Pas d'homologation 1:1</x:v>
      </x:c>
      <x:c r="H6" t="str">
        <x:v>export-gauntlet-png-v134.mjs</x:v>
      </x:c>
      <x:c r="I6" t="str">
        <x:v>À récupérer depuis artefact GitHub Actions</x:v>
      </x:c>
      <x:c r="J6" t="str">
        <x:v>Vérifier transparence et silhouette</x:v>
      </x:c>
    </x:row>
    <x:row r="7" ht="25" customHeight="1">
      <x:c r="A7" t="str">
        <x:v>JH-02</x:v>
      </x:c>
      <x:c r="B7" t="str">
        <x:v>Jungle Hunter 1987</x:v>
      </x:c>
      <x:c r="C7" t="str">
        <x:v>02-housing.svg</x:v>
      </x:c>
      <x:c r="D7" t="str">
        <x:v>SVG source</x:v>
      </x:c>
      <x:c r="E7" t="str">
        <x:v>Présent dans PR #42</x:v>
      </x:c>
      <x:c r="F7" t="str">
        <x:v>Cadrage 540x290</x:v>
      </x:c>
      <x:c r="G7" t="str">
        <x:v>Étude vectorielle NON 1:1</x:v>
      </x:c>
      <x:c r="H7" t="str">
        <x:v>JungleHunterLayeredV134.tsx</x:v>
      </x:c>
      <x:c r="I7" t="str">
        <x:v>Production PNG reproductible (CI)</x:v>
      </x:c>
      <x:c r="J7" t="str">
        <x:v>À revoir plan par plan</x:v>
      </x:c>
    </x:row>
    <x:row r="8" ht="25" customHeight="1">
      <x:c r="A8" t="str">
        <x:v>PNG-02</x:v>
      </x:c>
      <x:c r="B8" t="str">
        <x:v>Jungle Hunter 1987</x:v>
      </x:c>
      <x:c r="C8" t="str">
        <x:v>02-housing.png</x:v>
      </x:c>
      <x:c r="D8" t="str">
        <x:v>PNG alpha 1080x580</x:v>
      </x:c>
      <x:c r="E8" t="str">
        <x:v>Sortie CI, non versionnée</x:v>
      </x:c>
      <x:c r="F8" t="str">
        <x:v>PNG généré par sharp</x:v>
      </x:c>
      <x:c r="G8" t="str">
        <x:v>Pas d'homologation 1:1</x:v>
      </x:c>
      <x:c r="H8" t="str">
        <x:v>export-gauntlet-png-v134.mjs</x:v>
      </x:c>
      <x:c r="I8" t="str">
        <x:v>À récupérer depuis artefact GitHub Actions</x:v>
      </x:c>
      <x:c r="J8" t="str">
        <x:v>Vérifier transparence et silhouette</x:v>
      </x:c>
    </x:row>
    <x:row r="9" ht="25" customHeight="1">
      <x:c r="A9" t="str">
        <x:v>JH-03</x:v>
      </x:c>
      <x:c r="B9" t="str">
        <x:v>Jungle Hunter 1987</x:v>
      </x:c>
      <x:c r="C9" t="str">
        <x:v>03-display-glyphs.svg</x:v>
      </x:c>
      <x:c r="D9" t="str">
        <x:v>SVG source</x:v>
      </x:c>
      <x:c r="E9" t="str">
        <x:v>Présent dans PR #42</x:v>
      </x:c>
      <x:c r="F9" t="str">
        <x:v>Cadrage 540x290</x:v>
      </x:c>
      <x:c r="G9" t="str">
        <x:v>Étude vectorielle NON 1:1</x:v>
      </x:c>
      <x:c r="H9" t="str">
        <x:v>JungleHunterLayeredV134.tsx</x:v>
      </x:c>
      <x:c r="I9" t="str">
        <x:v>Production PNG reproductible (CI)</x:v>
      </x:c>
      <x:c r="J9" t="str">
        <x:v>À revoir plan par plan</x:v>
      </x:c>
    </x:row>
    <x:row r="10" ht="25" customHeight="1">
      <x:c r="A10" t="str">
        <x:v>PNG-03</x:v>
      </x:c>
      <x:c r="B10" t="str">
        <x:v>Jungle Hunter 1987</x:v>
      </x:c>
      <x:c r="C10" t="str">
        <x:v>03-display-glyphs.png</x:v>
      </x:c>
      <x:c r="D10" t="str">
        <x:v>PNG alpha 1080x580</x:v>
      </x:c>
      <x:c r="E10" t="str">
        <x:v>Sortie CI, non versionnée</x:v>
      </x:c>
      <x:c r="F10" t="str">
        <x:v>PNG généré par sharp</x:v>
      </x:c>
      <x:c r="G10" t="str">
        <x:v>Pas d'homologation 1:1</x:v>
      </x:c>
      <x:c r="H10" t="str">
        <x:v>export-gauntlet-png-v134.mjs</x:v>
      </x:c>
      <x:c r="I10" t="str">
        <x:v>À récupérer depuis artefact GitHub Actions</x:v>
      </x:c>
      <x:c r="J10" t="str">
        <x:v>Vérifier transparence et silhouette</x:v>
      </x:c>
    </x:row>
    <x:row r="11" ht="25" customHeight="1">
      <x:c r="A11" t="str">
        <x:v>JH-04</x:v>
      </x:c>
      <x:c r="B11" t="str">
        <x:v>Jungle Hunter 1987</x:v>
      </x:c>
      <x:c r="C11" t="str">
        <x:v>04-hinge.svg</x:v>
      </x:c>
      <x:c r="D11" t="str">
        <x:v>SVG source</x:v>
      </x:c>
      <x:c r="E11" t="str">
        <x:v>Présent dans PR #42</x:v>
      </x:c>
      <x:c r="F11" t="str">
        <x:v>Cadrage 540x290</x:v>
      </x:c>
      <x:c r="G11" t="str">
        <x:v>Étude vectorielle NON 1:1</x:v>
      </x:c>
      <x:c r="H11" t="str">
        <x:v>JungleHunterLayeredV134.tsx</x:v>
      </x:c>
      <x:c r="I11" t="str">
        <x:v>Production PNG reproductible (CI)</x:v>
      </x:c>
      <x:c r="J11" t="str">
        <x:v>À revoir plan par plan</x:v>
      </x:c>
    </x:row>
    <x:row r="12" ht="25" customHeight="1">
      <x:c r="A12" t="str">
        <x:v>PNG-04</x:v>
      </x:c>
      <x:c r="B12" t="str">
        <x:v>Jungle Hunter 1987</x:v>
      </x:c>
      <x:c r="C12" t="str">
        <x:v>04-hinge.png</x:v>
      </x:c>
      <x:c r="D12" t="str">
        <x:v>PNG alpha 1080x580</x:v>
      </x:c>
      <x:c r="E12" t="str">
        <x:v>Sortie CI, non versionnée</x:v>
      </x:c>
      <x:c r="F12" t="str">
        <x:v>PNG généré par sharp</x:v>
      </x:c>
      <x:c r="G12" t="str">
        <x:v>Pas d'homologation 1:1</x:v>
      </x:c>
      <x:c r="H12" t="str">
        <x:v>export-gauntlet-png-v134.mjs</x:v>
      </x:c>
      <x:c r="I12" t="str">
        <x:v>À récupérer depuis artefact GitHub Actions</x:v>
      </x:c>
      <x:c r="J12" t="str">
        <x:v>Vérifier transparence et silhouette</x:v>
      </x:c>
    </x:row>
    <x:row r="13" ht="25" customHeight="1">
      <x:c r="A13" t="str">
        <x:v>JH-05</x:v>
      </x:c>
      <x:c r="B13" t="str">
        <x:v>Jungle Hunter 1987</x:v>
      </x:c>
      <x:c r="C13" t="str">
        <x:v>05-lid.svg</x:v>
      </x:c>
      <x:c r="D13" t="str">
        <x:v>SVG source</x:v>
      </x:c>
      <x:c r="E13" t="str">
        <x:v>Présent dans PR #42</x:v>
      </x:c>
      <x:c r="F13" t="str">
        <x:v>Cadrage 540x290</x:v>
      </x:c>
      <x:c r="G13" t="str">
        <x:v>Étude vectorielle NON 1:1</x:v>
      </x:c>
      <x:c r="H13" t="str">
        <x:v>JungleHunterLayeredV134.tsx</x:v>
      </x:c>
      <x:c r="I13" t="str">
        <x:v>Production PNG reproductible (CI)</x:v>
      </x:c>
      <x:c r="J13" t="str">
        <x:v>À revoir plan par plan</x:v>
      </x:c>
    </x:row>
    <x:row r="14" ht="25" customHeight="1">
      <x:c r="A14" t="str">
        <x:v>PNG-05</x:v>
      </x:c>
      <x:c r="B14" t="str">
        <x:v>Jungle Hunter 1987</x:v>
      </x:c>
      <x:c r="C14" t="str">
        <x:v>05-lid.png</x:v>
      </x:c>
      <x:c r="D14" t="str">
        <x:v>PNG alpha 1080x580</x:v>
      </x:c>
      <x:c r="E14" t="str">
        <x:v>Sortie CI, non versionnée</x:v>
      </x:c>
      <x:c r="F14" t="str">
        <x:v>PNG généré par sharp</x:v>
      </x:c>
      <x:c r="G14" t="str">
        <x:v>Pas d'homologation 1:1</x:v>
      </x:c>
      <x:c r="H14" t="str">
        <x:v>export-gauntlet-png-v134.mjs</x:v>
      </x:c>
      <x:c r="I14" t="str">
        <x:v>À récupérer depuis artefact GitHub Actions</x:v>
      </x:c>
      <x:c r="J14" t="str">
        <x:v>Vérifier transparence et silhouette</x:v>
      </x:c>
    </x:row>
    <x:row r="15" ht="25" customHeight="1">
      <x:c r="A15" t="str">
        <x:v>JH-06</x:v>
      </x:c>
      <x:c r="B15" t="str">
        <x:v>Jungle Hunter 1987</x:v>
      </x:c>
      <x:c r="C15" t="str">
        <x:v>06-emitter.svg</x:v>
      </x:c>
      <x:c r="D15" t="str">
        <x:v>SVG source</x:v>
      </x:c>
      <x:c r="E15" t="str">
        <x:v>Présent dans PR #42</x:v>
      </x:c>
      <x:c r="F15" t="str">
        <x:v>Cadrage 540x290</x:v>
      </x:c>
      <x:c r="G15" t="str">
        <x:v>Étude vectorielle NON 1:1</x:v>
      </x:c>
      <x:c r="H15" t="str">
        <x:v>JungleHunterLayeredV134.tsx</x:v>
      </x:c>
      <x:c r="I15" t="str">
        <x:v>Production PNG reproductible (CI)</x:v>
      </x:c>
      <x:c r="J15" t="str">
        <x:v>À revoir plan par plan</x:v>
      </x:c>
    </x:row>
    <x:row r="16" ht="25" customHeight="1">
      <x:c r="A16" t="str">
        <x:v>PNG-06</x:v>
      </x:c>
      <x:c r="B16" t="str">
        <x:v>Jungle Hunter 1987</x:v>
      </x:c>
      <x:c r="C16" t="str">
        <x:v>06-emitter.png</x:v>
      </x:c>
      <x:c r="D16" t="str">
        <x:v>PNG alpha 1080x580</x:v>
      </x:c>
      <x:c r="E16" t="str">
        <x:v>Sortie CI, non versionnée</x:v>
      </x:c>
      <x:c r="F16" t="str">
        <x:v>PNG généré par sharp</x:v>
      </x:c>
      <x:c r="G16" t="str">
        <x:v>Pas d'homologation 1:1</x:v>
      </x:c>
      <x:c r="H16" t="str">
        <x:v>export-gauntlet-png-v134.mjs</x:v>
      </x:c>
      <x:c r="I16" t="str">
        <x:v>À récupérer depuis artefact GitHub Actions</x:v>
      </x:c>
      <x:c r="J16" t="str">
        <x:v>Vérifier transparence et silhouette</x:v>
      </x:c>
    </x:row>
    <x:row r="17" ht="25" customHeight="1">
      <x:c r="A17" t="str">
        <x:v>JH-07</x:v>
      </x:c>
      <x:c r="B17" t="str">
        <x:v>Jungle Hunter 1987</x:v>
      </x:c>
      <x:c r="C17" t="str">
        <x:v>07-beam.svg</x:v>
      </x:c>
      <x:c r="D17" t="str">
        <x:v>SVG source</x:v>
      </x:c>
      <x:c r="E17" t="str">
        <x:v>Présent dans PR #42</x:v>
      </x:c>
      <x:c r="F17" t="str">
        <x:v>Cadrage 540x290</x:v>
      </x:c>
      <x:c r="G17" t="str">
        <x:v>Étude vectorielle NON 1:1</x:v>
      </x:c>
      <x:c r="H17" t="str">
        <x:v>JungleHunterLayeredV134.tsx</x:v>
      </x:c>
      <x:c r="I17" t="str">
        <x:v>Production PNG reproductible (CI)</x:v>
      </x:c>
      <x:c r="J17" t="str">
        <x:v>À revoir plan par plan</x:v>
      </x:c>
    </x:row>
    <x:row r="18" ht="25" customHeight="1">
      <x:c r="A18" t="str">
        <x:v>PNG-07</x:v>
      </x:c>
      <x:c r="B18" t="str">
        <x:v>Jungle Hunter 1987</x:v>
      </x:c>
      <x:c r="C18" t="str">
        <x:v>07-beam.png</x:v>
      </x:c>
      <x:c r="D18" t="str">
        <x:v>PNG alpha 1080x580</x:v>
      </x:c>
      <x:c r="E18" t="str">
        <x:v>Sortie CI, non versionnée</x:v>
      </x:c>
      <x:c r="F18" t="str">
        <x:v>PNG généré par sharp</x:v>
      </x:c>
      <x:c r="G18" t="str">
        <x:v>Pas d'homologation 1:1</x:v>
      </x:c>
      <x:c r="H18" t="str">
        <x:v>export-gauntlet-png-v134.mjs</x:v>
      </x:c>
      <x:c r="I18" t="str">
        <x:v>À récupérer depuis artefact GitHub Actions</x:v>
      </x:c>
      <x:c r="J18" t="str">
        <x:v>Vérifier transparence et silhouette</x:v>
      </x:c>
    </x:row>
    <x:row r="19" ht="25" customHeight="1">
      <x:c r="A19" t="str">
        <x:v>JH-COMP</x:v>
      </x:c>
      <x:c r="B19" t="str">
        <x:v>Jungle Hunter 1987</x:v>
      </x:c>
      <x:c r="C19" t="str">
        <x:v>jungle-hunter-open-composite.png</x:v>
      </x:c>
      <x:c r="D19" t="str">
        <x:v>PNG composite</x:v>
      </x:c>
      <x:c r="E19" t="str">
        <x:v>Sortie CI, non versionnée</x:v>
      </x:c>
      <x:c r="F19" t="str">
        <x:v>7 couches SVG</x:v>
      </x:c>
      <x:c r="G19" t="str">
        <x:v>Étude de mise en page</x:v>
      </x:c>
      <x:c r="H19" t="str">
        <x:v>export-gauntlet-png-v134.mjs</x:v>
      </x:c>
      <x:c r="I19" t="str">
        <x:v>À revoir en vrai navigateur</x:v>
      </x:c>
      <x:c r="J19" t="str">
        <x:v>Non approuvé artistiquement</x:v>
      </x:c>
    </x:row>
    <x:row r="20" ht="25" customHeight="1">
      <x:c r="A20" t="str">
        <x:v>PENDING-city-hunter</x:v>
      </x:c>
      <x:c r="B20" t="str">
        <x:v>City Hunter</x:v>
      </x:c>
      <x:c r="C20" t="str">
        <x:v>Vues face/profil/dessus</x:v>
      </x:c>
      <x:c r="D20" t="str">
        <x:v>Références photographiques</x:v>
      </x:c>
      <x:c r="E20" t="str">
        <x:v>Non produites</x:v>
      </x:c>
      <x:c r="F20" t="str">
        <x:v>Accessoire individuel à documenter</x:v>
      </x:c>
      <x:c r="G20" t="str">
        <x:v>NON VALIDÉ 1:1</x:v>
      </x:c>
      <x:c r="H20" t="str">
        <x:v>Carnet des sources</x:v>
      </x:c>
      <x:c r="I20" t="str">
        <x:v>Produire calques indépendants après validation</x:v>
      </x:c>
      <x:c r="J20" t="str">
        <x:v>À faire</x:v>
      </x:c>
    </x:row>
    <x:row r="21" ht="25" customHeight="1">
      <x:c r="A21" t="str">
        <x:v>PENDING-greyback</x:v>
      </x:c>
      <x:c r="B21" t="str">
        <x:v>Greyback</x:v>
      </x:c>
      <x:c r="C21" t="str">
        <x:v>Vues face/profil/dessus</x:v>
      </x:c>
      <x:c r="D21" t="str">
        <x:v>Références photographiques</x:v>
      </x:c>
      <x:c r="E21" t="str">
        <x:v>Non produites</x:v>
      </x:c>
      <x:c r="F21" t="str">
        <x:v>Accessoire individuel à documenter</x:v>
      </x:c>
      <x:c r="G21" t="str">
        <x:v>NON VALIDÉ 1:1</x:v>
      </x:c>
      <x:c r="H21" t="str">
        <x:v>Carnet des sources</x:v>
      </x:c>
      <x:c r="I21" t="str">
        <x:v>Produire calques indépendants après validation</x:v>
      </x:c>
      <x:c r="J21" t="str">
        <x:v>À faire</x:v>
      </x:c>
    </x:row>
    <x:row r="22" ht="25" customHeight="1">
      <x:c r="A22" t="str">
        <x:v>PENDING-scar</x:v>
      </x:c>
      <x:c r="B22" t="str">
        <x:v>Scar</x:v>
      </x:c>
      <x:c r="C22" t="str">
        <x:v>Vues face/profil/dessus</x:v>
      </x:c>
      <x:c r="D22" t="str">
        <x:v>Références photographiques</x:v>
      </x:c>
      <x:c r="E22" t="str">
        <x:v>Non produites</x:v>
      </x:c>
      <x:c r="F22" t="str">
        <x:v>Accessoire individuel à documenter</x:v>
      </x:c>
      <x:c r="G22" t="str">
        <x:v>NON VALIDÉ 1:1</x:v>
      </x:c>
      <x:c r="H22" t="str">
        <x:v>Carnet des sources</x:v>
      </x:c>
      <x:c r="I22" t="str">
        <x:v>Produire calques indépendants après validation</x:v>
      </x:c>
      <x:c r="J22" t="str">
        <x:v>À faire</x:v>
      </x:c>
    </x:row>
    <x:row r="23" ht="25" customHeight="1">
      <x:c r="A23" t="str">
        <x:v>PENDING-celtic</x:v>
      </x:c>
      <x:c r="B23" t="str">
        <x:v>Celtic</x:v>
      </x:c>
      <x:c r="C23" t="str">
        <x:v>Vues face/profil/dessus</x:v>
      </x:c>
      <x:c r="D23" t="str">
        <x:v>Références photographiques</x:v>
      </x:c>
      <x:c r="E23" t="str">
        <x:v>Non produites</x:v>
      </x:c>
      <x:c r="F23" t="str">
        <x:v>Accessoire individuel à documenter</x:v>
      </x:c>
      <x:c r="G23" t="str">
        <x:v>NON VALIDÉ 1:1</x:v>
      </x:c>
      <x:c r="H23" t="str">
        <x:v>Carnet des sources</x:v>
      </x:c>
      <x:c r="I23" t="str">
        <x:v>Produire calques indépendants après validation</x:v>
      </x:c>
      <x:c r="J23" t="str">
        <x:v>À faire</x:v>
      </x:c>
    </x:row>
    <x:row r="24" ht="25" customHeight="1">
      <x:c r="A24" t="str">
        <x:v>PENDING-chopper</x:v>
      </x:c>
      <x:c r="B24" t="str">
        <x:v>Chopper</x:v>
      </x:c>
      <x:c r="C24" t="str">
        <x:v>Vues face/profil/dessus</x:v>
      </x:c>
      <x:c r="D24" t="str">
        <x:v>Références photographiques</x:v>
      </x:c>
      <x:c r="E24" t="str">
        <x:v>Non produites</x:v>
      </x:c>
      <x:c r="F24" t="str">
        <x:v>Accessoire individuel à documenter</x:v>
      </x:c>
      <x:c r="G24" t="str">
        <x:v>NON VALIDÉ 1:1</x:v>
      </x:c>
      <x:c r="H24" t="str">
        <x:v>Carnet des sources</x:v>
      </x:c>
      <x:c r="I24" t="str">
        <x:v>Produire calques indépendants après validation</x:v>
      </x:c>
      <x:c r="J24" t="str">
        <x:v>À faire</x:v>
      </x:c>
    </x:row>
    <x:row r="25" ht="25" customHeight="1">
      <x:c r="A25" t="str">
        <x:v>PENDING-wolf</x:v>
      </x:c>
      <x:c r="B25" t="str">
        <x:v>Wolf</x:v>
      </x:c>
      <x:c r="C25" t="str">
        <x:v>Vues face/profil/dessus</x:v>
      </x:c>
      <x:c r="D25" t="str">
        <x:v>Références photographiques</x:v>
      </x:c>
      <x:c r="E25" t="str">
        <x:v>Non produites</x:v>
      </x:c>
      <x:c r="F25" t="str">
        <x:v>Accessoire individuel à documenter</x:v>
      </x:c>
      <x:c r="G25" t="str">
        <x:v>NON VALIDÉ 1:1</x:v>
      </x:c>
      <x:c r="H25" t="str">
        <x:v>Carnet des sources</x:v>
      </x:c>
      <x:c r="I25" t="str">
        <x:v>Produire calques indépendants après validation</x:v>
      </x:c>
      <x:c r="J25" t="str">
        <x:v>À faire</x:v>
      </x:c>
    </x:row>
    <x:row r="26" ht="25" customHeight="1">
      <x:c r="A26" t="str">
        <x:v>PENDING-feral</x:v>
      </x:c>
      <x:c r="B26" t="str">
        <x:v>Feral</x:v>
      </x:c>
      <x:c r="C26" t="str">
        <x:v>Vues face/profil/dessus</x:v>
      </x:c>
      <x:c r="D26" t="str">
        <x:v>Références photographiques</x:v>
      </x:c>
      <x:c r="E26" t="str">
        <x:v>Non produites</x:v>
      </x:c>
      <x:c r="F26" t="str">
        <x:v>Accessoire individuel à documenter</x:v>
      </x:c>
      <x:c r="G26" t="str">
        <x:v>NON VALIDÉ 1:1</x:v>
      </x:c>
      <x:c r="H26" t="str">
        <x:v>Carnet des sources</x:v>
      </x:c>
      <x:c r="I26" t="str">
        <x:v>Produire calques indépendants après validation</x:v>
      </x:c>
      <x:c r="J26" t="str">
        <x:v>À faire</x:v>
      </x:c>
    </x:row>
    <x:row r="27" ht="25" customHeight="1">
      <x:c r="A27" t="str">
        <x:v>PENDING-dek</x:v>
      </x:c>
      <x:c r="B27" t="str">
        <x:v>Dek</x:v>
      </x:c>
      <x:c r="C27" t="str">
        <x:v>Vues face/profil/dessus</x:v>
      </x:c>
      <x:c r="D27" t="str">
        <x:v>Références photographiques</x:v>
      </x:c>
      <x:c r="E27" t="str">
        <x:v>Non produites</x:v>
      </x:c>
      <x:c r="F27" t="str">
        <x:v>Accessoire individuel à documenter</x:v>
      </x:c>
      <x:c r="G27" t="str">
        <x:v>NON VALIDÉ 1:1</x:v>
      </x:c>
      <x:c r="H27" t="str">
        <x:v>Carnet des sources</x:v>
      </x:c>
      <x:c r="I27" t="str">
        <x:v>Produire calques indépendants après validation</x:v>
      </x:c>
      <x:c r="J27" t="str">
        <x:v>À faire</x:v>
      </x:c>
    </x:row>
    <x:row r="28" ht="25" customHeight="1">
      <x:c r="A28" t="str">
        <x:v>PENDING-kwei</x:v>
      </x:c>
      <x:c r="B28" t="str">
        <x:v>Kwei</x:v>
      </x:c>
      <x:c r="C28" t="str">
        <x:v>Vues face/profil/dessus</x:v>
      </x:c>
      <x:c r="D28" t="str">
        <x:v>Références photographiques</x:v>
      </x:c>
      <x:c r="E28" t="str">
        <x:v>Non produites</x:v>
      </x:c>
      <x:c r="F28" t="str">
        <x:v>Accessoire individuel à documenter</x:v>
      </x:c>
      <x:c r="G28" t="str">
        <x:v>NON VALIDÉ 1:1</x:v>
      </x:c>
      <x:c r="H28" t="str">
        <x:v>Carnet des sources</x:v>
      </x:c>
      <x:c r="I28" t="str">
        <x:v>Produire calques indépendants après validation</x:v>
      </x:c>
      <x:c r="J28" t="str">
        <x:v>À faire</x:v>
      </x:c>
    </x:row>
    <x:row r="29" ht="25" customHeight="1">
      <x:c r="A29" t="str">
        <x:v>PENDING-njohrr</x:v>
      </x:c>
      <x:c r="B29" t="str">
        <x:v>Njohrr</x:v>
      </x:c>
      <x:c r="C29" t="str">
        <x:v>Vues face/profil/dessus</x:v>
      </x:c>
      <x:c r="D29" t="str">
        <x:v>Références photographiques</x:v>
      </x:c>
      <x:c r="E29" t="str">
        <x:v>Non produites</x:v>
      </x:c>
      <x:c r="F29" t="str">
        <x:v>Accessoire individuel à documenter</x:v>
      </x:c>
      <x:c r="G29" t="str">
        <x:v>NON VALIDÉ 1:1</x:v>
      </x:c>
      <x:c r="H29" t="str">
        <x:v>Carnet des sources</x:v>
      </x:c>
      <x:c r="I29" t="str">
        <x:v>Produire calques indépendants après validation</x:v>
      </x:c>
      <x:c r="J29" t="str">
        <x:v>À faire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66" hidden="0" customWidth="1"/>
    <x:col min="3" max="3" width="35" hidden="0" customWidth="1"/>
    <x:col min="4" max="4" width="26" hidden="0" customWidth="1"/>
    <x:col min="5" max="5" width="18" hidden="0" customWidth="1"/>
    <x:col min="6" max="6" width="42" hidden="0" customWidth="1"/>
    <x:col min="7" max="7" width="13" hidden="0" customWidth="1"/>
  </x:cols>
  <x:sheetData>
    <x:row r="1" ht="35" customHeight="1">
      <x:c r="A1" s="54" t="str">
        <x:v>V134 • Tests par fonctionnalités, art, sauvegarde</x:v>
      </x:c>
      <x:c r="B1" s="54"/>
      <x:c r="C1" s="54"/>
      <x:c r="D1" s="54"/>
      <x:c r="E1" s="54"/>
      <x:c r="F1" s="54"/>
      <x:c r="G1" s="54"/>
    </x:row>
    <x:row r="2" ht="32" customHeight="1">
      <x:c r="A2" s="58" t="str">
        <x:v>Les contrôles de source et la CI ne constituent jamais une validation 1:1 ou un véritable parcours navigateur.</x:v>
      </x:c>
      <x:c r="B2" s="58"/>
      <x:c r="C2" s="58"/>
      <x:c r="D2" s="58"/>
      <x:c r="E2" s="58"/>
      <x:c r="F2" s="58"/>
      <x:c r="G2" s="58"/>
    </x:row>
    <x:row r="4" ht="30" customHeight="1">
      <x:c r="A4" s="62" t="str">
        <x:v>ID</x:v>
      </x:c>
      <x:c r="B4" s="62" t="str">
        <x:v>Scénario</x:v>
      </x:c>
      <x:c r="C4" s="62" t="str">
        <x:v>Système</x:v>
      </x:c>
      <x:c r="D4" s="62" t="str">
        <x:v>Méthode</x:v>
      </x:c>
      <x:c r="E4" s="62" t="str">
        <x:v>Domaine</x:v>
      </x:c>
      <x:c r="F4" s="62" t="str">
        <x:v>Preuve / état</x:v>
      </x:c>
      <x:c r="G4" s="62" t="str">
        <x:v>Priorité</x:v>
      </x:c>
    </x:row>
    <x:row r="5" ht="25" customHeight="1">
      <x:c r="A5" t="str">
        <x:v>QA134-01</x:v>
      </x:c>
      <x:c r="B5" t="str">
        <x:v>44 études correctement indexées à des IDs existants</x:v>
      </x:c>
      <x:c r="C5" t="str">
        <x:v>node:test</x:v>
      </x:c>
      <x:c r="D5" t="str">
        <x:v>Unitaire V134</x:v>
      </x:c>
      <x:c r="E5" t="str">
        <x:v>Code</x:v>
      </x:c>
      <x:c r="F5" t="str">
        <x:v>Preuve CI/Node PASS ; interaction complète du jeu non affirmée</x:v>
      </x:c>
      <x:c r="G5" t="str">
        <x:v>P0</x:v>
      </x:c>
    </x:row>
    <x:row r="6" ht="25" customHeight="1">
      <x:c r="A6" t="str">
        <x:v>QA134-02</x:v>
      </x:c>
      <x:c r="B6" t="str">
        <x:v>Aucune étude sans trophée réel</x:v>
      </x:c>
      <x:c r="C6" t="str">
        <x:v>node:test</x:v>
      </x:c>
      <x:c r="D6" t="str">
        <x:v>Unitaire V134</x:v>
      </x:c>
      <x:c r="E6" t="str">
        <x:v>Code</x:v>
      </x:c>
      <x:c r="F6" t="str">
        <x:v>Preuve CI/Node PASS ; interaction complète du jeu non affirmée</x:v>
      </x:c>
      <x:c r="G6" t="str">
        <x:v>P0</x:v>
      </x:c>
    </x:row>
    <x:row r="7" ht="25" customHeight="1">
      <x:c r="A7" t="str">
        <x:v>QA134-03</x:v>
      </x:c>
      <x:c r="B7" t="str">
        <x:v>Rang insuffisant interdit la recherche</x:v>
      </x:c>
      <x:c r="C7" t="str">
        <x:v>node:test</x:v>
      </x:c>
      <x:c r="D7" t="str">
        <x:v>Unitaire V134</x:v>
      </x:c>
      <x:c r="E7" t="str">
        <x:v>Code</x:v>
      </x:c>
      <x:c r="F7" t="str">
        <x:v>Preuve CI/Node PASS ; interaction complète du jeu non affirmée</x:v>
      </x:c>
      <x:c r="G7" t="str">
        <x:v>P0</x:v>
      </x:c>
    </x:row>
    <x:row r="8" ht="25" customHeight="1">
      <x:c r="A8" t="str">
        <x:v>QA134-04</x:v>
      </x:c>
      <x:c r="B8" t="str">
        <x:v>Absence de rite interdit les études difficiles</x:v>
      </x:c>
      <x:c r="C8" t="str">
        <x:v>node:test</x:v>
      </x:c>
      <x:c r="D8" t="str">
        <x:v>Unitaire V134</x:v>
      </x:c>
      <x:c r="E8" t="str">
        <x:v>Code</x:v>
      </x:c>
      <x:c r="F8" t="str">
        <x:v>Preuve CI/Node PASS ; interaction complète du jeu non affirmée</x:v>
      </x:c>
      <x:c r="G8" t="str">
        <x:v>P0</x:v>
      </x:c>
    </x:row>
    <x:row r="9" ht="25" customHeight="1">
      <x:c r="A9" t="str">
        <x:v>QA134-05</x:v>
      </x:c>
      <x:c r="B9" t="str">
        <x:v>Une étude ne se crédite qu'une fois</x:v>
      </x:c>
      <x:c r="C9" t="str">
        <x:v>node:test</x:v>
      </x:c>
      <x:c r="D9" t="str">
        <x:v>Unitaire V134</x:v>
      </x:c>
      <x:c r="E9" t="str">
        <x:v>Code</x:v>
      </x:c>
      <x:c r="F9" t="str">
        <x:v>Preuve CI/Node PASS ; interaction complète du jeu non affirmée</x:v>
      </x:c>
      <x:c r="G9" t="str">
        <x:v>P0</x:v>
      </x:c>
    </x:row>
    <x:row r="10" ht="25" customHeight="1">
      <x:c r="A10" t="str">
        <x:v>QA134-06</x:v>
      </x:c>
      <x:c r="B10" t="str">
        <x:v>Aucun gain de dégâts, unités, PC ou RAV</x:v>
      </x:c>
      <x:c r="C10" t="str">
        <x:v>Revue moteur</x:v>
      </x:c>
      <x:c r="D10" t="str">
        <x:v>Contract test</x:v>
      </x:c>
      <x:c r="E10" t="str">
        <x:v>Jeu</x:v>
      </x:c>
      <x:c r="F10" t="str">
        <x:v>PARTIEL/OUVERT : navigateur ou manette à vérifier</x:v>
      </x:c>
      <x:c r="G10" t="str">
        <x:v>P0</x:v>
      </x:c>
    </x:row>
    <x:row r="11" ht="25" customHeight="1">
      <x:c r="A11" t="str">
        <x:v>QA134-07</x:v>
      </x:c>
      <x:c r="B11" t="str">
        <x:v>La sauvegarde V12 migre V13 sans effacer les anciens reçus</x:v>
      </x:c>
      <x:c r="C11" t="str">
        <x:v>save.ts</x:v>
      </x:c>
      <x:c r="D11" t="str">
        <x:v>Migration</x:v>
      </x:c>
      <x:c r="E11" t="str">
        <x:v>Jeu</x:v>
      </x:c>
      <x:c r="F11" t="str">
        <x:v>Preuve CI/Node PASS ; interaction complète du jeu non affirmée</x:v>
      </x:c>
      <x:c r="G11" t="str">
        <x:v>P0</x:v>
      </x:c>
    </x:row>
    <x:row r="12" ht="25" customHeight="1">
      <x:c r="A12" t="str">
        <x:v>QA134-08</x:v>
      </x:c>
      <x:c r="B12" t="str">
        <x:v>La nouvelle V13 exportée importe la recherche sur autre appareil</x:v>
      </x:c>
      <x:c r="C12" t="str">
        <x:v>save.ts</x:v>
      </x:c>
      <x:c r="D12" t="str">
        <x:v>End-to-end</x:v>
      </x:c>
      <x:c r="E12" t="str">
        <x:v>Jeu</x:v>
      </x:c>
      <x:c r="F12" t="str">
        <x:v>Preuve CI/Node PASS ; interaction complète du jeu non affirmée</x:v>
      </x:c>
      <x:c r="G12" t="str">
        <x:v>P0</x:v>
      </x:c>
    </x:row>
    <x:row r="13" ht="25" customHeight="1">
      <x:c r="A13" t="str">
        <x:v>QA134-09</x:v>
      </x:c>
      <x:c r="B13" t="str">
        <x:v>Sauvegarde gauntlet future refusée sans perte</x:v>
      </x:c>
      <x:c r="C13" t="str">
        <x:v>save.ts</x:v>
      </x:c>
      <x:c r="D13" t="str">
        <x:v>Unitaire+E2E</x:v>
      </x:c>
      <x:c r="E13" t="str">
        <x:v>Jeu</x:v>
      </x:c>
      <x:c r="F13" t="str">
        <x:v>Preuve CI/Node PASS ; interaction complète du jeu non affirmée</x:v>
      </x:c>
      <x:c r="G13" t="str">
        <x:v>P0</x:v>
      </x:c>
    </x:row>
    <x:row r="14" ht="25" customHeight="1">
      <x:c r="A14" t="str">
        <x:v>QA134-10</x:v>
      </x:c>
      <x:c r="B14" t="str">
        <x:v>Gauntlet du mauvais propriétaire refusé</x:v>
      </x:c>
      <x:c r="C14" t="str">
        <x:v>gauntletCampaignV134</x:v>
      </x:c>
      <x:c r="D14" t="str">
        <x:v>Unitaire V134</x:v>
      </x:c>
      <x:c r="E14" t="str">
        <x:v>Code</x:v>
      </x:c>
      <x:c r="F14" t="str">
        <x:v>Preuve CI/Node PASS ; interaction complète du jeu non affirmée</x:v>
      </x:c>
      <x:c r="G14" t="str">
        <x:v>P0</x:v>
      </x:c>
    </x:row>
    <x:row r="15" ht="25" customHeight="1">
      <x:c r="A15" t="str">
        <x:v>QA134-11</x:v>
      </x:c>
      <x:c r="B15" t="str">
        <x:v>Stockage interrompu ne fabrique pas la récompense</x:v>
      </x:c>
      <x:c r="C15" t="str">
        <x:v>GameClient/persistSocialProgress</x:v>
      </x:c>
      <x:c r="D15" t="str">
        <x:v>E2E</x:v>
      </x:c>
      <x:c r="E15" t="str">
        <x:v>Jeu</x:v>
      </x:c>
      <x:c r="F15" t="str">
        <x:v>Preuve CI/Node PASS ; interaction complète du jeu non affirmée</x:v>
      </x:c>
      <x:c r="G15" t="str">
        <x:v>P0</x:v>
      </x:c>
    </x:row>
    <x:row r="16" ht="25" customHeight="1">
      <x:c r="A16" t="str">
        <x:v>QA134-12</x:v>
      </x:c>
      <x:c r="B16" t="str">
        <x:v>Équipement synchronisé vaisseau, titre, personnalis., guerre</x:v>
      </x:c>
      <x:c r="C16" t="str">
        <x:v>GameClient/V133</x:v>
      </x:c>
      <x:c r="D16" t="str">
        <x:v>Contract test</x:v>
      </x:c>
      <x:c r="E16" t="str">
        <x:v>Jeu</x:v>
      </x:c>
      <x:c r="F16" t="str">
        <x:v>Preuve CI/Node PASS ; interaction complète du jeu non affirmée</x:v>
      </x:c>
      <x:c r="G16" t="str">
        <x:v>P0</x:v>
      </x:c>
    </x:row>
    <x:row r="17" ht="25" customHeight="1">
      <x:c r="A17" t="str">
        <x:v>QA134-13</x:v>
      </x:c>
      <x:c r="B17" t="str">
        <x:v>Modèle JH 7 couches visibles et indépendantes</x:v>
      </x:c>
      <x:c r="C17" t="str">
        <x:v>JungleHunterLayeredV134</x:v>
      </x:c>
      <x:c r="D17" t="str">
        <x:v>Unitaire assets V134</x:v>
      </x:c>
      <x:c r="E17" t="str">
        <x:v>Art</x:v>
      </x:c>
      <x:c r="F17" t="str">
        <x:v>Preuve CI/Node PASS ; interaction complète du jeu non affirmée</x:v>
      </x:c>
      <x:c r="G17" t="str">
        <x:v>P0</x:v>
      </x:c>
    </x:row>
    <x:row r="18" ht="25" customHeight="1">
      <x:c r="A18" t="str">
        <x:v>QA134-14</x:v>
      </x:c>
      <x:c r="B18" t="str">
        <x:v>5 rangées rouges, pas colonnes verticales</x:v>
      </x:c>
      <x:c r="C18" t="str">
        <x:v>03-display-glyphs.svg</x:v>
      </x:c>
      <x:c r="D18" t="str">
        <x:v>Unitaire assets V134</x:v>
      </x:c>
      <x:c r="E18" t="str">
        <x:v>Art</x:v>
      </x:c>
      <x:c r="F18" t="str">
        <x:v>Preuve CI/Node PASS ; interaction complète du jeu non affirmée</x:v>
      </x:c>
      <x:c r="G18" t="str">
        <x:v>P0</x:v>
      </x:c>
    </x:row>
    <x:row r="19" ht="25" customHeight="1">
      <x:c r="A19" t="str">
        <x:v>QA134-15</x:v>
      </x:c>
      <x:c r="B19" t="str">
        <x:v>Calques alpha PNG 1080 × 580 complets</x:v>
      </x:c>
      <x:c r="C19" t="str">
        <x:v>export-gauntlet-png-v134.mjs</x:v>
      </x:c>
      <x:c r="D19" t="str">
        <x:v>Export GitHub</x:v>
      </x:c>
      <x:c r="E19" t="str">
        <x:v>Art</x:v>
      </x:c>
      <x:c r="F19" t="str">
        <x:v>Preuve CI/Node PASS ; interaction complète du jeu non affirmée</x:v>
      </x:c>
      <x:c r="G19" t="str">
        <x:v>P0</x:v>
      </x:c>
    </x:row>
    <x:row r="20" ht="25" customHeight="1">
      <x:c r="A20" t="str">
        <x:v>QA134-16</x:v>
      </x:c>
      <x:c r="B20" t="str">
        <x:v>Capot réellement s'ouvre et se ferme</x:v>
      </x:c>
      <x:c r="C20" t="str">
        <x:v>JungleHunterLayeredV134</x:v>
      </x:c>
      <x:c r="D20" t="str">
        <x:v>E2E navigateur</x:v>
      </x:c>
      <x:c r="E20" t="str">
        <x:v>Art</x:v>
      </x:c>
      <x:c r="F20" t="str">
        <x:v>OUVERT : validation artistique / images source manquantes</x:v>
      </x:c>
      <x:c r="G20" t="str">
        <x:v>P0</x:v>
      </x:c>
    </x:row>
    <x:row r="21" ht="25" customHeight="1">
      <x:c r="A21" t="str">
        <x:v>QA134-17</x:v>
      </x:c>
      <x:c r="B21" t="str">
        <x:v>Réduction des animations via prefers-reduced-motion</x:v>
      </x:c>
      <x:c r="C21" t="str">
        <x:v>CSS/V134</x:v>
      </x:c>
      <x:c r="D21" t="str">
        <x:v>Audit navigateur</x:v>
      </x:c>
      <x:c r="E21" t="str">
        <x:v>Accessibilité</x:v>
      </x:c>
      <x:c r="F21" t="str">
        <x:v>PARTIEL/OUVERT : navigateur ou manette à vérifier</x:v>
      </x:c>
      <x:c r="G21" t="str">
        <x:v>P1</x:v>
      </x:c>
    </x:row>
    <x:row r="22" ht="25" customHeight="1">
      <x:c r="A22" t="str">
        <x:v>QA134-18</x:v>
      </x:c>
      <x:c r="B22" t="str">
        <x:v>Accessibilité clavier de validation d'étude</x:v>
      </x:c>
      <x:c r="C22" t="str">
        <x:v>ClanWarGauntletLocker</x:v>
      </x:c>
      <x:c r="D22" t="str">
        <x:v>E2E navigateur</x:v>
      </x:c>
      <x:c r="E22" t="str">
        <x:v>Accessibilité</x:v>
      </x:c>
      <x:c r="F22" t="str">
        <x:v>PARTIEL/OUVERT : navigateur ou manette à vérifier</x:v>
      </x:c>
      <x:c r="G22" t="str">
        <x:v>P1</x:v>
      </x:c>
    </x:row>
    <x:row r="23" ht="25" customHeight="1">
      <x:c r="A23" t="str">
        <x:v>QA134-19</x:v>
      </x:c>
      <x:c r="B23" t="str">
        <x:v>Hologramme et vue classique partagent un état unique</x:v>
      </x:c>
      <x:c r="C23" t="str">
        <x:v>ClanWarAtlasV95</x:v>
      </x:c>
      <x:c r="D23" t="str">
        <x:v>Contract test</x:v>
      </x:c>
      <x:c r="E23" t="str">
        <x:v>Jeu</x:v>
      </x:c>
      <x:c r="F23" t="str">
        <x:v>PARTIEL/OUVERT : navigateur ou manette à vérifier</x:v>
      </x:c>
      <x:c r="G23" t="str">
        <x:v>P0</x:v>
      </x:c>
    </x:row>
    <x:row r="24" ht="25" customHeight="1">
      <x:c r="A24" t="str">
        <x:v>QA134-20</x:v>
      </x:c>
      <x:c r="B24" t="str">
        <x:v>Aucune cachette d'actif inaccessible hors du mode classique</x:v>
      </x:c>
      <x:c r="C24" t="str">
        <x:v>CSS</x:v>
      </x:c>
      <x:c r="D24" t="str">
        <x:v>QA visuelle</x:v>
      </x:c>
      <x:c r="E24" t="str">
        <x:v>Art</x:v>
      </x:c>
      <x:c r="F24" t="str">
        <x:v>OUVERT : validation artistique / images source manquantes</x:v>
      </x:c>
      <x:c r="G24" t="str">
        <x:v>P1</x:v>
      </x:c>
    </x:row>
    <x:row r="25" ht="25" customHeight="1">
      <x:c r="A25" t="str">
        <x:v>QA134-21</x:v>
      </x:c>
      <x:c r="B25" t="str">
        <x:v>Mêmes données en RTS, Outer Ops, assault, sabotage</x:v>
      </x:c>
      <x:c r="C25" t="str">
        <x:v>ClanWarOperationsV115</x:v>
      </x:c>
      <x:c r="D25" t="str">
        <x:v>Contract test</x:v>
      </x:c>
      <x:c r="E25" t="str">
        <x:v>Jeu</x:v>
      </x:c>
      <x:c r="F25" t="str">
        <x:v>PARTIEL/OUVERT : navigateur ou manette à vérifier</x:v>
      </x:c>
      <x:c r="G25" t="str">
        <x:v>P1</x:v>
      </x:c>
    </x:row>
    <x:row r="26" ht="25" customHeight="1">
      <x:c r="A26" t="str">
        <x:v>QA134-22</x:v>
      </x:c>
      <x:c r="B26" t="str">
        <x:v>Aucun vrai artefact de film déplacé sur une planète originale</x:v>
      </x:c>
      <x:c r="C26" t="str">
        <x:v>Catalogue</x:v>
      </x:c>
      <x:c r="D26" t="str">
        <x:v>Revue lore</x:v>
      </x:c>
      <x:c r="E26" t="str">
        <x:v>Lore</x:v>
      </x:c>
      <x:c r="F26" t="str">
        <x:v>PARTIEL/OUVERT : navigateur ou manette à vérifier</x:v>
      </x:c>
      <x:c r="G26" t="str">
        <x:v>P0</x:v>
      </x:c>
    </x:row>
    <x:row r="27" ht="25" customHeight="1">
      <x:c r="A27" t="str">
        <x:v>QA134-23</x:v>
      </x:c>
      <x:c r="B27" t="str">
        <x:v>Fidélité photo/film du poignet gauche et capot</x:v>
      </x:c>
      <x:c r="C27" t="str">
        <x:v>Références 1987</x:v>
      </x:c>
      <x:c r="D27" t="str">
        <x:v>Comparaison 1:1</x:v>
      </x:c>
      <x:c r="E27" t="str">
        <x:v>Art</x:v>
      </x:c>
      <x:c r="F27" t="str">
        <x:v>OUVERT : validation artistique / images source manquantes</x:v>
      </x:c>
      <x:c r="G27" t="str">
        <x:v>P0</x:v>
      </x:c>
    </x:row>
    <x:row r="28" ht="25" customHeight="1">
      <x:c r="A28" t="str">
        <x:v>QA134-24</x:v>
      </x:c>
      <x:c r="B28" t="str">
        <x:v>Couleurs écran rouge / coque / inscriptions</x:v>
      </x:c>
      <x:c r="C28" t="str">
        <x:v>Références 1987</x:v>
      </x:c>
      <x:c r="D28" t="str">
        <x:v>Comparaison film</x:v>
      </x:c>
      <x:c r="E28" t="str">
        <x:v>Art</x:v>
      </x:c>
      <x:c r="F28" t="str">
        <x:v>OUVERT : validation artistique / images source manquantes</x:v>
      </x:c>
      <x:c r="G28" t="str">
        <x:v>P0</x:v>
      </x:c>
    </x:row>
    <x:row r="29" ht="25" customHeight="1">
      <x:c r="A29" t="str">
        <x:v>QA134-25</x:v>
      </x:c>
      <x:c r="B29" t="str">
        <x:v>Référence visuelle par variante avant validation</x:v>
      </x:c>
      <x:c r="C29" t="str">
        <x:v>Catalogue 54</x:v>
      </x:c>
      <x:c r="D29" t="str">
        <x:v>Revue sources</x:v>
      </x:c>
      <x:c r="E29" t="str">
        <x:v>Lore</x:v>
      </x:c>
      <x:c r="F29" t="str">
        <x:v>PARTIEL/OUVERT : navigateur ou manette à vérifier</x:v>
      </x:c>
      <x:c r="G29" t="str">
        <x:v>P0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28" hidden="0" customWidth="1"/>
    <x:col min="4" max="4" width="62" hidden="0" customWidth="1"/>
    <x:col min="5" max="5" width="38" hidden="0" customWidth="1"/>
    <x:col min="6" max="6" width="65" hidden="0" customWidth="1"/>
    <x:col min="7" max="7" width="18" hidden="0" customWidth="1"/>
  </x:cols>
  <x:sheetData>
    <x:row r="1" ht="35" customHeight="1">
      <x:c r="A1" s="54" t="str">
        <x:v>V134 • Références visuelles et techniques</x:v>
      </x:c>
      <x:c r="B1" s="54"/>
      <x:c r="C1" s="54"/>
      <x:c r="D1" s="54"/>
      <x:c r="E1" s="54"/>
      <x:c r="F1" s="54"/>
      <x:c r="G1" s="54"/>
    </x:row>
    <x:row r="2" ht="32" customHeight="1">
      <x:c r="A2" s="58" t="str">
        <x:v>Les sources secondaires, produits et photographies ne remplacent pas des mesures du prop de 1987.</x:v>
      </x:c>
      <x:c r="B2" s="58"/>
      <x:c r="C2" s="58"/>
      <x:c r="D2" s="58"/>
      <x:c r="E2" s="58"/>
      <x:c r="F2" s="58"/>
      <x:c r="G2" s="58"/>
    </x:row>
    <x:row r="4" ht="30" customHeight="1">
      <x:c r="A4" s="62" t="str">
        <x:v>ID</x:v>
      </x:c>
      <x:c r="B4" s="62" t="str">
        <x:v>Référence</x:v>
      </x:c>
      <x:c r="C4" s="62" t="str">
        <x:v>Type</x:v>
      </x:c>
      <x:c r="D4" s="62" t="str">
        <x:v>URL</x:v>
      </x:c>
      <x:c r="E4" s="62" t="str">
        <x:v>Propriété documentée</x:v>
      </x:c>
      <x:c r="F4" s="62" t="str">
        <x:v>Limites</x:v>
      </x:c>
      <x:c r="G4" s="62" t="str">
        <x:v>Classe</x:v>
      </x:c>
    </x:row>
    <x:row r="5" ht="25" customHeight="1">
      <x:c r="A5" t="str">
        <x:v>JH-FILM</x:v>
      </x:c>
      <x:c r="B5" t="str">
        <x:v>Predator (1987)</x:v>
      </x:c>
      <x:c r="C5" t="str">
        <x:v>Film original</x:v>
      </x:c>
      <x:c r="D5" t="str">
        <x:v>https://www.20thcenturystudios.com/movies/predator</x:v>
      </x:c>
      <x:c r="E5" t="str">
        <x:v>Identité du Jungle Hunter</x:v>
      </x:c>
      <x:c r="F5" t="str">
        <x:v>Film, visionner les plans du poignet</x:v>
      </x:c>
      <x:c r="G5" t="str">
        <x:v>Source film</x:v>
      </x:c>
    </x:row>
    <x:row r="6" ht="25" customHeight="1">
      <x:c r="A6" t="str">
        <x:v>JH-CLOSEUP</x:v>
      </x:c>
      <x:c r="B6" t="str">
        <x:v>Predator Wrist Gauntlet</x:v>
      </x:c>
      <x:c r="C6" t="str">
        <x:v>Photographie du dispositif</x:v>
      </x:c>
      <x:c r="D6" t="str">
        <x:v>https://www.avpcentral.com/images/predator-technology/predator-wrist-gauntlet.jpg</x:v>
      </x:c>
      <x:c r="E6" t="str">
        <x:v>Cinq rangées glyphes rouges, métal, capot</x:v>
      </x:c>
      <x:c r="F6" t="str">
        <x:v>Mesurer proportions et valider la provenance du cliché</x:v>
      </x:c>
      <x:c r="G6" t="str">
        <x:v>Secondaire</x:v>
      </x:c>
    </x:row>
    <x:row r="7" ht="25" customHeight="1">
      <x:c r="A7" t="str">
        <x:v>JH-TOYS</x:v>
      </x:c>
      <x:c r="B7" t="str">
        <x:v>Ultimate Jungle Hunter NECA</x:v>
      </x:c>
      <x:c r="C7" t="str">
        <x:v>Figurine licenciée</x:v>
      </x:c>
      <x:c r="D7" t="str">
        <x:v>https://store.necaonline.com/products/predator-ultimate-jungle-hunter-7-scale-action-figure</x:v>
      </x:c>
      <x:c r="E7" t="str">
        <x:v>Capot ouvrant et armure</x:v>
      </x:c>
      <x:c r="F7" t="str">
        <x:v>La figurine n'est pas un prop de tournage</x:v>
      </x:c>
      <x:c r="G7" t="str">
        <x:v>Licencié</x:v>
      </x:c>
    </x:row>
    <x:row r="8" ht="25" customHeight="1">
      <x:c r="A8" t="str">
        <x:v>JH-STILLS</x:v>
      </x:c>
      <x:c r="B8" t="str">
        <x:v>Predator Blu-ray screencaps</x:v>
      </x:c>
      <x:c r="C8" t="str">
        <x:v>Photogrammes du film</x:v>
      </x:c>
      <x:c r="D8" t="str">
        <x:v>https://www.avpgalaxy.net/predator-movies/predator/gallery/blu-ray-captures/</x:v>
      </x:c>
      <x:c r="E8" t="str">
        <x:v>Vues scène par scène du dispositif</x:v>
      </x:c>
      <x:c r="F8" t="str">
        <x:v>Comparer au film original</x:v>
      </x:c>
      <x:c r="G8" t="str">
        <x:v>Communauté</x:v>
      </x:c>
    </x:row>
    <x:row r="9" ht="25" customHeight="1">
      <x:c r="A9" t="str">
        <x:v>JH-WORK</x:v>
      </x:c>
      <x:c r="B9" t="str">
        <x:v>Production props</x:v>
      </x:c>
      <x:c r="C9" t="str">
        <x:v>Notes de tournage</x:v>
      </x:c>
      <x:c r="D9" t="str">
        <x:v>https://catalog.afi.com/Film/57783-</x:v>
      </x:c>
      <x:c r="E9" t="str">
        <x:v>Méthodes de production</x:v>
      </x:c>
      <x:c r="F9" t="str">
        <x:v>Pas de cotes officielles du gauntlet disponibles</x:v>
      </x:c>
      <x:c r="G9" t="str">
        <x:v>Contexte</x:v>
      </x:c>
    </x:row>
    <x:row r="10" ht="25" customHeight="1">
      <x:c r="A10" t="str">
        <x:v>V134-CODE</x:v>
      </x:c>
      <x:c r="B10" t="str">
        <x:v>Gauntlet module</x:v>
      </x:c>
      <x:c r="C10" t="str">
        <x:v>Code source GitHub</x:v>
      </x:c>
      <x:c r="D10" t="str">
        <x:v>https://github.com/darknigthmare/yautja-la-longue-chasse/pull/42</x:v>
      </x:c>
      <x:c r="E10" t="str">
        <x:v>Seven layers + quest records</x:v>
      </x:c>
      <x:c r="F10" t="str">
        <x:v>CI requise</x:v>
      </x:c>
      <x:c r="G10" t="str">
        <x:v>Code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1" hidden="0" customWidth="1"/>
    <x:col min="2" max="2" width="20" hidden="0" customWidth="1"/>
    <x:col min="3" max="3" width="72" hidden="0" customWidth="1"/>
  </x:cols>
  <x:sheetData>
    <x:row r="1" ht="36" customHeight="1">
      <x:c r="A1" s="63" t="str">
        <x:v>V134 • BILAN ET RESTE À PRODUIRE</x:v>
      </x:c>
      <x:c r="B1" s="63"/>
      <x:c r="C1" s="63"/>
      <x:c r="D1" s="63"/>
    </x:row>
    <x:row r="3" ht="29" customHeight="1">
      <x:c r="A3" s="64" t="str">
        <x:v>Indicateur</x:v>
      </x:c>
      <x:c r="B3" s="64" t="str">
        <x:v>Résultat</x:v>
      </x:c>
      <x:c r="C3" s="64" t="str">
        <x:v>Commentaire</x:v>
      </x:c>
    </x:row>
    <x:row r="4">
      <x:c r="A4" t="str">
        <x:v>Gauntlets catalogués</x:v>
      </x:c>
      <x:c r="B4" t="n">
        <x:v>54</x:v>
      </x:c>
      <x:c r="C4" t="str">
        <x:v>Identités du catalogue, PAS 54 objets fidèles</x:v>
      </x:c>
    </x:row>
    <x:row r="5">
      <x:c r="A5" t="str">
        <x:v>Études V134 avec preuves définies</x:v>
      </x:c>
      <x:c r="B5" t="n">
        <x:f>COUNTA('12_V134_Etudes'!A5:A48)</x:f>
        <x:v>44</x:v>
      </x:c>
      <x:c r="C5" t="str">
        <x:v>Missions, trophées, scans, rangs et rites</x:v>
      </x:c>
    </x:row>
    <x:row r="6">
      <x:c r="A6" t="str">
        <x:v>Études attribuées gratuitement</x:v>
      </x:c>
      <x:c r="B6" t="n">
        <x:v>0</x:v>
      </x:c>
      <x:c r="C6" t="str">
        <x:v>Aucune récompense sans preuves</x:v>
      </x:c>
    </x:row>
    <x:row r="7">
      <x:c r="A7" t="str">
        <x:v>Sources SVG Jungle Hunter</x:v>
      </x:c>
      <x:c r="B7" t="n">
        <x:v>7</x:v>
      </x:c>
      <x:c r="C7" t="str">
        <x:v>Séparées en 7 calques réellement intégrés</x:v>
      </x:c>
    </x:row>
    <x:row r="8">
      <x:c r="A8" t="str">
        <x:v>PNG exportables par CI</x:v>
      </x:c>
      <x:c r="B8" t="n">
        <x:v>8</x:v>
      </x:c>
      <x:c r="C8" t="str">
        <x:v>7 calques + un composite (non committés)</x:v>
      </x:c>
    </x:row>
    <x:row r="9">
      <x:c r="A9" t="str">
        <x:v>Modèles validés 1:1</x:v>
      </x:c>
      <x:c r="B9" t="n">
        <x:v>0</x:v>
      </x:c>
      <x:c r="C9" t="str">
        <x:v>Validation artistique encore nécessaire</x:v>
      </x:c>
    </x:row>
    <x:row r="10">
      <x:c r="A10" t="str">
        <x:v>Études et récompenses d'archives</x:v>
      </x:c>
      <x:c r="B10" t="n">
        <x:v>44</x:v>
      </x:c>
      <x:c r="C10" t="str">
        <x:v>Reconstitutions cosmétiques, pas artefacts film</x:v>
      </x:c>
    </x:row>
    <x:row r="11">
      <x:c r="A11" t="str">
        <x:v>QA V134 documentés</x:v>
      </x:c>
      <x:c r="B11" t="n">
        <x:v>25</x:v>
      </x:c>
      <x:c r="C11" t="str">
        <x:v>Code vs parcours navigateur explicitement différenciés</x:v>
      </x:c>
    </x:row>
    <x:row r="12">
      <x:c r="A12" t="str">
        <x:v>Version de sauvegarde</x:v>
      </x:c>
      <x:c r="B12" t="n">
        <x:v>13</x:v>
      </x:c>
      <x:c r="C12" t="str">
        <x:v>Migration de V12 à V13</x:v>
      </x:c>
    </x:row>
    <x:row r="13">
      <x:c r="A13" t="str">
        <x:v>Modes Guerre des clans conservés</x:v>
      </x:c>
      <x:c r="B13" t="n">
        <x:v>4</x:v>
      </x:c>
      <x:c r="C13" t="str">
        <x:v>Assaut, Outer Ops, sabotage, RTS</x:v>
      </x:c>
    </x:row>
    <x:row r="15" ht="36" customHeight="1">
      <x:c r="A15" s="67" t="str">
        <x:v>STATUT ARTISTIQUE</x:v>
      </x:c>
      <x:c r="B15" s="67" t="str">
        <x:v>NON VALIDÉ 1:1</x:v>
      </x:c>
      <x:c r="C15" s="67" t="str">
        <x:v>Une comparaison plan par plan et une revue humaine restent nécessaires</x:v>
      </x:c>
    </x:row>
    <x:row r="17" ht="36" customHeight="1">
      <x:c r="A17" t="str">
        <x:v>Statut CI</x:v>
      </x:c>
      <x:c r="B17" t="str">
        <x:v>À relire sur PR #42</x:v>
      </x:c>
      <x:c r="C17" t="str">
        <x:v>Seule une CI publiée sur le commit exact est une preuve de validation technique</x:v>
      </x:c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22" hidden="0" customWidth="1"/>
    <x:col min="4" max="4" width="50" hidden="0" customWidth="1"/>
    <x:col min="5" max="5" width="29" hidden="0" customWidth="1"/>
    <x:col min="6" max="6" width="12" hidden="0" customWidth="1"/>
    <x:col min="7" max="7" width="33" hidden="0" customWidth="1"/>
    <x:col min="8" max="8" width="20" hidden="0" customWidth="1"/>
    <x:col min="9" max="9" width="71" hidden="0" customWidth="1"/>
  </x:cols>
  <x:sheetData>
    <x:row r="1" ht="39" customHeight="1">
      <x:c r="A1" s="70" t="str">
        <x:v>V135 · QUATRE FAMILLES À CALQUES INDÉPENDANTS</x:v>
      </x:c>
      <x:c r="B1" s="70"/>
      <x:c r="C1" s="70"/>
      <x:c r="D1" s="70"/>
      <x:c r="E1" s="70"/>
      <x:c r="F1" s="70"/>
      <x:c r="G1" s="70"/>
      <x:c r="H1" s="70"/>
      <x:c r="I1" s="70"/>
    </x:row>
    <x:row r="2" ht="38" customHeight="1">
      <x:c r="A2" s="74" t="str">
        <x:v>Les références existent, mais aucune géométrie individuelle n'a reçu d'approbation de fidélité 1:1.</x:v>
      </x:c>
      <x:c r="B2" s="74"/>
      <x:c r="C2" s="74"/>
      <x:c r="D2" s="74"/>
      <x:c r="E2" s="74"/>
      <x:c r="F2" s="74"/>
      <x:c r="G2" s="74"/>
      <x:c r="H2" s="74"/>
      <x:c r="I2" s="74"/>
    </x:row>
    <x:row r="4" ht="32" customHeight="1">
      <x:c r="A4" s="78" t="str">
        <x:v>ID</x:v>
      </x:c>
      <x:c r="B4" s="78" t="str">
        <x:v>Modèle</x:v>
      </x:c>
      <x:c r="C4" s="78" t="str">
        <x:v>Œuvre</x:v>
      </x:c>
      <x:c r="D4" s="78" t="str">
        <x:v>Repère documenté</x:v>
      </x:c>
      <x:c r="E4" s="78" t="str">
        <x:v>État technique</x:v>
      </x:c>
      <x:c r="F4" s="78" t="str">
        <x:v>Calques</x:v>
      </x:c>
      <x:c r="G4" s="78" t="str">
        <x:v>Qualité artistique</x:v>
      </x:c>
      <x:c r="H4" s="78" t="str">
        <x:v>1:1</x:v>
      </x:c>
      <x:c r="I4" s="78" t="str">
        <x:v>Source vérifiable</x:v>
      </x:c>
    </x:row>
    <x:row r="5" ht="35" customHeight="1">
      <x:c r="A5" s="79" t="str">
        <x:v>city-hunter</x:v>
      </x:c>
      <x:c r="B5" s="79" t="str">
        <x:v>City Hunter · 1990</x:v>
      </x:c>
      <x:c r="C5" s="79" t="str">
        <x:v>Predator 2</x:v>
      </x:c>
      <x:c r="D5" s="79" t="str">
        <x:v>Coque cuivrée de cascade, vrai gauntlet gauche</x:v>
      </x:c>
      <x:c r="E5" s="79" t="str">
        <x:v>Quatre couches source</x:v>
      </x:c>
      <x:c r="F5" s="79" t="n">
        <x:v>4</x:v>
      </x:c>
      <x:c r="G5" s="79" t="str">
        <x:v>Source-guided blockout</x:v>
      </x:c>
      <x:c r="H5" s="79" t="str">
        <x:v>NON VALIDÉ</x:v>
      </x:c>
      <x:c r="I5" s="79" t="str">
        <x:v>https://propstoreauction.com/lot-details/index/catalog/496/lot/193088/</x:v>
      </x:c>
    </x:row>
    <x:row r="6" ht="35" customHeight="1">
      <x:c r="A6" s="79" t="str">
        <x:v>wolf</x:v>
      </x:c>
      <x:c r="B6" s="79" t="str">
        <x:v>Wolf · AVP-R 2007</x:v>
      </x:c>
      <x:c r="C6" s="79" t="str">
        <x:v>AVP Requiem</x:v>
      </x:c>
      <x:c r="D6" s="79" t="str">
        <x:v>Gauche inscriptions lumineuses, droite lames</x:v>
      </x:c>
      <x:c r="E6" s="79" t="str">
        <x:v>Quatre couches source</x:v>
      </x:c>
      <x:c r="F6" s="79" t="n">
        <x:v>4</x:v>
      </x:c>
      <x:c r="G6" s="79" t="str">
        <x:v>Source-guided blockout</x:v>
      </x:c>
      <x:c r="H6" s="79" t="str">
        <x:v>NON VALIDÉ</x:v>
      </x:c>
      <x:c r="I6" s="79" t="str">
        <x:v>https://propstoreauction.com/lot-details/index/catalog/347/lot/112704</x:v>
      </x:c>
    </x:row>
    <x:row r="7" ht="35" customHeight="1">
      <x:c r="A7" s="79" t="str">
        <x:v>feral</x:v>
      </x:c>
      <x:c r="B7" s="79" t="str">
        <x:v>Feral · Prey 2022</x:v>
      </x:c>
      <x:c r="C7" s="79" t="str">
        <x:v>Prey</x:v>
      </x:c>
      <x:c r="D7" s="79" t="str">
        <x:v>Gauntlet d'équipement et surface d'armure à revoir</x:v>
      </x:c>
      <x:c r="E7" s="79" t="str">
        <x:v>Quatre couches source</x:v>
      </x:c>
      <x:c r="F7" s="79" t="n">
        <x:v>4</x:v>
      </x:c>
      <x:c r="G7" s="79" t="str">
        <x:v>Source-guided blockout</x:v>
      </x:c>
      <x:c r="H7" s="79" t="str">
        <x:v>NON VALIDÉ</x:v>
      </x:c>
      <x:c r="I7" s="79" t="str">
        <x:v>https://www.avpgalaxy.net/2022/07/31/new-prey-tv-spot-shows-feral-predators-cloak-vision-modes-and-gadgets/</x:v>
      </x:c>
    </x:row>
    <x:row r="8" ht="35" customHeight="1">
      <x:c r="A8" s="79" t="str">
        <x:v>dek</x:v>
      </x:c>
      <x:c r="B8" s="79" t="str">
        <x:v>Dek · Badlands 2025</x:v>
      </x:c>
      <x:c r="C8" s="79" t="str">
        <x:v>Predator Badlands</x:v>
      </x:c>
      <x:c r="D8" s="79" t="str">
        <x:v>Équipement de Wētā / scanner du prototype non certifié</x:v>
      </x:c>
      <x:c r="E8" s="79" t="str">
        <x:v>Quatre couches source</x:v>
      </x:c>
      <x:c r="F8" s="79" t="n">
        <x:v>4</x:v>
      </x:c>
      <x:c r="G8" s="79" t="str">
        <x:v>Source-guided blockout</x:v>
      </x:c>
      <x:c r="H8" s="79" t="str">
        <x:v>NON VALIDÉ</x:v>
      </x:c>
      <x:c r="I8" s="79" t="str">
        <x:v>https://www.wetaworkshop.com/projects/predator-badlands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36" hidden="0" customWidth="1"/>
    <x:col min="4" max="4" width="27" hidden="0" customWidth="1"/>
    <x:col min="5" max="5" width="67" hidden="0" customWidth="1"/>
  </x:cols>
  <x:sheetData>
    <x:row r="1" ht="39" customHeight="1">
      <x:c r="A1" s="70" t="str">
        <x:v>V135 · VALIDATION DES QUATRE FAMILLES</x:v>
      </x:c>
      <x:c r="B1" s="70"/>
      <x:c r="C1" s="70"/>
      <x:c r="D1" s="70"/>
      <x:c r="E1" s="70"/>
    </x:row>
    <x:row r="2" ht="38" customHeight="1">
      <x:c r="A2" s="74" t="str">
        <x:v>Le code testé ne prouve pas une fidélité de tournage ; conserver tests source et revue d'image distincts.</x:v>
      </x:c>
      <x:c r="B2" s="74"/>
      <x:c r="C2" s="74"/>
      <x:c r="D2" s="74"/>
      <x:c r="E2" s="74"/>
    </x:row>
    <x:row r="4" ht="32" customHeight="1">
      <x:c r="A4" s="78" t="str">
        <x:v>ID</x:v>
      </x:c>
      <x:c r="B4" s="78" t="str">
        <x:v>Contrôle</x:v>
      </x:c>
      <x:c r="C4" s="78" t="str">
        <x:v>Preuve</x:v>
      </x:c>
      <x:c r="D4" s="78" t="str">
        <x:v>État code</x:v>
      </x:c>
      <x:c r="E4" s="78" t="str">
        <x:v>Manquant</x:v>
      </x:c>
    </x:row>
    <x:row r="5" ht="35" customHeight="1">
      <x:c r="A5" s="79" t="str">
        <x:v>V135-Q01</x:v>
      </x:c>
      <x:c r="B5" s="79" t="str">
        <x:v>Quatre modèles indépendants</x:v>
      </x:c>
      <x:c r="C5" s="79" t="str">
        <x:v>Test CI sur sources</x:v>
      </x:c>
      <x:c r="D5" s="79" t="str">
        <x:v>Code + export CI PASS ; validation artistique non réalisée</x:v>
      </x:c>
      <x:c r="E5" s="79" t="str">
        <x:v>Revues humaines nécessaires</x:v>
      </x:c>
    </x:row>
    <x:row r="6" ht="35" customHeight="1">
      <x:c r="A6" s="79" t="str">
        <x:v>V135-Q02</x:v>
      </x:c>
      <x:c r="B6" s="79" t="str">
        <x:v>16 calques SVG alpha</x:v>
      </x:c>
      <x:c r="C6" s="79" t="str">
        <x:v>V135 pipeline PNG</x:v>
      </x:c>
      <x:c r="D6" s="79" t="str">
        <x:v>Code + export CI PASS ; validation artistique non réalisée</x:v>
      </x:c>
      <x:c r="E6" s="79" t="str">
        <x:v>Validation du rendu et du cadre</x:v>
      </x:c>
    </x:row>
    <x:row r="7" ht="35" customHeight="1">
      <x:c r="A7" s="79" t="str">
        <x:v>V135-Q03</x:v>
      </x:c>
      <x:c r="B7" s="79" t="str">
        <x:v>Couvertures ouvrables</x:v>
      </x:c>
      <x:c r="C7" s="79" t="str">
        <x:v>CSS/React</x:v>
      </x:c>
      <x:c r="D7" s="79" t="str">
        <x:v>Code + export CI PASS ; validation artistique non réalisée</x:v>
      </x:c>
      <x:c r="E7" s="79" t="str">
        <x:v>Parcours navigateur absent</x:v>
      </x:c>
    </x:row>
    <x:row r="8" ht="35" customHeight="1">
      <x:c r="A8" s="79" t="str">
        <x:v>V135-Q04</x:v>
      </x:c>
      <x:c r="B8" s="79" t="str">
        <x:v>No copies of old war simulation</x:v>
      </x:c>
      <x:c r="C8" s="79" t="str">
        <x:v>Same live atlas</x:v>
      </x:c>
      <x:c r="D8" s="79" t="str">
        <x:v>Code + export CI PASS ; validation artistique non réalisée</x:v>
      </x:c>
      <x:c r="E8" s="79" t="str">
        <x:v>Parcours navigateur absent</x:v>
      </x:c>
    </x:row>
    <x:row r="9" ht="35" customHeight="1">
      <x:c r="A9" s="79" t="str">
        <x:v>V135-Q05</x:v>
      </x:c>
      <x:c r="B9" s="79" t="str">
        <x:v>Références City Hunter</x:v>
      </x:c>
      <x:c r="C9" s="79" t="str">
        <x:v>Propstore 2026</x:v>
      </x:c>
      <x:c r="D9" s="79" t="str">
        <x:v>Source accessoire originale signalée ; comparaison visuelle ouverte</x:v>
      </x:c>
      <x:c r="E9" s="79" t="str">
        <x:v>Mesures de vrai accessoire à faire</x:v>
      </x:c>
    </x:row>
    <x:row r="10" ht="35" customHeight="1">
      <x:c r="A10" s="79" t="str">
        <x:v>V135-Q06</x:v>
      </x:c>
      <x:c r="B10" s="79" t="str">
        <x:v>Références Wolf</x:v>
      </x:c>
      <x:c r="C10" s="79" t="str">
        <x:v>Propstore costume ADI</x:v>
      </x:c>
      <x:c r="D10" s="79" t="str">
        <x:v>Source accessoire originale signalée ; comparaison visuelle ouverte</x:v>
      </x:c>
      <x:c r="E10" s="79" t="str">
        <x:v>Glyphe nombre/placement à mesurer</x:v>
      </x:c>
    </x:row>
    <x:row r="11" ht="35" customHeight="1">
      <x:c r="A11" s="79" t="str">
        <x:v>V135-Q07</x:v>
      </x:c>
      <x:c r="B11" s="79" t="str">
        <x:v>Feral : gauntlet film</x:v>
      </x:c>
      <x:c r="C11" s="79" t="str">
        <x:v>TV spot 2022</x:v>
      </x:c>
      <x:c r="D11" s="79" t="str">
        <x:v>Source indicative seulement ; reconstitution 1:1 toujours ouverte</x:v>
      </x:c>
      <x:c r="E11" s="79" t="str">
        <x:v>Étude pièce détaillée à trouver</x:v>
      </x:c>
    </x:row>
    <x:row r="12" ht="35" customHeight="1">
      <x:c r="A12" s="79" t="str">
        <x:v>V135-Q08</x:v>
      </x:c>
      <x:c r="B12" s="79" t="str">
        <x:v>Dek : Wētā</x:v>
      </x:c>
      <x:c r="C12" s="79" t="str">
        <x:v>Atelier fabrication</x:v>
      </x:c>
      <x:c r="D12" s="79" t="str">
        <x:v>Source indicative seulement ; reconstitution 1:1 toujours ouverte</x:v>
      </x:c>
      <x:c r="E12" s="79" t="str">
        <x:v>Scanner exact non certifié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9" hidden="0" customWidth="1"/>
    <x:col min="2" max="2" width="18" hidden="0" customWidth="1"/>
    <x:col min="3" max="3" width="84" hidden="0" customWidth="1"/>
  </x:cols>
  <x:sheetData>
    <x:row r="1" ht="39" customHeight="1">
      <x:c r="A1" s="70" t="str">
        <x:v>V135 · BILAN HISTORIQUE</x:v>
      </x:c>
      <x:c r="B1" s="70"/>
      <x:c r="C1" s="70"/>
    </x:row>
    <x:row r="2" ht="38" customHeight="1">
      <x:c r="A2" s="74" t="str">
        <x:v>État de ce lot : 5 études individuelles au total (Jungle Hunter V134 + 4 familles V135), avant l'ajout des études V136.</x:v>
      </x:c>
      <x:c r="B2" s="74"/>
      <x:c r="C2" s="74"/>
    </x:row>
    <x:row r="4" ht="32" customHeight="1">
      <x:c r="A4" s="78" t="str">
        <x:v>Indicateur</x:v>
      </x:c>
      <x:c r="B4" s="78" t="str">
        <x:v>Nombre</x:v>
      </x:c>
      <x:c r="C4" s="78" t="str">
        <x:v>Explication</x:v>
      </x:c>
    </x:row>
    <x:row r="5" ht="35" customHeight="1">
      <x:c r="A5" s="79" t="str">
        <x:v>Études individuelles avec calques</x:v>
      </x:c>
      <x:c r="B5" s="79" t="n">
        <x:v>5</x:v>
      </x:c>
      <x:c r="C5" s="79" t="str">
        <x:v>Jungle Hunter et quatre héros sourcés</x:v>
      </x:c>
    </x:row>
    <x:row r="6" ht="35" customHeight="1">
      <x:c r="A6" s="79" t="str">
        <x:v>Calques présents dans V134–V135</x:v>
      </x:c>
      <x:c r="B6" s="79" t="n">
        <x:v>23</x:v>
      </x:c>
      <x:c r="C6" s="79" t="str">
        <x:v>7 + 16</x:v>
      </x:c>
    </x:row>
    <x:row r="7" ht="35" customHeight="1">
      <x:c r="A7" s="79" t="str">
        <x:v>Autres modèles encore partagés à cette version</x:v>
      </x:c>
      <x:c r="B7" s="79" t="n">
        <x:v>49</x:v>
      </x:c>
      <x:c r="C7" s="79" t="str">
        <x:v>Corrigés en V136 par des concepts indépendants non canoniques</x:v>
      </x:c>
    </x:row>
    <x:row r="8" ht="35" customHeight="1">
      <x:c r="A8" s="79" t="str">
        <x:v>Assets validés 1:1</x:v>
      </x:c>
      <x:c r="B8" s="79" t="n">
        <x:v>0</x:v>
      </x:c>
      <x:c r="C8" s="79" t="str">
        <x:v>Revue film/prop toujours absente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36" hidden="0" customWidth="1"/>
    <x:col min="5" max="5" width="15" hidden="0" customWidth="1"/>
    <x:col min="6" max="6" width="14" hidden="0" customWidth="1"/>
    <x:col min="7" max="7" width="42" hidden="0" customWidth="1"/>
    <x:col min="8" max="8" width="24" hidden="0" customWidth="1"/>
    <x:col min="9" max="9" width="68" hidden="0" customWidth="1"/>
    <x:col min="10" max="10" width="16" hidden="0" customWidth="1"/>
    <x:col min="11" max="11" width="34" hidden="0" customWidth="1"/>
    <x:col min="12" max="12" width="14" hidden="0" customWidth="1"/>
    <x:col min="13" max="13" width="51" hidden="0" customWidth="1"/>
    <x:col min="14" max="14" width="31" hidden="0" customWidth="1"/>
  </x:cols>
  <x:sheetData>
    <x:row r="1" ht="39" customHeight="1">
      <x:c r="A1" s="70" t="str">
        <x:v>V136 · COUVERTURE DES 54 GAUNTLETS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</x:row>
    <x:row r="2" ht="38" customHeight="1">
      <x:c r="A2" s="74" t="str">
        <x:v>54 sources d'art distinctes disponibles. Seuls les cinq modèles V134/V135 sont guidés par des références graphiques ; les 49 autres sont des créations originales et NON canoniques.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4" ht="32" customHeight="1">
      <x:c r="A4" s="78" t="str">
        <x:v>ID</x:v>
      </x:c>
      <x:c r="B4" s="78" t="str">
        <x:v>Propriétaire / modèle</x:v>
      </x:c>
      <x:c r="C4" s="78" t="str">
        <x:v>Média</x:v>
      </x:c>
      <x:c r="D4" s="78" t="str">
        <x:v>Preuve</x:v>
      </x:c>
      <x:c r="E4" s="78" t="str">
        <x:v>Version art</x:v>
      </x:c>
      <x:c r="F4" s="78" t="str">
        <x:v>Calques</x:v>
      </x:c>
      <x:c r="G4" s="78" t="str">
        <x:v>Niveau de source</x:v>
      </x:c>
      <x:c r="H4" s="78" t="str">
        <x:v>Fidélité 1:1</x:v>
      </x:c>
      <x:c r="I4" s="78" t="str">
        <x:v>URL source</x:v>
      </x:c>
      <x:c r="J4" s="78" t="str">
        <x:v>Thème</x:v>
      </x:c>
      <x:c r="K4" s="78" t="str">
        <x:v>Déblocage</x:v>
      </x:c>
      <x:c r="L4" s="78" t="str">
        <x:v>Priorité</x:v>
      </x:c>
      <x:c r="M4" s="78" t="str">
        <x:v>Manquant art</x:v>
      </x:c>
      <x:c r="N4" s="78" t="str">
        <x:v>Affichage dans jeu</x:v>
      </x:c>
    </x:row>
    <x:row r="5" ht="35" customHeight="1">
      <x:c r="A5" s="79" t="str">
        <x:v>jungle-hunter</x:v>
      </x:c>
      <x:c r="B5" s="79" t="str">
        <x:v>Jungle Hunter · 1987</x:v>
      </x:c>
      <x:c r="C5" s="79" t="str">
        <x:v>Cinéma</x:v>
      </x:c>
      <x:c r="D5" s="79" t="str">
        <x:v>A · accessoire rapproché</x:v>
      </x:c>
      <x:c r="E5" s="79" t="str">
        <x:v>V134</x:v>
      </x:c>
      <x:c r="F5" s="79" t="n">
        <x:v>7</x:v>
      </x:c>
      <x:c r="G5" s="79" t="str">
        <x:v>Référence à confronter au film</x:v>
      </x:c>
      <x:c r="H5" s="79" t="str">
        <x:v>NON VALIDÉ 1:1</x:v>
      </x:c>
      <x:c r="I5" s="79" t="str">
        <x:v>https://store.necaonline.com/products/predator-ultimate-jungle-hunter-7-scale-action-figure</x:v>
      </x:c>
      <x:c r="J5" s="79" t="str">
        <x:v>classic</x:v>
      </x:c>
      <x:c r="K5" s="79" t="str">
        <x:v>Modèle initial</x:v>
      </x:c>
      <x:c r="L5" s="79" t="str">
        <x:v>P0</x:v>
      </x:c>
      <x:c r="M5" s="79" t="str">
        <x:v>À refaire depuis photogrammes contrôlés</x:v>
      </x:c>
      <x:c r="N5" s="79" t="str">
        <x:v>Oui : armurerie + hologramme</x:v>
      </x:c>
    </x:row>
    <x:row r="6" ht="35" customHeight="1">
      <x:c r="A6" s="79" t="str">
        <x:v>city-hunter</x:v>
      </x:c>
      <x:c r="B6" s="79" t="str">
        <x:v>City Hunter · 1990</x:v>
      </x:c>
      <x:c r="C6" s="79" t="str">
        <x:v>Cinéma</x:v>
      </x:c>
      <x:c r="D6" s="79" t="str">
        <x:v>A · accessoire rapproché</x:v>
      </x:c>
      <x:c r="E6" s="79" t="str">
        <x:v>V135</x:v>
      </x:c>
      <x:c r="F6" s="79" t="n">
        <x:v>4</x:v>
      </x:c>
      <x:c r="G6" s="79" t="str">
        <x:v>Référence à confronter au film</x:v>
      </x:c>
      <x:c r="H6" s="79" t="str">
        <x:v>NON VALIDÉ 1:1</x:v>
      </x:c>
      <x:c r="I6" s="79" t="str">
        <x:v>https://propstoreauction.com/lot-details/index/catalog/496/lot/193088/</x:v>
      </x:c>
      <x:c r="J6" s="79" t="str">
        <x:v>urban</x:v>
      </x:c>
      <x:c r="K6" s="79" t="str">
        <x:v>Atelier · rang blooded</x:v>
      </x:c>
      <x:c r="L6" s="79" t="str">
        <x:v>P1</x:v>
      </x:c>
      <x:c r="M6" s="79" t="str">
        <x:v>À refaire depuis photogrammes contrôlés</x:v>
      </x:c>
      <x:c r="N6" s="79" t="str">
        <x:v>Oui : armurerie + hologramme</x:v>
      </x:c>
    </x:row>
    <x:row r="7" ht="35" customHeight="1">
      <x:c r="A7" s="79" t="str">
        <x:v>greyback</x:v>
      </x:c>
      <x:c r="B7" s="79" t="str">
        <x:v>Greyback / Elder · 1990</x:v>
      </x:c>
      <x:c r="C7" s="79" t="str">
        <x:v>Cinéma</x:v>
      </x:c>
      <x:c r="D7" s="79" t="str">
        <x:v>C · personnage ou classe seulement</x:v>
      </x:c>
      <x:c r="E7" s="79" t="str">
        <x:v>V136</x:v>
      </x:c>
      <x:c r="F7" s="79" t="n">
        <x:v>4</x:v>
      </x:c>
      <x:c r="G7" s="79" t="str">
        <x:v>Concept ORIGINAL non canonique</x:v>
      </x:c>
      <x:c r="H7" s="79" t="str">
        <x:v>NON VALIDÉ 1:1</x:v>
      </x:c>
      <x:c r="I7" s="79" t="str">
        <x:v>https://www.20thcenturystudios.com/movies/predator-2</x:v>
      </x:c>
      <x:c r="J7" s="79" t="str">
        <x:v>elder</x:v>
      </x:c>
      <x:c r="K7" s="79" t="str">
        <x:v>Atelier · rang elder</x:v>
      </x:c>
      <x:c r="L7" s="79" t="str">
        <x:v>P1</x:v>
      </x:c>
      <x:c r="M7" s="79" t="str">
        <x:v>À refaire depuis photogrammes contrôlés</x:v>
      </x:c>
      <x:c r="N7" s="79" t="str">
        <x:v>Oui : armurerie + hologramme</x:v>
      </x:c>
    </x:row>
    <x:row r="8" ht="35" customHeight="1">
      <x:c r="A8" s="79" t="str">
        <x:v>lost-boar</x:v>
      </x:c>
      <x:c r="B8" s="79" t="str">
        <x:v>Boar · Lost Tribe</x:v>
      </x:c>
      <x:c r="C8" s="79" t="str">
        <x:v>Cinéma</x:v>
      </x:c>
      <x:c r="D8" s="79" t="str">
        <x:v>C · personnage ou classe seulement</x:v>
      </x:c>
      <x:c r="E8" s="79" t="str">
        <x:v>V136</x:v>
      </x:c>
      <x:c r="F8" s="79" t="n">
        <x:v>4</x:v>
      </x:c>
      <x:c r="G8" s="79" t="str">
        <x:v>Concept ORIGINAL non canonique</x:v>
      </x:c>
      <x:c r="H8" s="79" t="str">
        <x:v>NON VALIDÉ 1:1</x:v>
      </x:c>
      <x:c r="I8" s="79" t="str">
        <x:v>https://store.necaonline.com/blogs/news/predators-introducing-the-lost-tribe-from-our-series-6-action-figures</x:v>
      </x:c>
      <x:c r="J8" s="79" t="str">
        <x:v>bronze</x:v>
      </x:c>
      <x:c r="K8" s="79" t="str">
        <x:v>Quête / défi réservé (non connecté)</x:v>
      </x:c>
      <x:c r="L8" s="79" t="str">
        <x:v>P2</x:v>
      </x:c>
      <x:c r="M8" s="79" t="str">
        <x:v>À refaire depuis photogrammes contrôlés</x:v>
      </x:c>
      <x:c r="N8" s="79" t="str">
        <x:v>Oui : armurerie + hologramme</x:v>
      </x:c>
    </x:row>
    <x:row r="9" ht="35" customHeight="1">
      <x:c r="A9" s="79" t="str">
        <x:v>lost-shaman</x:v>
      </x:c>
      <x:c r="B9" s="79" t="str">
        <x:v>Shaman · Lost Tribe</x:v>
      </x:c>
      <x:c r="C9" s="79" t="str">
        <x:v>Cinéma</x:v>
      </x:c>
      <x:c r="D9" s="79" t="str">
        <x:v>C · personnage ou classe seulement</x:v>
      </x:c>
      <x:c r="E9" s="79" t="str">
        <x:v>V136</x:v>
      </x:c>
      <x:c r="F9" s="79" t="n">
        <x:v>4</x:v>
      </x:c>
      <x:c r="G9" s="79" t="str">
        <x:v>Concept ORIGINAL non canonique</x:v>
      </x:c>
      <x:c r="H9" s="79" t="str">
        <x:v>NON VALIDÉ 1:1</x:v>
      </x:c>
      <x:c r="I9" s="79" t="str">
        <x:v>https://store.necaonline.com/blogs/news/predators-introducing-the-lost-tribe-from-our-series-6-action-figures</x:v>
      </x:c>
      <x:c r="J9" s="79" t="str">
        <x:v>elder</x:v>
      </x:c>
      <x:c r="K9" s="79" t="str">
        <x:v>Quête / défi réservé (non connecté)</x:v>
      </x:c>
      <x:c r="L9" s="79" t="str">
        <x:v>P2</x:v>
      </x:c>
      <x:c r="M9" s="79" t="str">
        <x:v>À refaire depuis photogrammes contrôlés</x:v>
      </x:c>
      <x:c r="N9" s="79" t="str">
        <x:v>Oui : armurerie + hologramme</x:v>
      </x:c>
    </x:row>
    <x:row r="10" ht="35" customHeight="1">
      <x:c r="A10" s="79" t="str">
        <x:v>lost-guardian</x:v>
      </x:c>
      <x:c r="B10" s="79" t="str">
        <x:v>Guardian · Lost Tribe</x:v>
      </x:c>
      <x:c r="C10" s="79" t="str">
        <x:v>Cinéma</x:v>
      </x:c>
      <x:c r="D10" s="79" t="str">
        <x:v>C · personnage ou classe seulement</x:v>
      </x:c>
      <x:c r="E10" s="79" t="str">
        <x:v>V136</x:v>
      </x:c>
      <x:c r="F10" s="79" t="n">
        <x:v>4</x:v>
      </x:c>
      <x:c r="G10" s="79" t="str">
        <x:v>Concept ORIGINAL non canonique</x:v>
      </x:c>
      <x:c r="H10" s="79" t="str">
        <x:v>NON VALIDÉ 1:1</x:v>
      </x:c>
      <x:c r="I10" s="79" t="str">
        <x:v>https://store.necaonline.com/blogs/news/predators-introducing-the-lost-tribe-from-our-series-6-action-figures</x:v>
      </x:c>
      <x:c r="J10" s="79" t="str">
        <x:v>urban</x:v>
      </x:c>
      <x:c r="K10" s="79" t="str">
        <x:v>Quête / défi réservé (non connecté)</x:v>
      </x:c>
      <x:c r="L10" s="79" t="str">
        <x:v>P2</x:v>
      </x:c>
      <x:c r="M10" s="79" t="str">
        <x:v>À refaire depuis photogrammes contrôlés</x:v>
      </x:c>
      <x:c r="N10" s="79" t="str">
        <x:v>Oui : armurerie + hologramme</x:v>
      </x:c>
    </x:row>
    <x:row r="11" ht="35" customHeight="1">
      <x:c r="A11" s="79" t="str">
        <x:v>lost-stalker</x:v>
      </x:c>
      <x:c r="B11" s="79" t="str">
        <x:v>Stalker · Lost Tribe</x:v>
      </x:c>
      <x:c r="C11" s="79" t="str">
        <x:v>Cinéma</x:v>
      </x:c>
      <x:c r="D11" s="79" t="str">
        <x:v>C · personnage ou classe seulement</x:v>
      </x:c>
      <x:c r="E11" s="79" t="str">
        <x:v>V136</x:v>
      </x:c>
      <x:c r="F11" s="79" t="n">
        <x:v>4</x:v>
      </x:c>
      <x:c r="G11" s="79" t="str">
        <x:v>Concept ORIGINAL non canonique</x:v>
      </x:c>
      <x:c r="H11" s="79" t="str">
        <x:v>NON VALIDÉ 1:1</x:v>
      </x:c>
      <x:c r="I11" s="79" t="str">
        <x:v>https://store.necaonline.com/blogs/news/predators-introducing-the-lost-tribe-from-our-series-6-action-figures</x:v>
      </x:c>
      <x:c r="J11" s="79" t="str">
        <x:v>stealth</x:v>
      </x:c>
      <x:c r="K11" s="79" t="str">
        <x:v>Quête / défi réservé (non connecté)</x:v>
      </x:c>
      <x:c r="L11" s="79" t="str">
        <x:v>P2</x:v>
      </x:c>
      <x:c r="M11" s="79" t="str">
        <x:v>À refaire depuis photogrammes contrôlés</x:v>
      </x:c>
      <x:c r="N11" s="79" t="str">
        <x:v>Oui : armurerie + hologramme</x:v>
      </x:c>
    </x:row>
    <x:row r="12" ht="35" customHeight="1">
      <x:c r="A12" s="79" t="str">
        <x:v>lost-snake</x:v>
      </x:c>
      <x:c r="B12" s="79" t="str">
        <x:v>Snake · Lost Tribe</x:v>
      </x:c>
      <x:c r="C12" s="79" t="str">
        <x:v>Cinéma</x:v>
      </x:c>
      <x:c r="D12" s="79" t="str">
        <x:v>C · personnage ou classe seulement</x:v>
      </x:c>
      <x:c r="E12" s="79" t="str">
        <x:v>V136</x:v>
      </x:c>
      <x:c r="F12" s="79" t="n">
        <x:v>4</x:v>
      </x:c>
      <x:c r="G12" s="79" t="str">
        <x:v>Concept ORIGINAL non canonique</x:v>
      </x:c>
      <x:c r="H12" s="79" t="str">
        <x:v>NON VALIDÉ 1:1</x:v>
      </x:c>
      <x:c r="I12" s="79" t="str">
        <x:v>https://store.necaonline.com/blogs/news/predators-introducing-the-lost-tribe-from-our-series-6-action-figures</x:v>
      </x:c>
      <x:c r="J12" s="79" t="str">
        <x:v>stealth</x:v>
      </x:c>
      <x:c r="K12" s="79" t="str">
        <x:v>Quête / défi réservé (non connecté)</x:v>
      </x:c>
      <x:c r="L12" s="79" t="str">
        <x:v>P2</x:v>
      </x:c>
      <x:c r="M12" s="79" t="str">
        <x:v>À refaire depuis photogrammes contrôlés</x:v>
      </x:c>
      <x:c r="N12" s="79" t="str">
        <x:v>Oui : armurerie + hologramme</x:v>
      </x:c>
    </x:row>
    <x:row r="13" ht="35" customHeight="1">
      <x:c r="A13" s="79" t="str">
        <x:v>lost-warrior</x:v>
      </x:c>
      <x:c r="B13" s="79" t="str">
        <x:v>Warrior · Lost Tribe</x:v>
      </x:c>
      <x:c r="C13" s="79" t="str">
        <x:v>Cinéma</x:v>
      </x:c>
      <x:c r="D13" s="79" t="str">
        <x:v>C · personnage ou classe seulement</x:v>
      </x:c>
      <x:c r="E13" s="79" t="str">
        <x:v>V136</x:v>
      </x:c>
      <x:c r="F13" s="79" t="n">
        <x:v>4</x:v>
      </x:c>
      <x:c r="G13" s="79" t="str">
        <x:v>Concept ORIGINAL non canonique</x:v>
      </x:c>
      <x:c r="H13" s="79" t="str">
        <x:v>NON VALIDÉ 1:1</x:v>
      </x:c>
      <x:c r="I13" s="79" t="str">
        <x:v>https://store.necaonline.com/blogs/news/predators-introducing-the-lost-tribe-from-our-series-6-action-figures</x:v>
      </x:c>
      <x:c r="J13" s="79" t="str">
        <x:v>bronze</x:v>
      </x:c>
      <x:c r="K13" s="79" t="str">
        <x:v>Quête / défi réservé (non connecté)</x:v>
      </x:c>
      <x:c r="L13" s="79" t="str">
        <x:v>P2</x:v>
      </x:c>
      <x:c r="M13" s="79" t="str">
        <x:v>À refaire depuis photogrammes contrôlés</x:v>
      </x:c>
      <x:c r="N13" s="79" t="str">
        <x:v>Oui : armurerie + hologramme</x:v>
      </x:c>
    </x:row>
    <x:row r="14" ht="35" customHeight="1">
      <x:c r="A14" s="79" t="str">
        <x:v>lost-scout</x:v>
      </x:c>
      <x:c r="B14" s="79" t="str">
        <x:v>Scout · Lost Tribe</x:v>
      </x:c>
      <x:c r="C14" s="79" t="str">
        <x:v>Cinéma</x:v>
      </x:c>
      <x:c r="D14" s="79" t="str">
        <x:v>C · personnage ou classe seulement</x:v>
      </x:c>
      <x:c r="E14" s="79" t="str">
        <x:v>V136</x:v>
      </x:c>
      <x:c r="F14" s="79" t="n">
        <x:v>4</x:v>
      </x:c>
      <x:c r="G14" s="79" t="str">
        <x:v>Concept ORIGINAL non canonique</x:v>
      </x:c>
      <x:c r="H14" s="79" t="str">
        <x:v>NON VALIDÉ 1:1</x:v>
      </x:c>
      <x:c r="I14" s="79" t="str">
        <x:v>https://store.necaonline.com/blogs/news/predators-introducing-the-lost-tribe-from-our-series-6-action-figures</x:v>
      </x:c>
      <x:c r="J14" s="79" t="str">
        <x:v>stealth</x:v>
      </x:c>
      <x:c r="K14" s="79" t="str">
        <x:v>Quête / défi réservé (non connecté)</x:v>
      </x:c>
      <x:c r="L14" s="79" t="str">
        <x:v>P2</x:v>
      </x:c>
      <x:c r="M14" s="79" t="str">
        <x:v>À refaire depuis photogrammes contrôlés</x:v>
      </x:c>
      <x:c r="N14" s="79" t="str">
        <x:v>Oui : armurerie + hologramme</x:v>
      </x:c>
    </x:row>
    <x:row r="15" ht="35" customHeight="1">
      <x:c r="A15" s="79" t="str">
        <x:v>lost-borg</x:v>
      </x:c>
      <x:c r="B15" s="79" t="str">
        <x:v>Lost / Borg · Lost Tribe</x:v>
      </x:c>
      <x:c r="C15" s="79" t="str">
        <x:v>Cinéma</x:v>
      </x:c>
      <x:c r="D15" s="79" t="str">
        <x:v>C · personnage ou classe seulement</x:v>
      </x:c>
      <x:c r="E15" s="79" t="str">
        <x:v>V136</x:v>
      </x:c>
      <x:c r="F15" s="79" t="n">
        <x:v>4</x:v>
      </x:c>
      <x:c r="G15" s="79" t="str">
        <x:v>Concept ORIGINAL non canonique</x:v>
      </x:c>
      <x:c r="H15" s="79" t="str">
        <x:v>NON VALIDÉ 1:1</x:v>
      </x:c>
      <x:c r="I15" s="79" t="str">
        <x:v>https://store.necaonline.com/blogs/news/predators-introducing-the-lost-tribe-from-our-series-6-action-figures</x:v>
      </x:c>
      <x:c r="J15" s="79" t="str">
        <x:v>urban</x:v>
      </x:c>
      <x:c r="K15" s="79" t="str">
        <x:v>Quête / défi réservé (non connecté)</x:v>
      </x:c>
      <x:c r="L15" s="79" t="str">
        <x:v>P2</x:v>
      </x:c>
      <x:c r="M15" s="79" t="str">
        <x:v>À refaire depuis photogrammes contrôlés</x:v>
      </x:c>
      <x:c r="N15" s="79" t="str">
        <x:v>Oui : armurerie + hologramme</x:v>
      </x:c>
    </x:row>
    <x:row r="16" ht="35" customHeight="1">
      <x:c r="A16" s="79" t="str">
        <x:v>scar</x:v>
      </x:c>
      <x:c r="B16" s="79" t="str">
        <x:v>Scar · AVP 2004</x:v>
      </x:c>
      <x:c r="C16" s="79" t="str">
        <x:v>Cinéma</x:v>
      </x:c>
      <x:c r="D16" s="79" t="str">
        <x:v>B · costume/concept officiel</x:v>
      </x:c>
      <x:c r="E16" s="79" t="str">
        <x:v>V136</x:v>
      </x:c>
      <x:c r="F16" s="79" t="n">
        <x:v>4</x:v>
      </x:c>
      <x:c r="G16" s="79" t="str">
        <x:v>Concept ORIGINAL non canonique</x:v>
      </x:c>
      <x:c r="H16" s="79" t="str">
        <x:v>NON VALIDÉ 1:1</x:v>
      </x:c>
      <x:c r="I16" s="79" t="str">
        <x:v>https://predator.illfonic.com/</x:v>
      </x:c>
      <x:c r="J16" s="79" t="str">
        <x:v>scar</x:v>
      </x:c>
      <x:c r="K16" s="79" t="str">
        <x:v>Atelier · rang blooded</x:v>
      </x:c>
      <x:c r="L16" s="79" t="str">
        <x:v>P1</x:v>
      </x:c>
      <x:c r="M16" s="79" t="str">
        <x:v>À refaire depuis photogrammes contrôlés</x:v>
      </x:c>
      <x:c r="N16" s="79" t="str">
        <x:v>Oui : armurerie + hologramme</x:v>
      </x:c>
    </x:row>
    <x:row r="17" ht="35" customHeight="1">
      <x:c r="A17" s="79" t="str">
        <x:v>celtic</x:v>
      </x:c>
      <x:c r="B17" s="79" t="str">
        <x:v>Celtic · AVP 2004</x:v>
      </x:c>
      <x:c r="C17" s="79" t="str">
        <x:v>Cinéma</x:v>
      </x:c>
      <x:c r="D17" s="79" t="str">
        <x:v>C · personnage ou classe seulement</x:v>
      </x:c>
      <x:c r="E17" s="79" t="str">
        <x:v>V136</x:v>
      </x:c>
      <x:c r="F17" s="79" t="n">
        <x:v>4</x:v>
      </x:c>
      <x:c r="G17" s="79" t="str">
        <x:v>Concept ORIGINAL non canonique</x:v>
      </x:c>
      <x:c r="H17" s="79" t="str">
        <x:v>NON VALIDÉ 1:1</x:v>
      </x:c>
      <x:c r="I17" s="79" t="str">
        <x:v>https://predator.illfonic.com/</x:v>
      </x:c>
      <x:c r="J17" s="79" t="str">
        <x:v>scar</x:v>
      </x:c>
      <x:c r="K17" s="79" t="str">
        <x:v>Quête / défi réservé (non connecté)</x:v>
      </x:c>
      <x:c r="L17" s="79" t="str">
        <x:v>P2</x:v>
      </x:c>
      <x:c r="M17" s="79" t="str">
        <x:v>À refaire depuis photogrammes contrôlés</x:v>
      </x:c>
      <x:c r="N17" s="79" t="str">
        <x:v>Oui : armurerie + hologramme</x:v>
      </x:c>
    </x:row>
    <x:row r="18" ht="35" customHeight="1">
      <x:c r="A18" s="79" t="str">
        <x:v>chopper</x:v>
      </x:c>
      <x:c r="B18" s="79" t="str">
        <x:v>Chopper · AVP 2004</x:v>
      </x:c>
      <x:c r="C18" s="79" t="str">
        <x:v>Cinéma</x:v>
      </x:c>
      <x:c r="D18" s="79" t="str">
        <x:v>C · personnage ou classe seulement</x:v>
      </x:c>
      <x:c r="E18" s="79" t="str">
        <x:v>V136</x:v>
      </x:c>
      <x:c r="F18" s="79" t="n">
        <x:v>4</x:v>
      </x:c>
      <x:c r="G18" s="79" t="str">
        <x:v>Concept ORIGINAL non canonique</x:v>
      </x:c>
      <x:c r="H18" s="79" t="str">
        <x:v>NON VALIDÉ 1:1</x:v>
      </x:c>
      <x:c r="I18" s="79" t="str">
        <x:v>https://predator.illfonic.com/</x:v>
      </x:c>
      <x:c r="J18" s="79" t="str">
        <x:v>scar</x:v>
      </x:c>
      <x:c r="K18" s="79" t="str">
        <x:v>Quête / défi réservé (non connecté)</x:v>
      </x:c>
      <x:c r="L18" s="79" t="str">
        <x:v>P2</x:v>
      </x:c>
      <x:c r="M18" s="79" t="str">
        <x:v>À refaire depuis photogrammes contrôlés</x:v>
      </x:c>
      <x:c r="N18" s="79" t="str">
        <x:v>Oui : armurerie + hologramme</x:v>
      </x:c>
    </x:row>
    <x:row r="19" ht="35" customHeight="1">
      <x:c r="A19" s="79" t="str">
        <x:v>avp-elder</x:v>
      </x:c>
      <x:c r="B19" s="79" t="str">
        <x:v>Elder · AVP 2004</x:v>
      </x:c>
      <x:c r="C19" s="79" t="str">
        <x:v>Cinéma</x:v>
      </x:c>
      <x:c r="D19" s="79" t="str">
        <x:v>C · personnage ou classe seulement</x:v>
      </x:c>
      <x:c r="E19" s="79" t="str">
        <x:v>V136</x:v>
      </x:c>
      <x:c r="F19" s="79" t="n">
        <x:v>4</x:v>
      </x:c>
      <x:c r="G19" s="79" t="str">
        <x:v>Concept ORIGINAL non canonique</x:v>
      </x:c>
      <x:c r="H19" s="79" t="str">
        <x:v>NON VALIDÉ 1:1</x:v>
      </x:c>
      <x:c r="I19" s="79" t="str">
        <x:v>https://www.avpgalaxy.net/merch/neca/predator/series/</x:v>
      </x:c>
      <x:c r="J19" s="79" t="str">
        <x:v>elder</x:v>
      </x:c>
      <x:c r="K19" s="79" t="str">
        <x:v>Quête / défi réservé (non connecté)</x:v>
      </x:c>
      <x:c r="L19" s="79" t="str">
        <x:v>P2</x:v>
      </x:c>
      <x:c r="M19" s="79" t="str">
        <x:v>À refaire depuis photogrammes contrôlés</x:v>
      </x:c>
      <x:c r="N19" s="79" t="str">
        <x:v>Oui : armurerie + hologramme</x:v>
      </x:c>
    </x:row>
    <x:row r="20" ht="35" customHeight="1">
      <x:c r="A20" s="79" t="str">
        <x:v>wolf</x:v>
      </x:c>
      <x:c r="B20" s="79" t="str">
        <x:v>Wolf · AVP-R 2007</x:v>
      </x:c>
      <x:c r="C20" s="79" t="str">
        <x:v>Cinéma</x:v>
      </x:c>
      <x:c r="D20" s="79" t="str">
        <x:v>B · costume/concept officiel</x:v>
      </x:c>
      <x:c r="E20" s="79" t="str">
        <x:v>V135</x:v>
      </x:c>
      <x:c r="F20" s="79" t="n">
        <x:v>4</x:v>
      </x:c>
      <x:c r="G20" s="79" t="str">
        <x:v>Référence à confronter au film</x:v>
      </x:c>
      <x:c r="H20" s="79" t="str">
        <x:v>NON VALIDÉ 1:1</x:v>
      </x:c>
      <x:c r="I20" s="79" t="str">
        <x:v>https://propstoreauction.com/lot-details/index/catalog/347/lot/112704</x:v>
      </x:c>
      <x:c r="J20" s="79" t="str">
        <x:v>wolf</x:v>
      </x:c>
      <x:c r="K20" s="79" t="str">
        <x:v>Atelier · rang elite</x:v>
      </x:c>
      <x:c r="L20" s="79" t="str">
        <x:v>P1</x:v>
      </x:c>
      <x:c r="M20" s="79" t="str">
        <x:v>À refaire depuis photogrammes contrôlés</x:v>
      </x:c>
      <x:c r="N20" s="79" t="str">
        <x:v>Oui : armurerie + hologramme</x:v>
      </x:c>
    </x:row>
    <x:row r="21" ht="35" customHeight="1">
      <x:c r="A21" s="79" t="str">
        <x:v>captured-classic</x:v>
      </x:c>
      <x:c r="B21" s="79" t="str">
        <x:v>Captured / Classic · Predators 2010</x:v>
      </x:c>
      <x:c r="C21" s="79" t="str">
        <x:v>Cinéma</x:v>
      </x:c>
      <x:c r="D21" s="79" t="str">
        <x:v>B · costume/concept officiel</x:v>
      </x:c>
      <x:c r="E21" s="79" t="str">
        <x:v>V136</x:v>
      </x:c>
      <x:c r="F21" s="79" t="n">
        <x:v>4</x:v>
      </x:c>
      <x:c r="G21" s="79" t="str">
        <x:v>Concept ORIGINAL non canonique</x:v>
      </x:c>
      <x:c r="H21" s="79" t="str">
        <x:v>NON VALIDÉ 1:1</x:v>
      </x:c>
      <x:c r="I21" s="79" t="str">
        <x:v>https://predator.illfonic.com/</x:v>
      </x:c>
      <x:c r="J21" s="79" t="str">
        <x:v>classic</x:v>
      </x:c>
      <x:c r="K21" s="79" t="str">
        <x:v>Atelier · rang blooded</x:v>
      </x:c>
      <x:c r="L21" s="79" t="str">
        <x:v>P1</x:v>
      </x:c>
      <x:c r="M21" s="79" t="str">
        <x:v>À refaire depuis photogrammes contrôlés</x:v>
      </x:c>
      <x:c r="N21" s="79" t="str">
        <x:v>Oui : armurerie + hologramme</x:v>
      </x:c>
    </x:row>
    <x:row r="22" ht="35" customHeight="1">
      <x:c r="A22" s="79" t="str">
        <x:v>berserker-2010</x:v>
      </x:c>
      <x:c r="B22" s="79" t="str">
        <x:v>Mr Black / Berserker · 2010</x:v>
      </x:c>
      <x:c r="C22" s="79" t="str">
        <x:v>Cinéma</x:v>
      </x:c>
      <x:c r="D22" s="79" t="str">
        <x:v>C · personnage ou classe seulement</x:v>
      </x:c>
      <x:c r="E22" s="79" t="str">
        <x:v>V136</x:v>
      </x:c>
      <x:c r="F22" s="79" t="n">
        <x:v>4</x:v>
      </x:c>
      <x:c r="G22" s="79" t="str">
        <x:v>Concept ORIGINAL non canonique</x:v>
      </x:c>
      <x:c r="H22" s="79" t="str">
        <x:v>NON VALIDÉ 1:1</x:v>
      </x:c>
      <x:c r="I22" s="79" t="str">
        <x:v>https://predator.illfonic.com/</x:v>
      </x:c>
      <x:c r="J22" s="79" t="str">
        <x:v>brutal</x:v>
      </x:c>
      <x:c r="K22" s="79" t="str">
        <x:v>Quête / défi réservé (non connecté)</x:v>
      </x:c>
      <x:c r="L22" s="79" t="str">
        <x:v>P2</x:v>
      </x:c>
      <x:c r="M22" s="79" t="str">
        <x:v>À refaire depuis photogrammes contrôlés</x:v>
      </x:c>
      <x:c r="N22" s="79" t="str">
        <x:v>Oui : armurerie + hologramme</x:v>
      </x:c>
    </x:row>
    <x:row r="23" ht="35" customHeight="1">
      <x:c r="A23" s="79" t="str">
        <x:v>falconer-2010</x:v>
      </x:c>
      <x:c r="B23" s="79" t="str">
        <x:v>Falconer · 2010</x:v>
      </x:c>
      <x:c r="C23" s="79" t="str">
        <x:v>Cinéma</x:v>
      </x:c>
      <x:c r="D23" s="79" t="str">
        <x:v>C · personnage ou classe seulement</x:v>
      </x:c>
      <x:c r="E23" s="79" t="str">
        <x:v>V136</x:v>
      </x:c>
      <x:c r="F23" s="79" t="n">
        <x:v>4</x:v>
      </x:c>
      <x:c r="G23" s="79" t="str">
        <x:v>Concept ORIGINAL non canonique</x:v>
      </x:c>
      <x:c r="H23" s="79" t="str">
        <x:v>NON VALIDÉ 1:1</x:v>
      </x:c>
      <x:c r="I23" s="79" t="str">
        <x:v>https://predator.illfonic.com/</x:v>
      </x:c>
      <x:c r="J23" s="79" t="str">
        <x:v>stealth</x:v>
      </x:c>
      <x:c r="K23" s="79" t="str">
        <x:v>Quête / défi réservé (non connecté)</x:v>
      </x:c>
      <x:c r="L23" s="79" t="str">
        <x:v>P2</x:v>
      </x:c>
      <x:c r="M23" s="79" t="str">
        <x:v>À refaire depuis photogrammes contrôlés</x:v>
      </x:c>
      <x:c r="N23" s="79" t="str">
        <x:v>Oui : armurerie + hologramme</x:v>
      </x:c>
    </x:row>
    <x:row r="24" ht="35" customHeight="1">
      <x:c r="A24" s="79" t="str">
        <x:v>tracker-2010</x:v>
      </x:c>
      <x:c r="B24" s="79" t="str">
        <x:v>Tracker · 2010</x:v>
      </x:c>
      <x:c r="C24" s="79" t="str">
        <x:v>Cinéma</x:v>
      </x:c>
      <x:c r="D24" s="79" t="str">
        <x:v>C · personnage ou classe seulement</x:v>
      </x:c>
      <x:c r="E24" s="79" t="str">
        <x:v>V136</x:v>
      </x:c>
      <x:c r="F24" s="79" t="n">
        <x:v>4</x:v>
      </x:c>
      <x:c r="G24" s="79" t="str">
        <x:v>Concept ORIGINAL non canonique</x:v>
      </x:c>
      <x:c r="H24" s="79" t="str">
        <x:v>NON VALIDÉ 1:1</x:v>
      </x:c>
      <x:c r="I24" s="79" t="str">
        <x:v>https://predator.illfonic.com/</x:v>
      </x:c>
      <x:c r="J24" s="79" t="str">
        <x:v>brutal</x:v>
      </x:c>
      <x:c r="K24" s="79" t="str">
        <x:v>Quête / défi réservé (non connecté)</x:v>
      </x:c>
      <x:c r="L24" s="79" t="str">
        <x:v>P2</x:v>
      </x:c>
      <x:c r="M24" s="79" t="str">
        <x:v>À refaire depuis photogrammes contrôlés</x:v>
      </x:c>
      <x:c r="N24" s="79" t="str">
        <x:v>Oui : armurerie + hologramme</x:v>
      </x:c>
    </x:row>
    <x:row r="25" ht="35" customHeight="1">
      <x:c r="A25" s="79" t="str">
        <x:v>fugitive</x:v>
      </x:c>
      <x:c r="B25" s="79" t="str">
        <x:v>Fugitive · The Predator 2018</x:v>
      </x:c>
      <x:c r="C25" s="79" t="str">
        <x:v>Cinéma</x:v>
      </x:c>
      <x:c r="D25" s="79" t="str">
        <x:v>B · costume/concept officiel</x:v>
      </x:c>
      <x:c r="E25" s="79" t="str">
        <x:v>V136</x:v>
      </x:c>
      <x:c r="F25" s="79" t="n">
        <x:v>4</x:v>
      </x:c>
      <x:c r="G25" s="79" t="str">
        <x:v>Concept ORIGINAL non canonique</x:v>
      </x:c>
      <x:c r="H25" s="79" t="str">
        <x:v>NON VALIDÉ 1:1</x:v>
      </x:c>
      <x:c r="I25" s="79" t="str">
        <x:v>https://www.avpgalaxy.net/merch/neca/predator/series/</x:v>
      </x:c>
      <x:c r="J25" s="79" t="str">
        <x:v>urban</x:v>
      </x:c>
      <x:c r="K25" s="79" t="str">
        <x:v>Atelier · rang elite</x:v>
      </x:c>
      <x:c r="L25" s="79" t="str">
        <x:v>P2</x:v>
      </x:c>
      <x:c r="M25" s="79" t="str">
        <x:v>À refaire depuis photogrammes contrôlés</x:v>
      </x:c>
      <x:c r="N25" s="79" t="str">
        <x:v>Oui : armurerie + hologramme</x:v>
      </x:c>
    </x:row>
    <x:row r="26" ht="35" customHeight="1">
      <x:c r="A26" s="79" t="str">
        <x:v>assassin</x:v>
      </x:c>
      <x:c r="B26" s="79" t="str">
        <x:v>Upgrade / Assassin · The Predator 2018</x:v>
      </x:c>
      <x:c r="C26" s="79" t="str">
        <x:v>Cinéma</x:v>
      </x:c>
      <x:c r="D26" s="79" t="str">
        <x:v>C · personnage ou classe seulement</x:v>
      </x:c>
      <x:c r="E26" s="79" t="str">
        <x:v>V136</x:v>
      </x:c>
      <x:c r="F26" s="79" t="n">
        <x:v>4</x:v>
      </x:c>
      <x:c r="G26" s="79" t="str">
        <x:v>Concept ORIGINAL non canonique</x:v>
      </x:c>
      <x:c r="H26" s="79" t="str">
        <x:v>NON VALIDÉ 1:1</x:v>
      </x:c>
      <x:c r="I26" s="79" t="str">
        <x:v>https://www.avpgalaxy.net/merch/neca/predator/series/</x:v>
      </x:c>
      <x:c r="J26" s="79" t="str">
        <x:v>brutal</x:v>
      </x:c>
      <x:c r="K26" s="79" t="str">
        <x:v>Quête / défi réservé (non connecté)</x:v>
      </x:c>
      <x:c r="L26" s="79" t="str">
        <x:v>P2</x:v>
      </x:c>
      <x:c r="M26" s="79" t="str">
        <x:v>À refaire depuis photogrammes contrôlés</x:v>
      </x:c>
      <x:c r="N26" s="79" t="str">
        <x:v>Oui : armurerie + hologramme</x:v>
      </x:c>
    </x:row>
    <x:row r="27" ht="35" customHeight="1">
      <x:c r="A27" s="79" t="str">
        <x:v>feral</x:v>
      </x:c>
      <x:c r="B27" s="79" t="str">
        <x:v>Feral · Prey 2022</x:v>
      </x:c>
      <x:c r="C27" s="79" t="str">
        <x:v>Cinéma</x:v>
      </x:c>
      <x:c r="D27" s="79" t="str">
        <x:v>B · costume/concept officiel</x:v>
      </x:c>
      <x:c r="E27" s="79" t="str">
        <x:v>V135</x:v>
      </x:c>
      <x:c r="F27" s="79" t="n">
        <x:v>4</x:v>
      </x:c>
      <x:c r="G27" s="79" t="str">
        <x:v>Référence à confronter au film</x:v>
      </x:c>
      <x:c r="H27" s="79" t="str">
        <x:v>NON VALIDÉ 1:1</x:v>
      </x:c>
      <x:c r="I27" s="79" t="str">
        <x:v>https://www.avpgalaxy.net/2022/07/31/new-prey-tv-spot-shows-feral-predators-cloak-vision-modes-and-gadgets/</x:v>
      </x:c>
      <x:c r="J27" s="79" t="str">
        <x:v>feral</x:v>
      </x:c>
      <x:c r="K27" s="79" t="str">
        <x:v>Atelier · rang elite</x:v>
      </x:c>
      <x:c r="L27" s="79" t="str">
        <x:v>P1</x:v>
      </x:c>
      <x:c r="M27" s="79" t="str">
        <x:v>À refaire depuis photogrammes contrôlés</x:v>
      </x:c>
      <x:c r="N27" s="79" t="str">
        <x:v>Oui : armurerie + hologramme</x:v>
      </x:c>
    </x:row>
    <x:row r="28" ht="35" customHeight="1">
      <x:c r="A28" s="79" t="str">
        <x:v>dek</x:v>
      </x:c>
      <x:c r="B28" s="79" t="str">
        <x:v>Dek · Badlands 2025</x:v>
      </x:c>
      <x:c r="C28" s="79" t="str">
        <x:v>Cinéma</x:v>
      </x:c>
      <x:c r="D28" s="79" t="str">
        <x:v>B · costume/concept officiel</x:v>
      </x:c>
      <x:c r="E28" s="79" t="str">
        <x:v>V135</x:v>
      </x:c>
      <x:c r="F28" s="79" t="n">
        <x:v>4</x:v>
      </x:c>
      <x:c r="G28" s="79" t="str">
        <x:v>Référence à confronter au film</x:v>
      </x:c>
      <x:c r="H28" s="79" t="str">
        <x:v>NON VALIDÉ 1:1</x:v>
      </x:c>
      <x:c r="I28" s="79" t="str">
        <x:v>https://www.wetaworkshop.com/projects/predator-badlands</x:v>
      </x:c>
      <x:c r="J28" s="79" t="str">
        <x:v>badlands</x:v>
      </x:c>
      <x:c r="K28" s="79" t="str">
        <x:v>Atelier · rang elder</x:v>
      </x:c>
      <x:c r="L28" s="79" t="str">
        <x:v>P1</x:v>
      </x:c>
      <x:c r="M28" s="79" t="str">
        <x:v>À refaire depuis photogrammes contrôlés</x:v>
      </x:c>
      <x:c r="N28" s="79" t="str">
        <x:v>Oui : armurerie + hologramme</x:v>
      </x:c>
    </x:row>
    <x:row r="29" ht="35" customHeight="1">
      <x:c r="A29" s="79" t="str">
        <x:v>kwei</x:v>
      </x:c>
      <x:c r="B29" s="79" t="str">
        <x:v>Kwei · Badlands 2025</x:v>
      </x:c>
      <x:c r="C29" s="79" t="str">
        <x:v>Cinéma</x:v>
      </x:c>
      <x:c r="D29" s="79" t="str">
        <x:v>C · personnage ou classe seulement</x:v>
      </x:c>
      <x:c r="E29" s="79" t="str">
        <x:v>V136</x:v>
      </x:c>
      <x:c r="F29" s="79" t="n">
        <x:v>4</x:v>
      </x:c>
      <x:c r="G29" s="79" t="str">
        <x:v>Concept ORIGINAL non canonique</x:v>
      </x:c>
      <x:c r="H29" s="79" t="str">
        <x:v>NON VALIDÉ 1:1</x:v>
      </x:c>
      <x:c r="I29" s="79" t="str">
        <x:v>https://wetaworkshopdesignstudio.artstation.com/projects/rlxRPa</x:v>
      </x:c>
      <x:c r="J29" s="79" t="str">
        <x:v>badlands</x:v>
      </x:c>
      <x:c r="K29" s="79" t="str">
        <x:v>Quête / défi réservé (non connecté)</x:v>
      </x:c>
      <x:c r="L29" s="79" t="str">
        <x:v>P2</x:v>
      </x:c>
      <x:c r="M29" s="79" t="str">
        <x:v>À refaire depuis photogrammes contrôlés</x:v>
      </x:c>
      <x:c r="N29" s="79" t="str">
        <x:v>Oui : armurerie + hologramme</x:v>
      </x:c>
    </x:row>
    <x:row r="30" ht="35" customHeight="1">
      <x:c r="A30" s="79" t="str">
        <x:v>njohrr</x:v>
      </x:c>
      <x:c r="B30" s="79" t="str">
        <x:v>Njohrr · Badlands 2025</x:v>
      </x:c>
      <x:c r="C30" s="79" t="str">
        <x:v>Cinéma</x:v>
      </x:c>
      <x:c r="D30" s="79" t="str">
        <x:v>C · personnage ou classe seulement</x:v>
      </x:c>
      <x:c r="E30" s="79" t="str">
        <x:v>V136</x:v>
      </x:c>
      <x:c r="F30" s="79" t="n">
        <x:v>4</x:v>
      </x:c>
      <x:c r="G30" s="79" t="str">
        <x:v>Concept ORIGINAL non canonique</x:v>
      </x:c>
      <x:c r="H30" s="79" t="str">
        <x:v>NON VALIDÉ 1:1</x:v>
      </x:c>
      <x:c r="I30" s="79" t="str">
        <x:v>https://wetaworkshopdesignstudio.artstation.com/projects/rlxRPa</x:v>
      </x:c>
      <x:c r="J30" s="79" t="str">
        <x:v>elder</x:v>
      </x:c>
      <x:c r="K30" s="79" t="str">
        <x:v>Quête / défi réservé (non connecté)</x:v>
      </x:c>
      <x:c r="L30" s="79" t="str">
        <x:v>P2</x:v>
      </x:c>
      <x:c r="M30" s="79" t="str">
        <x:v>À refaire depuis photogrammes contrôlés</x:v>
      </x:c>
      <x:c r="N30" s="79" t="str">
        <x:v>Oui : armurerie + hologramme</x:v>
      </x:c>
    </x:row>
    <x:row r="31" ht="35" customHeight="1">
      <x:c r="A31" s="79" t="str">
        <x:v>kok-viking</x:v>
      </x:c>
      <x:c r="B31" s="79" t="str">
        <x:v>Chasseur Viking · Killer of Killers</x:v>
      </x:c>
      <x:c r="C31" s="79" t="str">
        <x:v>Animation</x:v>
      </x:c>
      <x:c r="D31" s="79" t="str">
        <x:v>C · personnage ou classe seulement</x:v>
      </x:c>
      <x:c r="E31" s="79" t="str">
        <x:v>V136</x:v>
      </x:c>
      <x:c r="F31" s="79" t="n">
        <x:v>4</x:v>
      </x:c>
      <x:c r="G31" s="79" t="str">
        <x:v>Concept ORIGINAL non canonique</x:v>
      </x:c>
      <x:c r="H31" s="79" t="str">
        <x:v>NON VALIDÉ 1:1</x:v>
      </x:c>
      <x:c r="I31" s="79" t="str">
        <x:v>https://www.20thcenturystudios.com/movies/predator-killer-of-killers</x:v>
      </x:c>
      <x:c r="J31" s="79" t="str">
        <x:v>bronze</x:v>
      </x:c>
      <x:c r="K31" s="79" t="str">
        <x:v>Quête / défi réservé (non connecté)</x:v>
      </x:c>
      <x:c r="L31" s="79" t="str">
        <x:v>P2</x:v>
      </x:c>
      <x:c r="M31" s="79" t="str">
        <x:v>À refaire depuis photogrammes contrôlés</x:v>
      </x:c>
      <x:c r="N31" s="79" t="str">
        <x:v>Oui : armurerie + hologramme</x:v>
      </x:c>
    </x:row>
    <x:row r="32" ht="35" customHeight="1">
      <x:c r="A32" s="79" t="str">
        <x:v>kok-ninja</x:v>
      </x:c>
      <x:c r="B32" s="79" t="str">
        <x:v>Chasseur Ninja · Killer of Killers</x:v>
      </x:c>
      <x:c r="C32" s="79" t="str">
        <x:v>Animation</x:v>
      </x:c>
      <x:c r="D32" s="79" t="str">
        <x:v>C · personnage ou classe seulement</x:v>
      </x:c>
      <x:c r="E32" s="79" t="str">
        <x:v>V136</x:v>
      </x:c>
      <x:c r="F32" s="79" t="n">
        <x:v>4</x:v>
      </x:c>
      <x:c r="G32" s="79" t="str">
        <x:v>Concept ORIGINAL non canonique</x:v>
      </x:c>
      <x:c r="H32" s="79" t="str">
        <x:v>NON VALIDÉ 1:1</x:v>
      </x:c>
      <x:c r="I32" s="79" t="str">
        <x:v>https://www.20thcenturystudios.com/movies/predator-killer-of-killers</x:v>
      </x:c>
      <x:c r="J32" s="79" t="str">
        <x:v>stealth</x:v>
      </x:c>
      <x:c r="K32" s="79" t="str">
        <x:v>Quête / défi réservé (non connecté)</x:v>
      </x:c>
      <x:c r="L32" s="79" t="str">
        <x:v>P2</x:v>
      </x:c>
      <x:c r="M32" s="79" t="str">
        <x:v>À refaire depuis photogrammes contrôlés</x:v>
      </x:c>
      <x:c r="N32" s="79" t="str">
        <x:v>Oui : armurerie + hologramme</x:v>
      </x:c>
    </x:row>
    <x:row r="33" ht="35" customHeight="1">
      <x:c r="A33" s="79" t="str">
        <x:v>kok-pilot</x:v>
      </x:c>
      <x:c r="B33" s="79" t="str">
        <x:v>Chasseur Pilote · Killer of Killers</x:v>
      </x:c>
      <x:c r="C33" s="79" t="str">
        <x:v>Animation</x:v>
      </x:c>
      <x:c r="D33" s="79" t="str">
        <x:v>C · personnage ou classe seulement</x:v>
      </x:c>
      <x:c r="E33" s="79" t="str">
        <x:v>V136</x:v>
      </x:c>
      <x:c r="F33" s="79" t="n">
        <x:v>4</x:v>
      </x:c>
      <x:c r="G33" s="79" t="str">
        <x:v>Concept ORIGINAL non canonique</x:v>
      </x:c>
      <x:c r="H33" s="79" t="str">
        <x:v>NON VALIDÉ 1:1</x:v>
      </x:c>
      <x:c r="I33" s="79" t="str">
        <x:v>https://www.20thcenturystudios.com/movies/predator-killer-of-killers</x:v>
      </x:c>
      <x:c r="J33" s="79" t="str">
        <x:v>urban</x:v>
      </x:c>
      <x:c r="K33" s="79" t="str">
        <x:v>Quête / défi réservé (non connecté)</x:v>
      </x:c>
      <x:c r="L33" s="79" t="str">
        <x:v>P2</x:v>
      </x:c>
      <x:c r="M33" s="79" t="str">
        <x:v>À refaire depuis photogrammes contrôlés</x:v>
      </x:c>
      <x:c r="N33" s="79" t="str">
        <x:v>Oui : armurerie + hologramme</x:v>
      </x:c>
    </x:row>
    <x:row r="34" ht="35" customHeight="1">
      <x:c r="A34" s="79" t="str">
        <x:v>kok-grendel</x:v>
      </x:c>
      <x:c r="B34" s="79" t="str">
        <x:v>Grendel King · Killer of Killers</x:v>
      </x:c>
      <x:c r="C34" s="79" t="str">
        <x:v>Animation</x:v>
      </x:c>
      <x:c r="D34" s="79" t="str">
        <x:v>C · personnage ou classe seulement</x:v>
      </x:c>
      <x:c r="E34" s="79" t="str">
        <x:v>V136</x:v>
      </x:c>
      <x:c r="F34" s="79" t="n">
        <x:v>4</x:v>
      </x:c>
      <x:c r="G34" s="79" t="str">
        <x:v>Concept ORIGINAL non canonique</x:v>
      </x:c>
      <x:c r="H34" s="79" t="str">
        <x:v>NON VALIDÉ 1:1</x:v>
      </x:c>
      <x:c r="I34" s="79" t="str">
        <x:v>https://www.20thcenturystudios.com/movies/predator-killer-of-killers</x:v>
      </x:c>
      <x:c r="J34" s="79" t="str">
        <x:v>elder</x:v>
      </x:c>
      <x:c r="K34" s="79" t="str">
        <x:v>Quête / défi réservé (non connecté)</x:v>
      </x:c>
      <x:c r="L34" s="79" t="str">
        <x:v>P2</x:v>
      </x:c>
      <x:c r="M34" s="79" t="str">
        <x:v>À refaire depuis photogrammes contrôlés</x:v>
      </x:c>
      <x:c r="N34" s="79" t="str">
        <x:v>Oui : armurerie + hologramme</x:v>
      </x:c>
    </x:row>
    <x:row r="35" ht="35" customHeight="1">
      <x:c r="A35" s="79" t="str">
        <x:v>phg-hunter</x:v>
      </x:c>
      <x:c r="B35" s="79" t="str">
        <x:v>Hunter · PHG</x:v>
      </x:c>
      <x:c r="C35" s="79" t="str">
        <x:v>Jeu licencié</x:v>
      </x:c>
      <x:c r="D35" s="79" t="str">
        <x:v>C · personnage ou classe seulement</x:v>
      </x:c>
      <x:c r="E35" s="79" t="str">
        <x:v>V136</x:v>
      </x:c>
      <x:c r="F35" s="79" t="n">
        <x:v>4</x:v>
      </x:c>
      <x:c r="G35" s="79" t="str">
        <x:v>Concept ORIGINAL non canonique</x:v>
      </x:c>
      <x:c r="H35" s="79" t="str">
        <x:v>NON VALIDÉ 1:1</x:v>
      </x:c>
      <x:c r="I35" s="79" t="str">
        <x:v>https://predator.illfonic.com/</x:v>
      </x:c>
      <x:c r="J35" s="79" t="str">
        <x:v>classic</x:v>
      </x:c>
      <x:c r="K35" s="79" t="str">
        <x:v>Atelier · rang blooded</x:v>
      </x:c>
      <x:c r="L35" s="79" t="str">
        <x:v>P2</x:v>
      </x:c>
      <x:c r="M35" s="79" t="str">
        <x:v>À refaire depuis photogrammes contrôlés</x:v>
      </x:c>
      <x:c r="N35" s="79" t="str">
        <x:v>Oui : armurerie + hologramme</x:v>
      </x:c>
    </x:row>
    <x:row r="36" ht="35" customHeight="1">
      <x:c r="A36" s="79" t="str">
        <x:v>phg-scout</x:v>
      </x:c>
      <x:c r="B36" s="79" t="str">
        <x:v>Scout · PHG</x:v>
      </x:c>
      <x:c r="C36" s="79" t="str">
        <x:v>Jeu licencié</x:v>
      </x:c>
      <x:c r="D36" s="79" t="str">
        <x:v>C · personnage ou classe seulement</x:v>
      </x:c>
      <x:c r="E36" s="79" t="str">
        <x:v>V136</x:v>
      </x:c>
      <x:c r="F36" s="79" t="n">
        <x:v>4</x:v>
      </x:c>
      <x:c r="G36" s="79" t="str">
        <x:v>Concept ORIGINAL non canonique</x:v>
      </x:c>
      <x:c r="H36" s="79" t="str">
        <x:v>NON VALIDÉ 1:1</x:v>
      </x:c>
      <x:c r="I36" s="79" t="str">
        <x:v>https://predator.illfonic.com/</x:v>
      </x:c>
      <x:c r="J36" s="79" t="str">
        <x:v>stealth</x:v>
      </x:c>
      <x:c r="K36" s="79" t="str">
        <x:v>Quête / défi réservé (non connecté)</x:v>
      </x:c>
      <x:c r="L36" s="79" t="str">
        <x:v>P2</x:v>
      </x:c>
      <x:c r="M36" s="79" t="str">
        <x:v>À refaire depuis photogrammes contrôlés</x:v>
      </x:c>
      <x:c r="N36" s="79" t="str">
        <x:v>Oui : armurerie + hologramme</x:v>
      </x:c>
    </x:row>
    <x:row r="37" ht="35" customHeight="1">
      <x:c r="A37" s="79" t="str">
        <x:v>phg-berserker</x:v>
      </x:c>
      <x:c r="B37" s="79" t="str">
        <x:v>Berserker · PHG</x:v>
      </x:c>
      <x:c r="C37" s="79" t="str">
        <x:v>Jeu licencié</x:v>
      </x:c>
      <x:c r="D37" s="79" t="str">
        <x:v>C · personnage ou classe seulement</x:v>
      </x:c>
      <x:c r="E37" s="79" t="str">
        <x:v>V136</x:v>
      </x:c>
      <x:c r="F37" s="79" t="n">
        <x:v>4</x:v>
      </x:c>
      <x:c r="G37" s="79" t="str">
        <x:v>Concept ORIGINAL non canonique</x:v>
      </x:c>
      <x:c r="H37" s="79" t="str">
        <x:v>NON VALIDÉ 1:1</x:v>
      </x:c>
      <x:c r="I37" s="79" t="str">
        <x:v>https://predator.illfonic.com/</x:v>
      </x:c>
      <x:c r="J37" s="79" t="str">
        <x:v>brutal</x:v>
      </x:c>
      <x:c r="K37" s="79" t="str">
        <x:v>Quête / défi réservé (non connecté)</x:v>
      </x:c>
      <x:c r="L37" s="79" t="str">
        <x:v>P2</x:v>
      </x:c>
      <x:c r="M37" s="79" t="str">
        <x:v>À refaire depuis photogrammes contrôlés</x:v>
      </x:c>
      <x:c r="N37" s="79" t="str">
        <x:v>Oui : armurerie + hologramme</x:v>
      </x:c>
    </x:row>
    <x:row r="38" ht="35" customHeight="1">
      <x:c r="A38" s="79" t="str">
        <x:v>phg-alpha</x:v>
      </x:c>
      <x:c r="B38" s="79" t="str">
        <x:v>Alpha · PHG</x:v>
      </x:c>
      <x:c r="C38" s="79" t="str">
        <x:v>Jeu licencié</x:v>
      </x:c>
      <x:c r="D38" s="79" t="str">
        <x:v>C · personnage ou classe seulement</x:v>
      </x:c>
      <x:c r="E38" s="79" t="str">
        <x:v>V136</x:v>
      </x:c>
      <x:c r="F38" s="79" t="n">
        <x:v>4</x:v>
      </x:c>
      <x:c r="G38" s="79" t="str">
        <x:v>Concept ORIGINAL non canonique</x:v>
      </x:c>
      <x:c r="H38" s="79" t="str">
        <x:v>NON VALIDÉ 1:1</x:v>
      </x:c>
      <x:c r="I38" s="79" t="str">
        <x:v>https://predator.illfonic.com/</x:v>
      </x:c>
      <x:c r="J38" s="79" t="str">
        <x:v>elder</x:v>
      </x:c>
      <x:c r="K38" s="79" t="str">
        <x:v>Quête / défi réservé (non connecté)</x:v>
      </x:c>
      <x:c r="L38" s="79" t="str">
        <x:v>P2</x:v>
      </x:c>
      <x:c r="M38" s="79" t="str">
        <x:v>À refaire depuis photogrammes contrôlés</x:v>
      </x:c>
      <x:c r="N38" s="79" t="str">
        <x:v>Oui : armurerie + hologramme</x:v>
      </x:c>
    </x:row>
    <x:row r="39" ht="35" customHeight="1">
      <x:c r="A39" s="79" t="str">
        <x:v>phg-samurai</x:v>
      </x:c>
      <x:c r="B39" s="79" t="str">
        <x:v>Samurai · PHG</x:v>
      </x:c>
      <x:c r="C39" s="79" t="str">
        <x:v>Jeu licencié</x:v>
      </x:c>
      <x:c r="D39" s="79" t="str">
        <x:v>C · personnage ou classe seulement</x:v>
      </x:c>
      <x:c r="E39" s="79" t="str">
        <x:v>V136</x:v>
      </x:c>
      <x:c r="F39" s="79" t="n">
        <x:v>4</x:v>
      </x:c>
      <x:c r="G39" s="79" t="str">
        <x:v>Concept ORIGINAL non canonique</x:v>
      </x:c>
      <x:c r="H39" s="79" t="str">
        <x:v>NON VALIDÉ 1:1</x:v>
      </x:c>
      <x:c r="I39" s="79" t="str">
        <x:v>https://predator.illfonic.com/</x:v>
      </x:c>
      <x:c r="J39" s="79" t="str">
        <x:v>bronze</x:v>
      </x:c>
      <x:c r="K39" s="79" t="str">
        <x:v>Quête / défi réservé (non connecté)</x:v>
      </x:c>
      <x:c r="L39" s="79" t="str">
        <x:v>P2</x:v>
      </x:c>
      <x:c r="M39" s="79" t="str">
        <x:v>À refaire depuis photogrammes contrôlés</x:v>
      </x:c>
      <x:c r="N39" s="79" t="str">
        <x:v>Oui : armurerie + hologramme</x:v>
      </x:c>
    </x:row>
    <x:row r="40" ht="35" customHeight="1">
      <x:c r="A40" s="79" t="str">
        <x:v>phg-viking</x:v>
      </x:c>
      <x:c r="B40" s="79" t="str">
        <x:v>Viking · PHG</x:v>
      </x:c>
      <x:c r="C40" s="79" t="str">
        <x:v>Jeu licencié</x:v>
      </x:c>
      <x:c r="D40" s="79" t="str">
        <x:v>C · personnage ou classe seulement</x:v>
      </x:c>
      <x:c r="E40" s="79" t="str">
        <x:v>V136</x:v>
      </x:c>
      <x:c r="F40" s="79" t="n">
        <x:v>4</x:v>
      </x:c>
      <x:c r="G40" s="79" t="str">
        <x:v>Concept ORIGINAL non canonique</x:v>
      </x:c>
      <x:c r="H40" s="79" t="str">
        <x:v>NON VALIDÉ 1:1</x:v>
      </x:c>
      <x:c r="I40" s="79" t="str">
        <x:v>https://predator.illfonic.com/</x:v>
      </x:c>
      <x:c r="J40" s="79" t="str">
        <x:v>bronze</x:v>
      </x:c>
      <x:c r="K40" s="79" t="str">
        <x:v>Quête / défi réservé (non connecté)</x:v>
      </x:c>
      <x:c r="L40" s="79" t="str">
        <x:v>P2</x:v>
      </x:c>
      <x:c r="M40" s="79" t="str">
        <x:v>À refaire depuis photogrammes contrôlés</x:v>
      </x:c>
      <x:c r="N40" s="79" t="str">
        <x:v>Oui : armurerie + hologramme</x:v>
      </x:c>
    </x:row>
    <x:row r="41" ht="35" customHeight="1">
      <x:c r="A41" s="79" t="str">
        <x:v>phg-valkyrie</x:v>
      </x:c>
      <x:c r="B41" s="79" t="str">
        <x:v>Valkyrie · PHG</x:v>
      </x:c>
      <x:c r="C41" s="79" t="str">
        <x:v>Jeu licencié</x:v>
      </x:c>
      <x:c r="D41" s="79" t="str">
        <x:v>C · personnage ou classe seulement</x:v>
      </x:c>
      <x:c r="E41" s="79" t="str">
        <x:v>V136</x:v>
      </x:c>
      <x:c r="F41" s="79" t="n">
        <x:v>4</x:v>
      </x:c>
      <x:c r="G41" s="79" t="str">
        <x:v>Concept ORIGINAL non canonique</x:v>
      </x:c>
      <x:c r="H41" s="79" t="str">
        <x:v>NON VALIDÉ 1:1</x:v>
      </x:c>
      <x:c r="I41" s="79" t="str">
        <x:v>https://predator.illfonic.com/</x:v>
      </x:c>
      <x:c r="J41" s="79" t="str">
        <x:v>bronze</x:v>
      </x:c>
      <x:c r="K41" s="79" t="str">
        <x:v>Quête / défi réservé (non connecté)</x:v>
      </x:c>
      <x:c r="L41" s="79" t="str">
        <x:v>P2</x:v>
      </x:c>
      <x:c r="M41" s="79" t="str">
        <x:v>À refaire depuis photogrammes contrôlés</x:v>
      </x:c>
      <x:c r="N41" s="79" t="str">
        <x:v>Oui : armurerie + hologramme</x:v>
      </x:c>
    </x:row>
    <x:row r="42" ht="35" customHeight="1">
      <x:c r="A42" s="79" t="str">
        <x:v>phg-cleopatra</x:v>
      </x:c>
      <x:c r="B42" s="79" t="str">
        <x:v>Cleopatra · PHG</x:v>
      </x:c>
      <x:c r="C42" s="79" t="str">
        <x:v>Jeu licencié</x:v>
      </x:c>
      <x:c r="D42" s="79" t="str">
        <x:v>C · personnage ou classe seulement</x:v>
      </x:c>
      <x:c r="E42" s="79" t="str">
        <x:v>V136</x:v>
      </x:c>
      <x:c r="F42" s="79" t="n">
        <x:v>4</x:v>
      </x:c>
      <x:c r="G42" s="79" t="str">
        <x:v>Concept ORIGINAL non canonique</x:v>
      </x:c>
      <x:c r="H42" s="79" t="str">
        <x:v>NON VALIDÉ 1:1</x:v>
      </x:c>
      <x:c r="I42" s="79" t="str">
        <x:v>https://predator.illfonic.com/</x:v>
      </x:c>
      <x:c r="J42" s="79" t="str">
        <x:v>elder</x:v>
      </x:c>
      <x:c r="K42" s="79" t="str">
        <x:v>Quête / défi réservé (non connecté)</x:v>
      </x:c>
      <x:c r="L42" s="79" t="str">
        <x:v>P2</x:v>
      </x:c>
      <x:c r="M42" s="79" t="str">
        <x:v>À refaire depuis photogrammes contrôlés</x:v>
      </x:c>
      <x:c r="N42" s="79" t="str">
        <x:v>Oui : armurerie + hologramme</x:v>
      </x:c>
    </x:row>
    <x:row r="43" ht="35" customHeight="1">
      <x:c r="A43" s="79" t="str">
        <x:v>phg-exiled</x:v>
      </x:c>
      <x:c r="B43" s="79" t="str">
        <x:v>Exiled · PHG</x:v>
      </x:c>
      <x:c r="C43" s="79" t="str">
        <x:v>Jeu licencié</x:v>
      </x:c>
      <x:c r="D43" s="79" t="str">
        <x:v>C · personnage ou classe seulement</x:v>
      </x:c>
      <x:c r="E43" s="79" t="str">
        <x:v>V136</x:v>
      </x:c>
      <x:c r="F43" s="79" t="n">
        <x:v>4</x:v>
      </x:c>
      <x:c r="G43" s="79" t="str">
        <x:v>Concept ORIGINAL non canonique</x:v>
      </x:c>
      <x:c r="H43" s="79" t="str">
        <x:v>NON VALIDÉ 1:1</x:v>
      </x:c>
      <x:c r="I43" s="79" t="str">
        <x:v>https://predator.illfonic.com/</x:v>
      </x:c>
      <x:c r="J43" s="79" t="str">
        <x:v>stealth</x:v>
      </x:c>
      <x:c r="K43" s="79" t="str">
        <x:v>Quête / défi réservé (non connecté)</x:v>
      </x:c>
      <x:c r="L43" s="79" t="str">
        <x:v>P2</x:v>
      </x:c>
      <x:c r="M43" s="79" t="str">
        <x:v>À refaire depuis photogrammes contrôlés</x:v>
      </x:c>
      <x:c r="N43" s="79" t="str">
        <x:v>Oui : armurerie + hologramme</x:v>
      </x:c>
    </x:row>
    <x:row r="44" ht="35" customHeight="1">
      <x:c r="A44" s="79" t="str">
        <x:v>phg-pirate</x:v>
      </x:c>
      <x:c r="B44" s="79" t="str">
        <x:v>Pirate · PHG</x:v>
      </x:c>
      <x:c r="C44" s="79" t="str">
        <x:v>Jeu licencié</x:v>
      </x:c>
      <x:c r="D44" s="79" t="str">
        <x:v>C · personnage ou classe seulement</x:v>
      </x:c>
      <x:c r="E44" s="79" t="str">
        <x:v>V136</x:v>
      </x:c>
      <x:c r="F44" s="79" t="n">
        <x:v>4</x:v>
      </x:c>
      <x:c r="G44" s="79" t="str">
        <x:v>Concept ORIGINAL non canonique</x:v>
      </x:c>
      <x:c r="H44" s="79" t="str">
        <x:v>NON VALIDÉ 1:1</x:v>
      </x:c>
      <x:c r="I44" s="79" t="str">
        <x:v>https://predator.illfonic.com/</x:v>
      </x:c>
      <x:c r="J44" s="79" t="str">
        <x:v>bronze</x:v>
      </x:c>
      <x:c r="K44" s="79" t="str">
        <x:v>Quête / défi réservé (non connecté)</x:v>
      </x:c>
      <x:c r="L44" s="79" t="str">
        <x:v>P2</x:v>
      </x:c>
      <x:c r="M44" s="79" t="str">
        <x:v>À refaire depuis photogrammes contrôlés</x:v>
      </x:c>
      <x:c r="N44" s="79" t="str">
        <x:v>Oui : armurerie + hologramme</x:v>
      </x:c>
    </x:row>
    <x:row r="45" ht="35" customHeight="1">
      <x:c r="A45" s="79" t="str">
        <x:v>phg-bionic</x:v>
      </x:c>
      <x:c r="B45" s="79" t="str">
        <x:v>Bionic · PHG</x:v>
      </x:c>
      <x:c r="C45" s="79" t="str">
        <x:v>Jeu licencié</x:v>
      </x:c>
      <x:c r="D45" s="79" t="str">
        <x:v>C · personnage ou classe seulement</x:v>
      </x:c>
      <x:c r="E45" s="79" t="str">
        <x:v>V136</x:v>
      </x:c>
      <x:c r="F45" s="79" t="n">
        <x:v>4</x:v>
      </x:c>
      <x:c r="G45" s="79" t="str">
        <x:v>Concept ORIGINAL non canonique</x:v>
      </x:c>
      <x:c r="H45" s="79" t="str">
        <x:v>NON VALIDÉ 1:1</x:v>
      </x:c>
      <x:c r="I45" s="79" t="str">
        <x:v>https://store.steampowered.com/app/1556200/Predator__Hunting_Grounds/</x:v>
      </x:c>
      <x:c r="J45" s="79" t="str">
        <x:v>urban</x:v>
      </x:c>
      <x:c r="K45" s="79" t="str">
        <x:v>Quête / défi réservé (non connecté)</x:v>
      </x:c>
      <x:c r="L45" s="79" t="str">
        <x:v>P2</x:v>
      </x:c>
      <x:c r="M45" s="79" t="str">
        <x:v>À refaire depuis photogrammes contrôlés</x:v>
      </x:c>
      <x:c r="N45" s="79" t="str">
        <x:v>Oui : armurerie + hologramme</x:v>
      </x:c>
    </x:row>
    <x:row r="46" ht="35" customHeight="1">
      <x:c r="A46" s="79" t="str">
        <x:v>phg-emissary</x:v>
      </x:c>
      <x:c r="B46" s="79" t="str">
        <x:v>Emissary · PHG</x:v>
      </x:c>
      <x:c r="C46" s="79" t="str">
        <x:v>Jeu licencié</x:v>
      </x:c>
      <x:c r="D46" s="79" t="str">
        <x:v>C · personnage ou classe seulement</x:v>
      </x:c>
      <x:c r="E46" s="79" t="str">
        <x:v>V136</x:v>
      </x:c>
      <x:c r="F46" s="79" t="n">
        <x:v>4</x:v>
      </x:c>
      <x:c r="G46" s="79" t="str">
        <x:v>Concept ORIGINAL non canonique</x:v>
      </x:c>
      <x:c r="H46" s="79" t="str">
        <x:v>NON VALIDÉ 1:1</x:v>
      </x:c>
      <x:c r="I46" s="79" t="str">
        <x:v>https://store.steampowered.com/app/1556200/Predator__Hunting_Grounds/</x:v>
      </x:c>
      <x:c r="J46" s="79" t="str">
        <x:v>urban</x:v>
      </x:c>
      <x:c r="K46" s="79" t="str">
        <x:v>Quête / défi réservé (non connecté)</x:v>
      </x:c>
      <x:c r="L46" s="79" t="str">
        <x:v>P2</x:v>
      </x:c>
      <x:c r="M46" s="79" t="str">
        <x:v>À refaire depuis photogrammes contrôlés</x:v>
      </x:c>
      <x:c r="N46" s="79" t="str">
        <x:v>Oui : armurerie + hologramme</x:v>
      </x:c>
    </x:row>
    <x:row r="47" ht="35" customHeight="1">
      <x:c r="A47" s="79" t="str">
        <x:v>phg-oni</x:v>
      </x:c>
      <x:c r="B47" s="79" t="str">
        <x:v>Oni · PHG</x:v>
      </x:c>
      <x:c r="C47" s="79" t="str">
        <x:v>Jeu licencié</x:v>
      </x:c>
      <x:c r="D47" s="79" t="str">
        <x:v>C · personnage ou classe seulement</x:v>
      </x:c>
      <x:c r="E47" s="79" t="str">
        <x:v>V136</x:v>
      </x:c>
      <x:c r="F47" s="79" t="n">
        <x:v>4</x:v>
      </x:c>
      <x:c r="G47" s="79" t="str">
        <x:v>Concept ORIGINAL non canonique</x:v>
      </x:c>
      <x:c r="H47" s="79" t="str">
        <x:v>NON VALIDÉ 1:1</x:v>
      </x:c>
      <x:c r="I47" s="79" t="str">
        <x:v>https://store.steampowered.com/app/1556200/Predator__Hunting_Grounds/</x:v>
      </x:c>
      <x:c r="J47" s="79" t="str">
        <x:v>brutal</x:v>
      </x:c>
      <x:c r="K47" s="79" t="str">
        <x:v>Quête / défi réservé (non connecté)</x:v>
      </x:c>
      <x:c r="L47" s="79" t="str">
        <x:v>P2</x:v>
      </x:c>
      <x:c r="M47" s="79" t="str">
        <x:v>À refaire depuis photogrammes contrôlés</x:v>
      </x:c>
      <x:c r="N47" s="79" t="str">
        <x:v>Oui : armurerie + hologramme</x:v>
      </x:c>
    </x:row>
    <x:row r="48" ht="35" customHeight="1">
      <x:c r="A48" s="79" t="str">
        <x:v>phg-witch</x:v>
      </x:c>
      <x:c r="B48" s="79" t="str">
        <x:v>Witch · PHG</x:v>
      </x:c>
      <x:c r="C48" s="79" t="str">
        <x:v>Jeu licencié</x:v>
      </x:c>
      <x:c r="D48" s="79" t="str">
        <x:v>C · personnage ou classe seulement</x:v>
      </x:c>
      <x:c r="E48" s="79" t="str">
        <x:v>V136</x:v>
      </x:c>
      <x:c r="F48" s="79" t="n">
        <x:v>4</x:v>
      </x:c>
      <x:c r="G48" s="79" t="str">
        <x:v>Concept ORIGINAL non canonique</x:v>
      </x:c>
      <x:c r="H48" s="79" t="str">
        <x:v>NON VALIDÉ 1:1</x:v>
      </x:c>
      <x:c r="I48" s="79" t="str">
        <x:v>https://store.steampowered.com/app/1556200/Predator__Hunting_Grounds/</x:v>
      </x:c>
      <x:c r="J48" s="79" t="str">
        <x:v>stealth</x:v>
      </x:c>
      <x:c r="K48" s="79" t="str">
        <x:v>Quête / défi réservé (non connecté)</x:v>
      </x:c>
      <x:c r="L48" s="79" t="str">
        <x:v>P2</x:v>
      </x:c>
      <x:c r="M48" s="79" t="str">
        <x:v>À refaire depuis photogrammes contrôlés</x:v>
      </x:c>
      <x:c r="N48" s="79" t="str">
        <x:v>Oui : armurerie + hologramme</x:v>
      </x:c>
    </x:row>
    <x:row r="49" ht="35" customHeight="1">
      <x:c r="A49" s="79" t="str">
        <x:v>phg-father</x:v>
      </x:c>
      <x:c r="B49" s="79" t="str">
        <x:v>Father · PHG</x:v>
      </x:c>
      <x:c r="C49" s="79" t="str">
        <x:v>Jeu licencié</x:v>
      </x:c>
      <x:c r="D49" s="79" t="str">
        <x:v>C · personnage ou classe seulement</x:v>
      </x:c>
      <x:c r="E49" s="79" t="str">
        <x:v>V136</x:v>
      </x:c>
      <x:c r="F49" s="79" t="n">
        <x:v>4</x:v>
      </x:c>
      <x:c r="G49" s="79" t="str">
        <x:v>Concept ORIGINAL non canonique</x:v>
      </x:c>
      <x:c r="H49" s="79" t="str">
        <x:v>NON VALIDÉ 1:1</x:v>
      </x:c>
      <x:c r="I49" s="79" t="str">
        <x:v>https://store.steampowered.com/app/1556200/Predator__Hunting_Grounds/</x:v>
      </x:c>
      <x:c r="J49" s="79" t="str">
        <x:v>elder</x:v>
      </x:c>
      <x:c r="K49" s="79" t="str">
        <x:v>Quête / défi réservé (non connecté)</x:v>
      </x:c>
      <x:c r="L49" s="79" t="str">
        <x:v>P2</x:v>
      </x:c>
      <x:c r="M49" s="79" t="str">
        <x:v>À refaire depuis photogrammes contrôlés</x:v>
      </x:c>
      <x:c r="N49" s="79" t="str">
        <x:v>Oui : armurerie + hologramme</x:v>
      </x:c>
    </x:row>
    <x:row r="50" ht="35" customHeight="1">
      <x:c r="A50" s="79" t="str">
        <x:v>phg-jotun</x:v>
      </x:c>
      <x:c r="B50" s="79" t="str">
        <x:v>Jotun · PHG</x:v>
      </x:c>
      <x:c r="C50" s="79" t="str">
        <x:v>Jeu licencié</x:v>
      </x:c>
      <x:c r="D50" s="79" t="str">
        <x:v>C · personnage ou classe seulement</x:v>
      </x:c>
      <x:c r="E50" s="79" t="str">
        <x:v>V136</x:v>
      </x:c>
      <x:c r="F50" s="79" t="n">
        <x:v>4</x:v>
      </x:c>
      <x:c r="G50" s="79" t="str">
        <x:v>Concept ORIGINAL non canonique</x:v>
      </x:c>
      <x:c r="H50" s="79" t="str">
        <x:v>NON VALIDÉ 1:1</x:v>
      </x:c>
      <x:c r="I50" s="79" t="str">
        <x:v>https://store.steampowered.com/app/1556200/Predator__Hunting_Grounds/</x:v>
      </x:c>
      <x:c r="J50" s="79" t="str">
        <x:v>brutal</x:v>
      </x:c>
      <x:c r="K50" s="79" t="str">
        <x:v>Quête / défi réservé (non connecté)</x:v>
      </x:c>
      <x:c r="L50" s="79" t="str">
        <x:v>P2</x:v>
      </x:c>
      <x:c r="M50" s="79" t="str">
        <x:v>À refaire depuis photogrammes contrôlés</x:v>
      </x:c>
      <x:c r="N50" s="79" t="str">
        <x:v>Oui : armurerie + hologramme</x:v>
      </x:c>
    </x:row>
    <x:row r="51" ht="35" customHeight="1">
      <x:c r="A51" s="79" t="str">
        <x:v>phg-exalted</x:v>
      </x:c>
      <x:c r="B51" s="79" t="str">
        <x:v>Exalted · PHG</x:v>
      </x:c>
      <x:c r="C51" s="79" t="str">
        <x:v>Jeu licencié</x:v>
      </x:c>
      <x:c r="D51" s="79" t="str">
        <x:v>C · personnage ou classe seulement</x:v>
      </x:c>
      <x:c r="E51" s="79" t="str">
        <x:v>V136</x:v>
      </x:c>
      <x:c r="F51" s="79" t="n">
        <x:v>4</x:v>
      </x:c>
      <x:c r="G51" s="79" t="str">
        <x:v>Concept ORIGINAL non canonique</x:v>
      </x:c>
      <x:c r="H51" s="79" t="str">
        <x:v>NON VALIDÉ 1:1</x:v>
      </x:c>
      <x:c r="I51" s="79" t="str">
        <x:v>https://store.steampowered.com/app/1556200/Predator__Hunting_Grounds/</x:v>
      </x:c>
      <x:c r="J51" s="79" t="str">
        <x:v>elder</x:v>
      </x:c>
      <x:c r="K51" s="79" t="str">
        <x:v>Quête / défi réservé (non connecté)</x:v>
      </x:c>
      <x:c r="L51" s="79" t="str">
        <x:v>P2</x:v>
      </x:c>
      <x:c r="M51" s="79" t="str">
        <x:v>À refaire depuis photogrammes contrôlés</x:v>
      </x:c>
      <x:c r="N51" s="79" t="str">
        <x:v>Oui : armurerie + hologramme</x:v>
      </x:c>
    </x:row>
    <x:row r="52" ht="35" customHeight="1">
      <x:c r="A52" s="79" t="str">
        <x:v>phg-anubis</x:v>
      </x:c>
      <x:c r="B52" s="79" t="str">
        <x:v>Anubis · PHG</x:v>
      </x:c>
      <x:c r="C52" s="79" t="str">
        <x:v>Jeu licencié</x:v>
      </x:c>
      <x:c r="D52" s="79" t="str">
        <x:v>C · personnage ou classe seulement</x:v>
      </x:c>
      <x:c r="E52" s="79" t="str">
        <x:v>V136</x:v>
      </x:c>
      <x:c r="F52" s="79" t="n">
        <x:v>4</x:v>
      </x:c>
      <x:c r="G52" s="79" t="str">
        <x:v>Concept ORIGINAL non canonique</x:v>
      </x:c>
      <x:c r="H52" s="79" t="str">
        <x:v>NON VALIDÉ 1:1</x:v>
      </x:c>
      <x:c r="I52" s="79" t="str">
        <x:v>https://store.steampowered.com/app/1556200/Predator__Hunting_Grounds/</x:v>
      </x:c>
      <x:c r="J52" s="79" t="str">
        <x:v>bronze</x:v>
      </x:c>
      <x:c r="K52" s="79" t="str">
        <x:v>Quête / défi réservé (non connecté)</x:v>
      </x:c>
      <x:c r="L52" s="79" t="str">
        <x:v>P2</x:v>
      </x:c>
      <x:c r="M52" s="79" t="str">
        <x:v>À refaire depuis photogrammes contrôlés</x:v>
      </x:c>
      <x:c r="N52" s="79" t="str">
        <x:v>Oui : armurerie + hologramme</x:v>
      </x:c>
    </x:row>
    <x:row r="53" ht="35" customHeight="1">
      <x:c r="A53" s="79" t="str">
        <x:v>phg-gladiator</x:v>
      </x:c>
      <x:c r="B53" s="79" t="str">
        <x:v>Gladiator · PHG</x:v>
      </x:c>
      <x:c r="C53" s="79" t="str">
        <x:v>Jeu licencié</x:v>
      </x:c>
      <x:c r="D53" s="79" t="str">
        <x:v>C · personnage ou classe seulement</x:v>
      </x:c>
      <x:c r="E53" s="79" t="str">
        <x:v>V136</x:v>
      </x:c>
      <x:c r="F53" s="79" t="n">
        <x:v>4</x:v>
      </x:c>
      <x:c r="G53" s="79" t="str">
        <x:v>Concept ORIGINAL non canonique</x:v>
      </x:c>
      <x:c r="H53" s="79" t="str">
        <x:v>NON VALIDÉ 1:1</x:v>
      </x:c>
      <x:c r="I53" s="79" t="str">
        <x:v>https://store.steampowered.com/app/1556200/Predator__Hunting_Grounds/</x:v>
      </x:c>
      <x:c r="J53" s="79" t="str">
        <x:v>brutal</x:v>
      </x:c>
      <x:c r="K53" s="79" t="str">
        <x:v>Quête / défi réservé (non connecté)</x:v>
      </x:c>
      <x:c r="L53" s="79" t="str">
        <x:v>P2</x:v>
      </x:c>
      <x:c r="M53" s="79" t="str">
        <x:v>À refaire depuis photogrammes contrôlés</x:v>
      </x:c>
      <x:c r="N53" s="79" t="str">
        <x:v>Oui : armurerie + hologramme</x:v>
      </x:c>
    </x:row>
    <x:row r="54" ht="35" customHeight="1">
      <x:c r="A54" s="79" t="str">
        <x:v>scarface</x:v>
      </x:c>
      <x:c r="B54" s="79" t="str">
        <x:v>Scarface · Concrete Jungle</x:v>
      </x:c>
      <x:c r="C54" s="79" t="str">
        <x:v>Jeu vidéo</x:v>
      </x:c>
      <x:c r="D54" s="79" t="str">
        <x:v>C · personnage ou classe seulement</x:v>
      </x:c>
      <x:c r="E54" s="79" t="str">
        <x:v>V136</x:v>
      </x:c>
      <x:c r="F54" s="79" t="n">
        <x:v>4</x:v>
      </x:c>
      <x:c r="G54" s="79" t="str">
        <x:v>Concept ORIGINAL non canonique</x:v>
      </x:c>
      <x:c r="H54" s="79" t="str">
        <x:v>NON VALIDÉ 1:1</x:v>
      </x:c>
      <x:c r="I54" s="79" t="str">
        <x:v>https://www.avpgalaxy.net/merch/neca/predator/series/</x:v>
      </x:c>
      <x:c r="J54" s="79" t="str">
        <x:v>urban</x:v>
      </x:c>
      <x:c r="K54" s="79" t="str">
        <x:v>Quête / défi réservé (non connecté)</x:v>
      </x:c>
      <x:c r="L54" s="79" t="str">
        <x:v>P2</x:v>
      </x:c>
      <x:c r="M54" s="79" t="str">
        <x:v>À refaire depuis photogrammes contrôlés</x:v>
      </x:c>
      <x:c r="N54" s="79" t="str">
        <x:v>Oui : armurerie + hologramme</x:v>
      </x:c>
    </x:row>
    <x:row r="55" ht="35" customHeight="1">
      <x:c r="A55" s="79" t="str">
        <x:v>stone-heart</x:v>
      </x:c>
      <x:c r="B55" s="79" t="str">
        <x:v>Stone Heart · Concrete Jungle</x:v>
      </x:c>
      <x:c r="C55" s="79" t="str">
        <x:v>Jeu vidéo</x:v>
      </x:c>
      <x:c r="D55" s="79" t="str">
        <x:v>C · personnage ou classe seulement</x:v>
      </x:c>
      <x:c r="E55" s="79" t="str">
        <x:v>V136</x:v>
      </x:c>
      <x:c r="F55" s="79" t="n">
        <x:v>4</x:v>
      </x:c>
      <x:c r="G55" s="79" t="str">
        <x:v>Concept ORIGINAL non canonique</x:v>
      </x:c>
      <x:c r="H55" s="79" t="str">
        <x:v>NON VALIDÉ 1:1</x:v>
      </x:c>
      <x:c r="I55" s="79" t="str">
        <x:v>https://www.avpgalaxy.net/merch/neca/predator/series/</x:v>
      </x:c>
      <x:c r="J55" s="79" t="str">
        <x:v>brutal</x:v>
      </x:c>
      <x:c r="K55" s="79" t="str">
        <x:v>Quête / défi réservé (non connecté)</x:v>
      </x:c>
      <x:c r="L55" s="79" t="str">
        <x:v>P2</x:v>
      </x:c>
      <x:c r="M55" s="79" t="str">
        <x:v>À refaire depuis photogrammes contrôlés</x:v>
      </x:c>
      <x:c r="N55" s="79" t="str">
        <x:v>Oui : armurerie + hologramme</x:v>
      </x:c>
    </x:row>
    <x:row r="56" ht="35" customHeight="1">
      <x:c r="A56" s="79" t="str">
        <x:v>ahab</x:v>
      </x:c>
      <x:c r="B56" s="79" t="str">
        <x:v>Ahab · comics / NECA</x:v>
      </x:c>
      <x:c r="C56" s="79" t="str">
        <x:v>Comics</x:v>
      </x:c>
      <x:c r="D56" s="79" t="str">
        <x:v>C · personnage ou classe seulement</x:v>
      </x:c>
      <x:c r="E56" s="79" t="str">
        <x:v>V136</x:v>
      </x:c>
      <x:c r="F56" s="79" t="n">
        <x:v>4</x:v>
      </x:c>
      <x:c r="G56" s="79" t="str">
        <x:v>Concept ORIGINAL non canonique</x:v>
      </x:c>
      <x:c r="H56" s="79" t="str">
        <x:v>NON VALIDÉ 1:1</x:v>
      </x:c>
      <x:c r="I56" s="79" t="str">
        <x:v>https://www.avpgalaxy.net/merch/neca/predator/series/</x:v>
      </x:c>
      <x:c r="J56" s="79" t="str">
        <x:v>elder</x:v>
      </x:c>
      <x:c r="K56" s="79" t="str">
        <x:v>Quête / défi réservé (non connecté)</x:v>
      </x:c>
      <x:c r="L56" s="79" t="str">
        <x:v>P2</x:v>
      </x:c>
      <x:c r="M56" s="79" t="str">
        <x:v>À refaire depuis photogrammes contrôlés</x:v>
      </x:c>
      <x:c r="N56" s="79" t="str">
        <x:v>Oui : armurerie + hologramme</x:v>
      </x:c>
    </x:row>
    <x:row r="57" ht="35" customHeight="1">
      <x:c r="A57" s="79" t="str">
        <x:v>dark-2010</x:v>
      </x:c>
      <x:c r="B57" s="79" t="str">
        <x:v>Dark · Aliens vs Predator (2010)</x:v>
      </x:c>
      <x:c r="C57" s="79" t="str">
        <x:v>Jeu vidéo</x:v>
      </x:c>
      <x:c r="D57" s="79" t="str">
        <x:v>C · personnage ou classe seulement</x:v>
      </x:c>
      <x:c r="E57" s="79" t="str">
        <x:v>V136</x:v>
      </x:c>
      <x:c r="F57" s="79" t="n">
        <x:v>4</x:v>
      </x:c>
      <x:c r="G57" s="79" t="str">
        <x:v>Concept ORIGINAL non canonique</x:v>
      </x:c>
      <x:c r="H57" s="79" t="str">
        <x:v>NON VALIDÉ 1:1</x:v>
      </x:c>
      <x:c r="I57" s="79" t="str">
        <x:v>https://www.avpgalaxy.net/merch/neca/predator/series/</x:v>
      </x:c>
      <x:c r="J57" s="79" t="str">
        <x:v>stealth</x:v>
      </x:c>
      <x:c r="K57" s="79" t="str">
        <x:v>Quête / défi réservé (non connecté)</x:v>
      </x:c>
      <x:c r="L57" s="79" t="str">
        <x:v>P2</x:v>
      </x:c>
      <x:c r="M57" s="79" t="str">
        <x:v>À refaire depuis photogrammes contrôlés</x:v>
      </x:c>
      <x:c r="N57" s="79" t="str">
        <x:v>Oui : armurerie + hologramme</x:v>
      </x:c>
    </x:row>
    <x:row r="58" ht="35" customHeight="1">
      <x:c r="A58" s="79" t="str">
        <x:v>phg-captured</x:v>
      </x:c>
      <x:c r="B58" s="79" t="str">
        <x:v>Captured · PHG</x:v>
      </x:c>
      <x:c r="C58" s="79" t="str">
        <x:v>Jeu licencié</x:v>
      </x:c>
      <x:c r="D58" s="79" t="str">
        <x:v>C · personnage ou classe seulement</x:v>
      </x:c>
      <x:c r="E58" s="79" t="str">
        <x:v>V136</x:v>
      </x:c>
      <x:c r="F58" s="79" t="n">
        <x:v>4</x:v>
      </x:c>
      <x:c r="G58" s="79" t="str">
        <x:v>Concept ORIGINAL non canonique</x:v>
      </x:c>
      <x:c r="H58" s="79" t="str">
        <x:v>NON VALIDÉ 1:1</x:v>
      </x:c>
      <x:c r="I58" s="79" t="str">
        <x:v>https://predator.illfonic.com/</x:v>
      </x:c>
      <x:c r="J58" s="79" t="str">
        <x:v>classic</x:v>
      </x:c>
      <x:c r="K58" s="79" t="str">
        <x:v>Quête / défi réservé (non connecté)</x:v>
      </x:c>
      <x:c r="L58" s="79" t="str">
        <x:v>P2</x:v>
      </x:c>
      <x:c r="M58" s="79" t="str">
        <x:v>À refaire depuis photogrammes contrôlés</x:v>
      </x:c>
      <x:c r="N58" s="79" t="str">
        <x:v>Oui : armurerie + hologramme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4" hidden="0" customWidth="1"/>
    <x:col min="3" max="3" width="25" hidden="0" customWidth="1"/>
    <x:col min="4" max="4" width="18" hidden="0" customWidth="1"/>
    <x:col min="5" max="5" width="24" hidden="0" customWidth="1"/>
    <x:col min="6" max="6" width="77" hidden="0" customWidth="1"/>
    <x:col min="7" max="7" width="30" hidden="0" customWidth="1"/>
    <x:col min="8" max="8" width="18" hidden="0" customWidth="1"/>
    <x:col min="9" max="9" width="40" hidden="0" customWidth="1"/>
    <x:col min="10" max="10" width="56" hidden="0" customWidth="1"/>
  </x:cols>
  <x:sheetData>
    <x:row r="1" ht="39" customHeight="1">
      <x:c r="A1" s="70" t="str">
        <x:v>V136 · INVENTAIRE RÉEL DES 219 CALQUES SVG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 ht="38" customHeight="1">
      <x:c r="A2" s="74" t="str">
        <x:v>7 calques Jungle Hunter + 16 calques City/Wolf/Feral/Dek + 196 concepts originaux ; les PNG sont produits en artefacts CI, jamais confondus avec des captures de films.</x:v>
      </x:c>
      <x:c r="B2" s="74"/>
      <x:c r="C2" s="74"/>
      <x:c r="D2" s="74"/>
      <x:c r="E2" s="74"/>
      <x:c r="F2" s="74"/>
      <x:c r="G2" s="74"/>
      <x:c r="H2" s="74"/>
      <x:c r="I2" s="74"/>
      <x:c r="J2" s="74"/>
    </x:row>
    <x:row r="4" ht="32" customHeight="1">
      <x:c r="A4" s="78" t="str">
        <x:v>Gauntlet ID</x:v>
      </x:c>
      <x:c r="B4" s="78" t="str">
        <x:v>Propriétaire</x:v>
      </x:c>
      <x:c r="C4" s="78" t="str">
        <x:v>Nom du calque</x:v>
      </x:c>
      <x:c r="D4" s="78" t="str">
        <x:v>Époque source</x:v>
      </x:c>
      <x:c r="E4" s="78" t="str">
        <x:v>Statut</x:v>
      </x:c>
      <x:c r="F4" s="78" t="str">
        <x:v>Chemin GitHub</x:v>
      </x:c>
      <x:c r="G4" s="78" t="str">
        <x:v>Origine des formes</x:v>
      </x:c>
      <x:c r="H4" s="78" t="str">
        <x:v>1:1</x:v>
      </x:c>
      <x:c r="I4" s="78" t="str">
        <x:v>Export</x:v>
      </x:c>
      <x:c r="J4" s="78" t="str">
        <x:v>Contrôle artistique restant</x:v>
      </x:c>
    </x:row>
    <x:row r="5" ht="35" customHeight="1">
      <x:c r="A5" s="79" t="str">
        <x:v>jungle-hunter</x:v>
      </x:c>
      <x:c r="B5" s="79" t="str">
        <x:v>Jungle Hunter · 1987</x:v>
      </x:c>
      <x:c r="C5" s="79" t="str">
        <x:v>01-arm.svg</x:v>
      </x:c>
      <x:c r="D5" s="79" t="str">
        <x:v>v134</x:v>
      </x:c>
      <x:c r="E5" s="79" t="str">
        <x:v>SVG source individuel</x:v>
      </x:c>
      <x:c r="F5" s="79" t="str">
        <x:v>public/game/assets/v134/gauntlets/jungle-hunter/01-arm.svg</x:v>
      </x:c>
      <x:c r="G5" s="79" t="str">
        <x:v>Ref film à confirmer</x:v>
      </x:c>
      <x:c r="H5" s="79" t="str">
        <x:v>NON VALIDÉ</x:v>
      </x:c>
      <x:c r="I5" s="79" t="str">
        <x:v>Export PNG par GitHub Actions</x:v>
      </x:c>
      <x:c r="J5" s="79" t="str">
        <x:v>Mesures, peau, glyphes, UV et charnières à revoir</x:v>
      </x:c>
    </x:row>
    <x:row r="6" ht="35" customHeight="1">
      <x:c r="A6" s="79" t="str">
        <x:v>jungle-hunter</x:v>
      </x:c>
      <x:c r="B6" s="79" t="str">
        <x:v>Jungle Hunter · 1987</x:v>
      </x:c>
      <x:c r="C6" s="79" t="str">
        <x:v>02-housing.svg</x:v>
      </x:c>
      <x:c r="D6" s="79" t="str">
        <x:v>v134</x:v>
      </x:c>
      <x:c r="E6" s="79" t="str">
        <x:v>SVG source individuel</x:v>
      </x:c>
      <x:c r="F6" s="79" t="str">
        <x:v>public/game/assets/v134/gauntlets/jungle-hunter/02-housing.svg</x:v>
      </x:c>
      <x:c r="G6" s="79" t="str">
        <x:v>Ref film à confirmer</x:v>
      </x:c>
      <x:c r="H6" s="79" t="str">
        <x:v>NON VALIDÉ</x:v>
      </x:c>
      <x:c r="I6" s="79" t="str">
        <x:v>Export PNG par GitHub Actions</x:v>
      </x:c>
      <x:c r="J6" s="79" t="str">
        <x:v>Mesures, peau, glyphes, UV et charnières à revoir</x:v>
      </x:c>
    </x:row>
    <x:row r="7" ht="35" customHeight="1">
      <x:c r="A7" s="79" t="str">
        <x:v>jungle-hunter</x:v>
      </x:c>
      <x:c r="B7" s="79" t="str">
        <x:v>Jungle Hunter · 1987</x:v>
      </x:c>
      <x:c r="C7" s="79" t="str">
        <x:v>03-display-glyphs.svg</x:v>
      </x:c>
      <x:c r="D7" s="79" t="str">
        <x:v>v134</x:v>
      </x:c>
      <x:c r="E7" s="79" t="str">
        <x:v>SVG source individuel</x:v>
      </x:c>
      <x:c r="F7" s="79" t="str">
        <x:v>public/game/assets/v134/gauntlets/jungle-hunter/03-display-glyphs.svg</x:v>
      </x:c>
      <x:c r="G7" s="79" t="str">
        <x:v>Ref film à confirmer</x:v>
      </x:c>
      <x:c r="H7" s="79" t="str">
        <x:v>NON VALIDÉ</x:v>
      </x:c>
      <x:c r="I7" s="79" t="str">
        <x:v>Export PNG par GitHub Actions</x:v>
      </x:c>
      <x:c r="J7" s="79" t="str">
        <x:v>Mesures, peau, glyphes, UV et charnières à revoir</x:v>
      </x:c>
    </x:row>
    <x:row r="8" ht="35" customHeight="1">
      <x:c r="A8" s="79" t="str">
        <x:v>jungle-hunter</x:v>
      </x:c>
      <x:c r="B8" s="79" t="str">
        <x:v>Jungle Hunter · 1987</x:v>
      </x:c>
      <x:c r="C8" s="79" t="str">
        <x:v>04-hinge.svg</x:v>
      </x:c>
      <x:c r="D8" s="79" t="str">
        <x:v>v134</x:v>
      </x:c>
      <x:c r="E8" s="79" t="str">
        <x:v>SVG source individuel</x:v>
      </x:c>
      <x:c r="F8" s="79" t="str">
        <x:v>public/game/assets/v134/gauntlets/jungle-hunter/04-hinge.svg</x:v>
      </x:c>
      <x:c r="G8" s="79" t="str">
        <x:v>Ref film à confirmer</x:v>
      </x:c>
      <x:c r="H8" s="79" t="str">
        <x:v>NON VALIDÉ</x:v>
      </x:c>
      <x:c r="I8" s="79" t="str">
        <x:v>Export PNG par GitHub Actions</x:v>
      </x:c>
      <x:c r="J8" s="79" t="str">
        <x:v>Mesures, peau, glyphes, UV et charnières à revoir</x:v>
      </x:c>
    </x:row>
    <x:row r="9" ht="35" customHeight="1">
      <x:c r="A9" s="79" t="str">
        <x:v>jungle-hunter</x:v>
      </x:c>
      <x:c r="B9" s="79" t="str">
        <x:v>Jungle Hunter · 1987</x:v>
      </x:c>
      <x:c r="C9" s="79" t="str">
        <x:v>05-lid.svg</x:v>
      </x:c>
      <x:c r="D9" s="79" t="str">
        <x:v>v134</x:v>
      </x:c>
      <x:c r="E9" s="79" t="str">
        <x:v>SVG source individuel</x:v>
      </x:c>
      <x:c r="F9" s="79" t="str">
        <x:v>public/game/assets/v134/gauntlets/jungle-hunter/05-lid.svg</x:v>
      </x:c>
      <x:c r="G9" s="79" t="str">
        <x:v>Ref film à confirmer</x:v>
      </x:c>
      <x:c r="H9" s="79" t="str">
        <x:v>NON VALIDÉ</x:v>
      </x:c>
      <x:c r="I9" s="79" t="str">
        <x:v>Export PNG par GitHub Actions</x:v>
      </x:c>
      <x:c r="J9" s="79" t="str">
        <x:v>Mesures, peau, glyphes, UV et charnières à revoir</x:v>
      </x:c>
    </x:row>
    <x:row r="10" ht="35" customHeight="1">
      <x:c r="A10" s="79" t="str">
        <x:v>jungle-hunter</x:v>
      </x:c>
      <x:c r="B10" s="79" t="str">
        <x:v>Jungle Hunter · 1987</x:v>
      </x:c>
      <x:c r="C10" s="79" t="str">
        <x:v>06-emitter.svg</x:v>
      </x:c>
      <x:c r="D10" s="79" t="str">
        <x:v>v134</x:v>
      </x:c>
      <x:c r="E10" s="79" t="str">
        <x:v>SVG source individuel</x:v>
      </x:c>
      <x:c r="F10" s="79" t="str">
        <x:v>public/game/assets/v134/gauntlets/jungle-hunter/06-emitter.svg</x:v>
      </x:c>
      <x:c r="G10" s="79" t="str">
        <x:v>Ref film à confirmer</x:v>
      </x:c>
      <x:c r="H10" s="79" t="str">
        <x:v>NON VALIDÉ</x:v>
      </x:c>
      <x:c r="I10" s="79" t="str">
        <x:v>Export PNG par GitHub Actions</x:v>
      </x:c>
      <x:c r="J10" s="79" t="str">
        <x:v>Mesures, peau, glyphes, UV et charnières à revoir</x:v>
      </x:c>
    </x:row>
    <x:row r="11" ht="35" customHeight="1">
      <x:c r="A11" s="79" t="str">
        <x:v>jungle-hunter</x:v>
      </x:c>
      <x:c r="B11" s="79" t="str">
        <x:v>Jungle Hunter · 1987</x:v>
      </x:c>
      <x:c r="C11" s="79" t="str">
        <x:v>07-beam.svg</x:v>
      </x:c>
      <x:c r="D11" s="79" t="str">
        <x:v>v134</x:v>
      </x:c>
      <x:c r="E11" s="79" t="str">
        <x:v>SVG source individuel</x:v>
      </x:c>
      <x:c r="F11" s="79" t="str">
        <x:v>public/game/assets/v134/gauntlets/jungle-hunter/07-beam.svg</x:v>
      </x:c>
      <x:c r="G11" s="79" t="str">
        <x:v>Ref film à confirmer</x:v>
      </x:c>
      <x:c r="H11" s="79" t="str">
        <x:v>NON VALIDÉ</x:v>
      </x:c>
      <x:c r="I11" s="79" t="str">
        <x:v>Export PNG par GitHub Actions</x:v>
      </x:c>
      <x:c r="J11" s="79" t="str">
        <x:v>Mesures, peau, glyphes, UV et charnières à revoir</x:v>
      </x:c>
    </x:row>
    <x:row r="12" ht="35" customHeight="1">
      <x:c r="A12" s="79" t="str">
        <x:v>city-hunter</x:v>
      </x:c>
      <x:c r="B12" s="79" t="str">
        <x:v>City Hunter · 1990</x:v>
      </x:c>
      <x:c r="C12" s="79" t="str">
        <x:v>01-forearm.svg</x:v>
      </x:c>
      <x:c r="D12" s="79" t="str">
        <x:v>v135</x:v>
      </x:c>
      <x:c r="E12" s="79" t="str">
        <x:v>SVG source individuel</x:v>
      </x:c>
      <x:c r="F12" s="79" t="str">
        <x:v>public/game/assets/v135/gauntlets/city-hunter/01-forearm.svg</x:v>
      </x:c>
      <x:c r="G12" s="79" t="str">
        <x:v>Ref film à confirmer</x:v>
      </x:c>
      <x:c r="H12" s="79" t="str">
        <x:v>NON VALIDÉ</x:v>
      </x:c>
      <x:c r="I12" s="79" t="str">
        <x:v>Export PNG par GitHub Actions</x:v>
      </x:c>
      <x:c r="J12" s="79" t="str">
        <x:v>Mesures, peau, glyphes, UV et charnières à revoir</x:v>
      </x:c>
    </x:row>
    <x:row r="13" ht="35" customHeight="1">
      <x:c r="A13" s="79" t="str">
        <x:v>city-hunter</x:v>
      </x:c>
      <x:c r="B13" s="79" t="str">
        <x:v>City Hunter · 1990</x:v>
      </x:c>
      <x:c r="C13" s="79" t="str">
        <x:v>02-shell.svg</x:v>
      </x:c>
      <x:c r="D13" s="79" t="str">
        <x:v>v135</x:v>
      </x:c>
      <x:c r="E13" s="79" t="str">
        <x:v>SVG source individuel</x:v>
      </x:c>
      <x:c r="F13" s="79" t="str">
        <x:v>public/game/assets/v135/gauntlets/city-hunter/02-shell.svg</x:v>
      </x:c>
      <x:c r="G13" s="79" t="str">
        <x:v>Ref film à confirmer</x:v>
      </x:c>
      <x:c r="H13" s="79" t="str">
        <x:v>NON VALIDÉ</x:v>
      </x:c>
      <x:c r="I13" s="79" t="str">
        <x:v>Export PNG par GitHub Actions</x:v>
      </x:c>
      <x:c r="J13" s="79" t="str">
        <x:v>Mesures, peau, glyphes, UV et charnières à revoir</x:v>
      </x:c>
    </x:row>
    <x:row r="14" ht="35" customHeight="1">
      <x:c r="A14" s="79" t="str">
        <x:v>city-hunter</x:v>
      </x:c>
      <x:c r="B14" s="79" t="str">
        <x:v>City Hunter · 1990</x:v>
      </x:c>
      <x:c r="C14" s="79" t="str">
        <x:v>03-panel.svg</x:v>
      </x:c>
      <x:c r="D14" s="79" t="str">
        <x:v>v135</x:v>
      </x:c>
      <x:c r="E14" s="79" t="str">
        <x:v>SVG source individuel</x:v>
      </x:c>
      <x:c r="F14" s="79" t="str">
        <x:v>public/game/assets/v135/gauntlets/city-hunter/03-panel.svg</x:v>
      </x:c>
      <x:c r="G14" s="79" t="str">
        <x:v>Ref film à confirmer</x:v>
      </x:c>
      <x:c r="H14" s="79" t="str">
        <x:v>NON VALIDÉ</x:v>
      </x:c>
      <x:c r="I14" s="79" t="str">
        <x:v>Export PNG par GitHub Actions</x:v>
      </x:c>
      <x:c r="J14" s="79" t="str">
        <x:v>Mesures, peau, glyphes, UV et charnières à revoir</x:v>
      </x:c>
    </x:row>
    <x:row r="15" ht="35" customHeight="1">
      <x:c r="A15" s="79" t="str">
        <x:v>city-hunter</x:v>
      </x:c>
      <x:c r="B15" s="79" t="str">
        <x:v>City Hunter · 1990</x:v>
      </x:c>
      <x:c r="C15" s="79" t="str">
        <x:v>04-cover.svg</x:v>
      </x:c>
      <x:c r="D15" s="79" t="str">
        <x:v>v135</x:v>
      </x:c>
      <x:c r="E15" s="79" t="str">
        <x:v>SVG source individuel</x:v>
      </x:c>
      <x:c r="F15" s="79" t="str">
        <x:v>public/game/assets/v135/gauntlets/city-hunter/04-cover.svg</x:v>
      </x:c>
      <x:c r="G15" s="79" t="str">
        <x:v>Ref film à confirmer</x:v>
      </x:c>
      <x:c r="H15" s="79" t="str">
        <x:v>NON VALIDÉ</x:v>
      </x:c>
      <x:c r="I15" s="79" t="str">
        <x:v>Export PNG par GitHub Actions</x:v>
      </x:c>
      <x:c r="J15" s="79" t="str">
        <x:v>Mesures, peau, glyphes, UV et charnières à revoir</x:v>
      </x:c>
    </x:row>
    <x:row r="16" ht="35" customHeight="1">
      <x:c r="A16" s="79" t="str">
        <x:v>greyback</x:v>
      </x:c>
      <x:c r="B16" s="79" t="str">
        <x:v>Greyback / Elder · 1990</x:v>
      </x:c>
      <x:c r="C16" s="79" t="str">
        <x:v>01-arm.svg</x:v>
      </x:c>
      <x:c r="D16" s="79" t="str">
        <x:v>v136</x:v>
      </x:c>
      <x:c r="E16" s="79" t="str">
        <x:v>SVG source individuel</x:v>
      </x:c>
      <x:c r="F16" s="79" t="str">
        <x:v>public/game/assets/v136/gauntlets/greyback/01-arm.svg</x:v>
      </x:c>
      <x:c r="G16" s="79" t="str">
        <x:v>Création ORIGINALE</x:v>
      </x:c>
      <x:c r="H16" s="79" t="str">
        <x:v>NON VALIDÉ</x:v>
      </x:c>
      <x:c r="I16" s="79" t="str">
        <x:v>Export PNG par GitHub Actions</x:v>
      </x:c>
      <x:c r="J16" s="79" t="str">
        <x:v>Mesures, peau, glyphes, UV et charnières à revoir</x:v>
      </x:c>
    </x:row>
    <x:row r="17" ht="35" customHeight="1">
      <x:c r="A17" s="79" t="str">
        <x:v>greyback</x:v>
      </x:c>
      <x:c r="B17" s="79" t="str">
        <x:v>Greyback / Elder · 1990</x:v>
      </x:c>
      <x:c r="C17" s="79" t="str">
        <x:v>02-shell.svg</x:v>
      </x:c>
      <x:c r="D17" s="79" t="str">
        <x:v>v136</x:v>
      </x:c>
      <x:c r="E17" s="79" t="str">
        <x:v>SVG source individuel</x:v>
      </x:c>
      <x:c r="F17" s="79" t="str">
        <x:v>public/game/assets/v136/gauntlets/greyback/02-shell.svg</x:v>
      </x:c>
      <x:c r="G17" s="79" t="str">
        <x:v>Création ORIGINALE</x:v>
      </x:c>
      <x:c r="H17" s="79" t="str">
        <x:v>NON VALIDÉ</x:v>
      </x:c>
      <x:c r="I17" s="79" t="str">
        <x:v>Export PNG par GitHub Actions</x:v>
      </x:c>
      <x:c r="J17" s="79" t="str">
        <x:v>Mesures, peau, glyphes, UV et charnières à revoir</x:v>
      </x:c>
    </x:row>
    <x:row r="18" ht="35" customHeight="1">
      <x:c r="A18" s="79" t="str">
        <x:v>greyback</x:v>
      </x:c>
      <x:c r="B18" s="79" t="str">
        <x:v>Greyback / Elder · 1990</x:v>
      </x:c>
      <x:c r="C18" s="79" t="str">
        <x:v>03-interface.svg</x:v>
      </x:c>
      <x:c r="D18" s="79" t="str">
        <x:v>v136</x:v>
      </x:c>
      <x:c r="E18" s="79" t="str">
        <x:v>SVG source individuel</x:v>
      </x:c>
      <x:c r="F18" s="79" t="str">
        <x:v>public/game/assets/v136/gauntlets/greyback/03-interface.svg</x:v>
      </x:c>
      <x:c r="G18" s="79" t="str">
        <x:v>Création ORIGINALE</x:v>
      </x:c>
      <x:c r="H18" s="79" t="str">
        <x:v>NON VALIDÉ</x:v>
      </x:c>
      <x:c r="I18" s="79" t="str">
        <x:v>Export PNG par GitHub Actions</x:v>
      </x:c>
      <x:c r="J18" s="79" t="str">
        <x:v>Mesures, peau, glyphes, UV et charnières à revoir</x:v>
      </x:c>
    </x:row>
    <x:row r="19" ht="35" customHeight="1">
      <x:c r="A19" s="79" t="str">
        <x:v>greyback</x:v>
      </x:c>
      <x:c r="B19" s="79" t="str">
        <x:v>Greyback / Elder · 1990</x:v>
      </x:c>
      <x:c r="C19" s="79" t="str">
        <x:v>04-lid.svg</x:v>
      </x:c>
      <x:c r="D19" s="79" t="str">
        <x:v>v136</x:v>
      </x:c>
      <x:c r="E19" s="79" t="str">
        <x:v>SVG source individuel</x:v>
      </x:c>
      <x:c r="F19" s="79" t="str">
        <x:v>public/game/assets/v136/gauntlets/greyback/04-lid.svg</x:v>
      </x:c>
      <x:c r="G19" s="79" t="str">
        <x:v>Création ORIGINALE</x:v>
      </x:c>
      <x:c r="H19" s="79" t="str">
        <x:v>NON VALIDÉ</x:v>
      </x:c>
      <x:c r="I19" s="79" t="str">
        <x:v>Export PNG par GitHub Actions</x:v>
      </x:c>
      <x:c r="J19" s="79" t="str">
        <x:v>Mesures, peau, glyphes, UV et charnières à revoir</x:v>
      </x:c>
    </x:row>
    <x:row r="20" ht="35" customHeight="1">
      <x:c r="A20" s="79" t="str">
        <x:v>lost-boar</x:v>
      </x:c>
      <x:c r="B20" s="79" t="str">
        <x:v>Boar · Lost Tribe</x:v>
      </x:c>
      <x:c r="C20" s="79" t="str">
        <x:v>01-arm.svg</x:v>
      </x:c>
      <x:c r="D20" s="79" t="str">
        <x:v>v136</x:v>
      </x:c>
      <x:c r="E20" s="79" t="str">
        <x:v>SVG source individuel</x:v>
      </x:c>
      <x:c r="F20" s="79" t="str">
        <x:v>public/game/assets/v136/gauntlets/lost-boar/01-arm.svg</x:v>
      </x:c>
      <x:c r="G20" s="79" t="str">
        <x:v>Création ORIGINALE</x:v>
      </x:c>
      <x:c r="H20" s="79" t="str">
        <x:v>NON VALIDÉ</x:v>
      </x:c>
      <x:c r="I20" s="79" t="str">
        <x:v>Export PNG par GitHub Actions</x:v>
      </x:c>
      <x:c r="J20" s="79" t="str">
        <x:v>Mesures, peau, glyphes, UV et charnières à revoir</x:v>
      </x:c>
    </x:row>
    <x:row r="21" ht="35" customHeight="1">
      <x:c r="A21" s="79" t="str">
        <x:v>lost-boar</x:v>
      </x:c>
      <x:c r="B21" s="79" t="str">
        <x:v>Boar · Lost Tribe</x:v>
      </x:c>
      <x:c r="C21" s="79" t="str">
        <x:v>02-shell.svg</x:v>
      </x:c>
      <x:c r="D21" s="79" t="str">
        <x:v>v136</x:v>
      </x:c>
      <x:c r="E21" s="79" t="str">
        <x:v>SVG source individuel</x:v>
      </x:c>
      <x:c r="F21" s="79" t="str">
        <x:v>public/game/assets/v136/gauntlets/lost-boar/02-shell.svg</x:v>
      </x:c>
      <x:c r="G21" s="79" t="str">
        <x:v>Création ORIGINALE</x:v>
      </x:c>
      <x:c r="H21" s="79" t="str">
        <x:v>NON VALIDÉ</x:v>
      </x:c>
      <x:c r="I21" s="79" t="str">
        <x:v>Export PNG par GitHub Actions</x:v>
      </x:c>
      <x:c r="J21" s="79" t="str">
        <x:v>Mesures, peau, glyphes, UV et charnières à revoir</x:v>
      </x:c>
    </x:row>
    <x:row r="22" ht="35" customHeight="1">
      <x:c r="A22" s="79" t="str">
        <x:v>lost-boar</x:v>
      </x:c>
      <x:c r="B22" s="79" t="str">
        <x:v>Boar · Lost Tribe</x:v>
      </x:c>
      <x:c r="C22" s="79" t="str">
        <x:v>03-interface.svg</x:v>
      </x:c>
      <x:c r="D22" s="79" t="str">
        <x:v>v136</x:v>
      </x:c>
      <x:c r="E22" s="79" t="str">
        <x:v>SVG source individuel</x:v>
      </x:c>
      <x:c r="F22" s="79" t="str">
        <x:v>public/game/assets/v136/gauntlets/lost-boar/03-interface.svg</x:v>
      </x:c>
      <x:c r="G22" s="79" t="str">
        <x:v>Création ORIGINALE</x:v>
      </x:c>
      <x:c r="H22" s="79" t="str">
        <x:v>NON VALIDÉ</x:v>
      </x:c>
      <x:c r="I22" s="79" t="str">
        <x:v>Export PNG par GitHub Actions</x:v>
      </x:c>
      <x:c r="J22" s="79" t="str">
        <x:v>Mesures, peau, glyphes, UV et charnières à revoir</x:v>
      </x:c>
    </x:row>
    <x:row r="23" ht="35" customHeight="1">
      <x:c r="A23" s="79" t="str">
        <x:v>lost-boar</x:v>
      </x:c>
      <x:c r="B23" s="79" t="str">
        <x:v>Boar · Lost Tribe</x:v>
      </x:c>
      <x:c r="C23" s="79" t="str">
        <x:v>04-lid.svg</x:v>
      </x:c>
      <x:c r="D23" s="79" t="str">
        <x:v>v136</x:v>
      </x:c>
      <x:c r="E23" s="79" t="str">
        <x:v>SVG source individuel</x:v>
      </x:c>
      <x:c r="F23" s="79" t="str">
        <x:v>public/game/assets/v136/gauntlets/lost-boar/04-lid.svg</x:v>
      </x:c>
      <x:c r="G23" s="79" t="str">
        <x:v>Création ORIGINALE</x:v>
      </x:c>
      <x:c r="H23" s="79" t="str">
        <x:v>NON VALIDÉ</x:v>
      </x:c>
      <x:c r="I23" s="79" t="str">
        <x:v>Export PNG par GitHub Actions</x:v>
      </x:c>
      <x:c r="J23" s="79" t="str">
        <x:v>Mesures, peau, glyphes, UV et charnières à revoir</x:v>
      </x:c>
    </x:row>
    <x:row r="24" ht="35" customHeight="1">
      <x:c r="A24" s="79" t="str">
        <x:v>lost-shaman</x:v>
      </x:c>
      <x:c r="B24" s="79" t="str">
        <x:v>Shaman · Lost Tribe</x:v>
      </x:c>
      <x:c r="C24" s="79" t="str">
        <x:v>01-arm.svg</x:v>
      </x:c>
      <x:c r="D24" s="79" t="str">
        <x:v>v136</x:v>
      </x:c>
      <x:c r="E24" s="79" t="str">
        <x:v>SVG source individuel</x:v>
      </x:c>
      <x:c r="F24" s="79" t="str">
        <x:v>public/game/assets/v136/gauntlets/lost-shaman/01-arm.svg</x:v>
      </x:c>
      <x:c r="G24" s="79" t="str">
        <x:v>Création ORIGINALE</x:v>
      </x:c>
      <x:c r="H24" s="79" t="str">
        <x:v>NON VALIDÉ</x:v>
      </x:c>
      <x:c r="I24" s="79" t="str">
        <x:v>Export PNG par GitHub Actions</x:v>
      </x:c>
      <x:c r="J24" s="79" t="str">
        <x:v>Mesures, peau, glyphes, UV et charnières à revoir</x:v>
      </x:c>
    </x:row>
    <x:row r="25" ht="35" customHeight="1">
      <x:c r="A25" s="79" t="str">
        <x:v>lost-shaman</x:v>
      </x:c>
      <x:c r="B25" s="79" t="str">
        <x:v>Shaman · Lost Tribe</x:v>
      </x:c>
      <x:c r="C25" s="79" t="str">
        <x:v>02-shell.svg</x:v>
      </x:c>
      <x:c r="D25" s="79" t="str">
        <x:v>v136</x:v>
      </x:c>
      <x:c r="E25" s="79" t="str">
        <x:v>SVG source individuel</x:v>
      </x:c>
      <x:c r="F25" s="79" t="str">
        <x:v>public/game/assets/v136/gauntlets/lost-shaman/02-shell.svg</x:v>
      </x:c>
      <x:c r="G25" s="79" t="str">
        <x:v>Création ORIGINALE</x:v>
      </x:c>
      <x:c r="H25" s="79" t="str">
        <x:v>NON VALIDÉ</x:v>
      </x:c>
      <x:c r="I25" s="79" t="str">
        <x:v>Export PNG par GitHub Actions</x:v>
      </x:c>
      <x:c r="J25" s="79" t="str">
        <x:v>Mesures, peau, glyphes, UV et charnières à revoir</x:v>
      </x:c>
    </x:row>
    <x:row r="26" ht="35" customHeight="1">
      <x:c r="A26" s="79" t="str">
        <x:v>lost-shaman</x:v>
      </x:c>
      <x:c r="B26" s="79" t="str">
        <x:v>Shaman · Lost Tribe</x:v>
      </x:c>
      <x:c r="C26" s="79" t="str">
        <x:v>03-interface.svg</x:v>
      </x:c>
      <x:c r="D26" s="79" t="str">
        <x:v>v136</x:v>
      </x:c>
      <x:c r="E26" s="79" t="str">
        <x:v>SVG source individuel</x:v>
      </x:c>
      <x:c r="F26" s="79" t="str">
        <x:v>public/game/assets/v136/gauntlets/lost-shaman/03-interface.svg</x:v>
      </x:c>
      <x:c r="G26" s="79" t="str">
        <x:v>Création ORIGINALE</x:v>
      </x:c>
      <x:c r="H26" s="79" t="str">
        <x:v>NON VALIDÉ</x:v>
      </x:c>
      <x:c r="I26" s="79" t="str">
        <x:v>Export PNG par GitHub Actions</x:v>
      </x:c>
      <x:c r="J26" s="79" t="str">
        <x:v>Mesures, peau, glyphes, UV et charnières à revoir</x:v>
      </x:c>
    </x:row>
    <x:row r="27" ht="35" customHeight="1">
      <x:c r="A27" s="79" t="str">
        <x:v>lost-shaman</x:v>
      </x:c>
      <x:c r="B27" s="79" t="str">
        <x:v>Shaman · Lost Tribe</x:v>
      </x:c>
      <x:c r="C27" s="79" t="str">
        <x:v>04-lid.svg</x:v>
      </x:c>
      <x:c r="D27" s="79" t="str">
        <x:v>v136</x:v>
      </x:c>
      <x:c r="E27" s="79" t="str">
        <x:v>SVG source individuel</x:v>
      </x:c>
      <x:c r="F27" s="79" t="str">
        <x:v>public/game/assets/v136/gauntlets/lost-shaman/04-lid.svg</x:v>
      </x:c>
      <x:c r="G27" s="79" t="str">
        <x:v>Création ORIGINALE</x:v>
      </x:c>
      <x:c r="H27" s="79" t="str">
        <x:v>NON VALIDÉ</x:v>
      </x:c>
      <x:c r="I27" s="79" t="str">
        <x:v>Export PNG par GitHub Actions</x:v>
      </x:c>
      <x:c r="J27" s="79" t="str">
        <x:v>Mesures, peau, glyphes, UV et charnières à revoir</x:v>
      </x:c>
    </x:row>
    <x:row r="28" ht="35" customHeight="1">
      <x:c r="A28" s="79" t="str">
        <x:v>lost-guardian</x:v>
      </x:c>
      <x:c r="B28" s="79" t="str">
        <x:v>Guardian · Lost Tribe</x:v>
      </x:c>
      <x:c r="C28" s="79" t="str">
        <x:v>01-arm.svg</x:v>
      </x:c>
      <x:c r="D28" s="79" t="str">
        <x:v>v136</x:v>
      </x:c>
      <x:c r="E28" s="79" t="str">
        <x:v>SVG source individuel</x:v>
      </x:c>
      <x:c r="F28" s="79" t="str">
        <x:v>public/game/assets/v136/gauntlets/lost-guardian/01-arm.svg</x:v>
      </x:c>
      <x:c r="G28" s="79" t="str">
        <x:v>Création ORIGINALE</x:v>
      </x:c>
      <x:c r="H28" s="79" t="str">
        <x:v>NON VALIDÉ</x:v>
      </x:c>
      <x:c r="I28" s="79" t="str">
        <x:v>Export PNG par GitHub Actions</x:v>
      </x:c>
      <x:c r="J28" s="79" t="str">
        <x:v>Mesures, peau, glyphes, UV et charnières à revoir</x:v>
      </x:c>
    </x:row>
    <x:row r="29" ht="35" customHeight="1">
      <x:c r="A29" s="79" t="str">
        <x:v>lost-guardian</x:v>
      </x:c>
      <x:c r="B29" s="79" t="str">
        <x:v>Guardian · Lost Tribe</x:v>
      </x:c>
      <x:c r="C29" s="79" t="str">
        <x:v>02-shell.svg</x:v>
      </x:c>
      <x:c r="D29" s="79" t="str">
        <x:v>v136</x:v>
      </x:c>
      <x:c r="E29" s="79" t="str">
        <x:v>SVG source individuel</x:v>
      </x:c>
      <x:c r="F29" s="79" t="str">
        <x:v>public/game/assets/v136/gauntlets/lost-guardian/02-shell.svg</x:v>
      </x:c>
      <x:c r="G29" s="79" t="str">
        <x:v>Création ORIGINALE</x:v>
      </x:c>
      <x:c r="H29" s="79" t="str">
        <x:v>NON VALIDÉ</x:v>
      </x:c>
      <x:c r="I29" s="79" t="str">
        <x:v>Export PNG par GitHub Actions</x:v>
      </x:c>
      <x:c r="J29" s="79" t="str">
        <x:v>Mesures, peau, glyphes, UV et charnières à revoir</x:v>
      </x:c>
    </x:row>
    <x:row r="30" ht="35" customHeight="1">
      <x:c r="A30" s="79" t="str">
        <x:v>lost-guardian</x:v>
      </x:c>
      <x:c r="B30" s="79" t="str">
        <x:v>Guardian · Lost Tribe</x:v>
      </x:c>
      <x:c r="C30" s="79" t="str">
        <x:v>03-interface.svg</x:v>
      </x:c>
      <x:c r="D30" s="79" t="str">
        <x:v>v136</x:v>
      </x:c>
      <x:c r="E30" s="79" t="str">
        <x:v>SVG source individuel</x:v>
      </x:c>
      <x:c r="F30" s="79" t="str">
        <x:v>public/game/assets/v136/gauntlets/lost-guardian/03-interface.svg</x:v>
      </x:c>
      <x:c r="G30" s="79" t="str">
        <x:v>Création ORIGINALE</x:v>
      </x:c>
      <x:c r="H30" s="79" t="str">
        <x:v>NON VALIDÉ</x:v>
      </x:c>
      <x:c r="I30" s="79" t="str">
        <x:v>Export PNG par GitHub Actions</x:v>
      </x:c>
      <x:c r="J30" s="79" t="str">
        <x:v>Mesures, peau, glyphes, UV et charnières à revoir</x:v>
      </x:c>
    </x:row>
    <x:row r="31" ht="35" customHeight="1">
      <x:c r="A31" s="79" t="str">
        <x:v>lost-guardian</x:v>
      </x:c>
      <x:c r="B31" s="79" t="str">
        <x:v>Guardian · Lost Tribe</x:v>
      </x:c>
      <x:c r="C31" s="79" t="str">
        <x:v>04-lid.svg</x:v>
      </x:c>
      <x:c r="D31" s="79" t="str">
        <x:v>v136</x:v>
      </x:c>
      <x:c r="E31" s="79" t="str">
        <x:v>SVG source individuel</x:v>
      </x:c>
      <x:c r="F31" s="79" t="str">
        <x:v>public/game/assets/v136/gauntlets/lost-guardian/04-lid.svg</x:v>
      </x:c>
      <x:c r="G31" s="79" t="str">
        <x:v>Création ORIGINALE</x:v>
      </x:c>
      <x:c r="H31" s="79" t="str">
        <x:v>NON VALIDÉ</x:v>
      </x:c>
      <x:c r="I31" s="79" t="str">
        <x:v>Export PNG par GitHub Actions</x:v>
      </x:c>
      <x:c r="J31" s="79" t="str">
        <x:v>Mesures, peau, glyphes, UV et charnières à revoir</x:v>
      </x:c>
    </x:row>
    <x:row r="32" ht="35" customHeight="1">
      <x:c r="A32" s="79" t="str">
        <x:v>lost-stalker</x:v>
      </x:c>
      <x:c r="B32" s="79" t="str">
        <x:v>Stalker · Lost Tribe</x:v>
      </x:c>
      <x:c r="C32" s="79" t="str">
        <x:v>01-arm.svg</x:v>
      </x:c>
      <x:c r="D32" s="79" t="str">
        <x:v>v136</x:v>
      </x:c>
      <x:c r="E32" s="79" t="str">
        <x:v>SVG source individuel</x:v>
      </x:c>
      <x:c r="F32" s="79" t="str">
        <x:v>public/game/assets/v136/gauntlets/lost-stalker/01-arm.svg</x:v>
      </x:c>
      <x:c r="G32" s="79" t="str">
        <x:v>Création ORIGINALE</x:v>
      </x:c>
      <x:c r="H32" s="79" t="str">
        <x:v>NON VALIDÉ</x:v>
      </x:c>
      <x:c r="I32" s="79" t="str">
        <x:v>Export PNG par GitHub Actions</x:v>
      </x:c>
      <x:c r="J32" s="79" t="str">
        <x:v>Mesures, peau, glyphes, UV et charnières à revoir</x:v>
      </x:c>
    </x:row>
    <x:row r="33" ht="35" customHeight="1">
      <x:c r="A33" s="79" t="str">
        <x:v>lost-stalker</x:v>
      </x:c>
      <x:c r="B33" s="79" t="str">
        <x:v>Stalker · Lost Tribe</x:v>
      </x:c>
      <x:c r="C33" s="79" t="str">
        <x:v>02-shell.svg</x:v>
      </x:c>
      <x:c r="D33" s="79" t="str">
        <x:v>v136</x:v>
      </x:c>
      <x:c r="E33" s="79" t="str">
        <x:v>SVG source individuel</x:v>
      </x:c>
      <x:c r="F33" s="79" t="str">
        <x:v>public/game/assets/v136/gauntlets/lost-stalker/02-shell.svg</x:v>
      </x:c>
      <x:c r="G33" s="79" t="str">
        <x:v>Création ORIGINALE</x:v>
      </x:c>
      <x:c r="H33" s="79" t="str">
        <x:v>NON VALIDÉ</x:v>
      </x:c>
      <x:c r="I33" s="79" t="str">
        <x:v>Export PNG par GitHub Actions</x:v>
      </x:c>
      <x:c r="J33" s="79" t="str">
        <x:v>Mesures, peau, glyphes, UV et charnières à revoir</x:v>
      </x:c>
    </x:row>
    <x:row r="34" ht="35" customHeight="1">
      <x:c r="A34" s="79" t="str">
        <x:v>lost-stalker</x:v>
      </x:c>
      <x:c r="B34" s="79" t="str">
        <x:v>Stalker · Lost Tribe</x:v>
      </x:c>
      <x:c r="C34" s="79" t="str">
        <x:v>03-interface.svg</x:v>
      </x:c>
      <x:c r="D34" s="79" t="str">
        <x:v>v136</x:v>
      </x:c>
      <x:c r="E34" s="79" t="str">
        <x:v>SVG source individuel</x:v>
      </x:c>
      <x:c r="F34" s="79" t="str">
        <x:v>public/game/assets/v136/gauntlets/lost-stalker/03-interface.svg</x:v>
      </x:c>
      <x:c r="G34" s="79" t="str">
        <x:v>Création ORIGINALE</x:v>
      </x:c>
      <x:c r="H34" s="79" t="str">
        <x:v>NON VALIDÉ</x:v>
      </x:c>
      <x:c r="I34" s="79" t="str">
        <x:v>Export PNG par GitHub Actions</x:v>
      </x:c>
      <x:c r="J34" s="79" t="str">
        <x:v>Mesures, peau, glyphes, UV et charnières à revoir</x:v>
      </x:c>
    </x:row>
    <x:row r="35" ht="35" customHeight="1">
      <x:c r="A35" s="79" t="str">
        <x:v>lost-stalker</x:v>
      </x:c>
      <x:c r="B35" s="79" t="str">
        <x:v>Stalker · Lost Tribe</x:v>
      </x:c>
      <x:c r="C35" s="79" t="str">
        <x:v>04-lid.svg</x:v>
      </x:c>
      <x:c r="D35" s="79" t="str">
        <x:v>v136</x:v>
      </x:c>
      <x:c r="E35" s="79" t="str">
        <x:v>SVG source individuel</x:v>
      </x:c>
      <x:c r="F35" s="79" t="str">
        <x:v>public/game/assets/v136/gauntlets/lost-stalker/04-lid.svg</x:v>
      </x:c>
      <x:c r="G35" s="79" t="str">
        <x:v>Création ORIGINALE</x:v>
      </x:c>
      <x:c r="H35" s="79" t="str">
        <x:v>NON VALIDÉ</x:v>
      </x:c>
      <x:c r="I35" s="79" t="str">
        <x:v>Export PNG par GitHub Actions</x:v>
      </x:c>
      <x:c r="J35" s="79" t="str">
        <x:v>Mesures, peau, glyphes, UV et charnières à revoir</x:v>
      </x:c>
    </x:row>
    <x:row r="36" ht="35" customHeight="1">
      <x:c r="A36" s="79" t="str">
        <x:v>lost-snake</x:v>
      </x:c>
      <x:c r="B36" s="79" t="str">
        <x:v>Snake · Lost Tribe</x:v>
      </x:c>
      <x:c r="C36" s="79" t="str">
        <x:v>01-arm.svg</x:v>
      </x:c>
      <x:c r="D36" s="79" t="str">
        <x:v>v136</x:v>
      </x:c>
      <x:c r="E36" s="79" t="str">
        <x:v>SVG source individuel</x:v>
      </x:c>
      <x:c r="F36" s="79" t="str">
        <x:v>public/game/assets/v136/gauntlets/lost-snake/01-arm.svg</x:v>
      </x:c>
      <x:c r="G36" s="79" t="str">
        <x:v>Création ORIGINALE</x:v>
      </x:c>
      <x:c r="H36" s="79" t="str">
        <x:v>NON VALIDÉ</x:v>
      </x:c>
      <x:c r="I36" s="79" t="str">
        <x:v>Export PNG par GitHub Actions</x:v>
      </x:c>
      <x:c r="J36" s="79" t="str">
        <x:v>Mesures, peau, glyphes, UV et charnières à revoir</x:v>
      </x:c>
    </x:row>
    <x:row r="37" ht="35" customHeight="1">
      <x:c r="A37" s="79" t="str">
        <x:v>lost-snake</x:v>
      </x:c>
      <x:c r="B37" s="79" t="str">
        <x:v>Snake · Lost Tribe</x:v>
      </x:c>
      <x:c r="C37" s="79" t="str">
        <x:v>02-shell.svg</x:v>
      </x:c>
      <x:c r="D37" s="79" t="str">
        <x:v>v136</x:v>
      </x:c>
      <x:c r="E37" s="79" t="str">
        <x:v>SVG source individuel</x:v>
      </x:c>
      <x:c r="F37" s="79" t="str">
        <x:v>public/game/assets/v136/gauntlets/lost-snake/02-shell.svg</x:v>
      </x:c>
      <x:c r="G37" s="79" t="str">
        <x:v>Création ORIGINALE</x:v>
      </x:c>
      <x:c r="H37" s="79" t="str">
        <x:v>NON VALIDÉ</x:v>
      </x:c>
      <x:c r="I37" s="79" t="str">
        <x:v>Export PNG par GitHub Actions</x:v>
      </x:c>
      <x:c r="J37" s="79" t="str">
        <x:v>Mesures, peau, glyphes, UV et charnières à revoir</x:v>
      </x:c>
    </x:row>
    <x:row r="38" ht="35" customHeight="1">
      <x:c r="A38" s="79" t="str">
        <x:v>lost-snake</x:v>
      </x:c>
      <x:c r="B38" s="79" t="str">
        <x:v>Snake · Lost Tribe</x:v>
      </x:c>
      <x:c r="C38" s="79" t="str">
        <x:v>03-interface.svg</x:v>
      </x:c>
      <x:c r="D38" s="79" t="str">
        <x:v>v136</x:v>
      </x:c>
      <x:c r="E38" s="79" t="str">
        <x:v>SVG source individuel</x:v>
      </x:c>
      <x:c r="F38" s="79" t="str">
        <x:v>public/game/assets/v136/gauntlets/lost-snake/03-interface.svg</x:v>
      </x:c>
      <x:c r="G38" s="79" t="str">
        <x:v>Création ORIGINALE</x:v>
      </x:c>
      <x:c r="H38" s="79" t="str">
        <x:v>NON VALIDÉ</x:v>
      </x:c>
      <x:c r="I38" s="79" t="str">
        <x:v>Export PNG par GitHub Actions</x:v>
      </x:c>
      <x:c r="J38" s="79" t="str">
        <x:v>Mesures, peau, glyphes, UV et charnières à revoir</x:v>
      </x:c>
    </x:row>
    <x:row r="39" ht="35" customHeight="1">
      <x:c r="A39" s="79" t="str">
        <x:v>lost-snake</x:v>
      </x:c>
      <x:c r="B39" s="79" t="str">
        <x:v>Snake · Lost Tribe</x:v>
      </x:c>
      <x:c r="C39" s="79" t="str">
        <x:v>04-lid.svg</x:v>
      </x:c>
      <x:c r="D39" s="79" t="str">
        <x:v>v136</x:v>
      </x:c>
      <x:c r="E39" s="79" t="str">
        <x:v>SVG source individuel</x:v>
      </x:c>
      <x:c r="F39" s="79" t="str">
        <x:v>public/game/assets/v136/gauntlets/lost-snake/04-lid.svg</x:v>
      </x:c>
      <x:c r="G39" s="79" t="str">
        <x:v>Création ORIGINALE</x:v>
      </x:c>
      <x:c r="H39" s="79" t="str">
        <x:v>NON VALIDÉ</x:v>
      </x:c>
      <x:c r="I39" s="79" t="str">
        <x:v>Export PNG par GitHub Actions</x:v>
      </x:c>
      <x:c r="J39" s="79" t="str">
        <x:v>Mesures, peau, glyphes, UV et charnières à revoir</x:v>
      </x:c>
    </x:row>
    <x:row r="40" ht="35" customHeight="1">
      <x:c r="A40" s="79" t="str">
        <x:v>lost-warrior</x:v>
      </x:c>
      <x:c r="B40" s="79" t="str">
        <x:v>Warrior · Lost Tribe</x:v>
      </x:c>
      <x:c r="C40" s="79" t="str">
        <x:v>01-arm.svg</x:v>
      </x:c>
      <x:c r="D40" s="79" t="str">
        <x:v>v136</x:v>
      </x:c>
      <x:c r="E40" s="79" t="str">
        <x:v>SVG source individuel</x:v>
      </x:c>
      <x:c r="F40" s="79" t="str">
        <x:v>public/game/assets/v136/gauntlets/lost-warrior/01-arm.svg</x:v>
      </x:c>
      <x:c r="G40" s="79" t="str">
        <x:v>Création ORIGINALE</x:v>
      </x:c>
      <x:c r="H40" s="79" t="str">
        <x:v>NON VALIDÉ</x:v>
      </x:c>
      <x:c r="I40" s="79" t="str">
        <x:v>Export PNG par GitHub Actions</x:v>
      </x:c>
      <x:c r="J40" s="79" t="str">
        <x:v>Mesures, peau, glyphes, UV et charnières à revoir</x:v>
      </x:c>
    </x:row>
    <x:row r="41" ht="35" customHeight="1">
      <x:c r="A41" s="79" t="str">
        <x:v>lost-warrior</x:v>
      </x:c>
      <x:c r="B41" s="79" t="str">
        <x:v>Warrior · Lost Tribe</x:v>
      </x:c>
      <x:c r="C41" s="79" t="str">
        <x:v>02-shell.svg</x:v>
      </x:c>
      <x:c r="D41" s="79" t="str">
        <x:v>v136</x:v>
      </x:c>
      <x:c r="E41" s="79" t="str">
        <x:v>SVG source individuel</x:v>
      </x:c>
      <x:c r="F41" s="79" t="str">
        <x:v>public/game/assets/v136/gauntlets/lost-warrior/02-shell.svg</x:v>
      </x:c>
      <x:c r="G41" s="79" t="str">
        <x:v>Création ORIGINALE</x:v>
      </x:c>
      <x:c r="H41" s="79" t="str">
        <x:v>NON VALIDÉ</x:v>
      </x:c>
      <x:c r="I41" s="79" t="str">
        <x:v>Export PNG par GitHub Actions</x:v>
      </x:c>
      <x:c r="J41" s="79" t="str">
        <x:v>Mesures, peau, glyphes, UV et charnières à revoir</x:v>
      </x:c>
    </x:row>
    <x:row r="42" ht="35" customHeight="1">
      <x:c r="A42" s="79" t="str">
        <x:v>lost-warrior</x:v>
      </x:c>
      <x:c r="B42" s="79" t="str">
        <x:v>Warrior · Lost Tribe</x:v>
      </x:c>
      <x:c r="C42" s="79" t="str">
        <x:v>03-interface.svg</x:v>
      </x:c>
      <x:c r="D42" s="79" t="str">
        <x:v>v136</x:v>
      </x:c>
      <x:c r="E42" s="79" t="str">
        <x:v>SVG source individuel</x:v>
      </x:c>
      <x:c r="F42" s="79" t="str">
        <x:v>public/game/assets/v136/gauntlets/lost-warrior/03-interface.svg</x:v>
      </x:c>
      <x:c r="G42" s="79" t="str">
        <x:v>Création ORIGINALE</x:v>
      </x:c>
      <x:c r="H42" s="79" t="str">
        <x:v>NON VALIDÉ</x:v>
      </x:c>
      <x:c r="I42" s="79" t="str">
        <x:v>Export PNG par GitHub Actions</x:v>
      </x:c>
      <x:c r="J42" s="79" t="str">
        <x:v>Mesures, peau, glyphes, UV et charnières à revoir</x:v>
      </x:c>
    </x:row>
    <x:row r="43" ht="35" customHeight="1">
      <x:c r="A43" s="79" t="str">
        <x:v>lost-warrior</x:v>
      </x:c>
      <x:c r="B43" s="79" t="str">
        <x:v>Warrior · Lost Tribe</x:v>
      </x:c>
      <x:c r="C43" s="79" t="str">
        <x:v>04-lid.svg</x:v>
      </x:c>
      <x:c r="D43" s="79" t="str">
        <x:v>v136</x:v>
      </x:c>
      <x:c r="E43" s="79" t="str">
        <x:v>SVG source individuel</x:v>
      </x:c>
      <x:c r="F43" s="79" t="str">
        <x:v>public/game/assets/v136/gauntlets/lost-warrior/04-lid.svg</x:v>
      </x:c>
      <x:c r="G43" s="79" t="str">
        <x:v>Création ORIGINALE</x:v>
      </x:c>
      <x:c r="H43" s="79" t="str">
        <x:v>NON VALIDÉ</x:v>
      </x:c>
      <x:c r="I43" s="79" t="str">
        <x:v>Export PNG par GitHub Actions</x:v>
      </x:c>
      <x:c r="J43" s="79" t="str">
        <x:v>Mesures, peau, glyphes, UV et charnières à revoir</x:v>
      </x:c>
    </x:row>
    <x:row r="44" ht="35" customHeight="1">
      <x:c r="A44" s="79" t="str">
        <x:v>lost-scout</x:v>
      </x:c>
      <x:c r="B44" s="79" t="str">
        <x:v>Scout · Lost Tribe</x:v>
      </x:c>
      <x:c r="C44" s="79" t="str">
        <x:v>01-arm.svg</x:v>
      </x:c>
      <x:c r="D44" s="79" t="str">
        <x:v>v136</x:v>
      </x:c>
      <x:c r="E44" s="79" t="str">
        <x:v>SVG source individuel</x:v>
      </x:c>
      <x:c r="F44" s="79" t="str">
        <x:v>public/game/assets/v136/gauntlets/lost-scout/01-arm.svg</x:v>
      </x:c>
      <x:c r="G44" s="79" t="str">
        <x:v>Création ORIGINALE</x:v>
      </x:c>
      <x:c r="H44" s="79" t="str">
        <x:v>NON VALIDÉ</x:v>
      </x:c>
      <x:c r="I44" s="79" t="str">
        <x:v>Export PNG par GitHub Actions</x:v>
      </x:c>
      <x:c r="J44" s="79" t="str">
        <x:v>Mesures, peau, glyphes, UV et charnières à revoir</x:v>
      </x:c>
    </x:row>
    <x:row r="45" ht="35" customHeight="1">
      <x:c r="A45" s="79" t="str">
        <x:v>lost-scout</x:v>
      </x:c>
      <x:c r="B45" s="79" t="str">
        <x:v>Scout · Lost Tribe</x:v>
      </x:c>
      <x:c r="C45" s="79" t="str">
        <x:v>02-shell.svg</x:v>
      </x:c>
      <x:c r="D45" s="79" t="str">
        <x:v>v136</x:v>
      </x:c>
      <x:c r="E45" s="79" t="str">
        <x:v>SVG source individuel</x:v>
      </x:c>
      <x:c r="F45" s="79" t="str">
        <x:v>public/game/assets/v136/gauntlets/lost-scout/02-shell.svg</x:v>
      </x:c>
      <x:c r="G45" s="79" t="str">
        <x:v>Création ORIGINALE</x:v>
      </x:c>
      <x:c r="H45" s="79" t="str">
        <x:v>NON VALIDÉ</x:v>
      </x:c>
      <x:c r="I45" s="79" t="str">
        <x:v>Export PNG par GitHub Actions</x:v>
      </x:c>
      <x:c r="J45" s="79" t="str">
        <x:v>Mesures, peau, glyphes, UV et charnières à revoir</x:v>
      </x:c>
    </x:row>
    <x:row r="46" ht="35" customHeight="1">
      <x:c r="A46" s="79" t="str">
        <x:v>lost-scout</x:v>
      </x:c>
      <x:c r="B46" s="79" t="str">
        <x:v>Scout · Lost Tribe</x:v>
      </x:c>
      <x:c r="C46" s="79" t="str">
        <x:v>03-interface.svg</x:v>
      </x:c>
      <x:c r="D46" s="79" t="str">
        <x:v>v136</x:v>
      </x:c>
      <x:c r="E46" s="79" t="str">
        <x:v>SVG source individuel</x:v>
      </x:c>
      <x:c r="F46" s="79" t="str">
        <x:v>public/game/assets/v136/gauntlets/lost-scout/03-interface.svg</x:v>
      </x:c>
      <x:c r="G46" s="79" t="str">
        <x:v>Création ORIGINALE</x:v>
      </x:c>
      <x:c r="H46" s="79" t="str">
        <x:v>NON VALIDÉ</x:v>
      </x:c>
      <x:c r="I46" s="79" t="str">
        <x:v>Export PNG par GitHub Actions</x:v>
      </x:c>
      <x:c r="J46" s="79" t="str">
        <x:v>Mesures, peau, glyphes, UV et charnières à revoir</x:v>
      </x:c>
    </x:row>
    <x:row r="47" ht="35" customHeight="1">
      <x:c r="A47" s="79" t="str">
        <x:v>lost-scout</x:v>
      </x:c>
      <x:c r="B47" s="79" t="str">
        <x:v>Scout · Lost Tribe</x:v>
      </x:c>
      <x:c r="C47" s="79" t="str">
        <x:v>04-lid.svg</x:v>
      </x:c>
      <x:c r="D47" s="79" t="str">
        <x:v>v136</x:v>
      </x:c>
      <x:c r="E47" s="79" t="str">
        <x:v>SVG source individuel</x:v>
      </x:c>
      <x:c r="F47" s="79" t="str">
        <x:v>public/game/assets/v136/gauntlets/lost-scout/04-lid.svg</x:v>
      </x:c>
      <x:c r="G47" s="79" t="str">
        <x:v>Création ORIGINALE</x:v>
      </x:c>
      <x:c r="H47" s="79" t="str">
        <x:v>NON VALIDÉ</x:v>
      </x:c>
      <x:c r="I47" s="79" t="str">
        <x:v>Export PNG par GitHub Actions</x:v>
      </x:c>
      <x:c r="J47" s="79" t="str">
        <x:v>Mesures, peau, glyphes, UV et charnières à revoir</x:v>
      </x:c>
    </x:row>
    <x:row r="48" ht="35" customHeight="1">
      <x:c r="A48" s="79" t="str">
        <x:v>lost-borg</x:v>
      </x:c>
      <x:c r="B48" s="79" t="str">
        <x:v>Lost / Borg · Lost Tribe</x:v>
      </x:c>
      <x:c r="C48" s="79" t="str">
        <x:v>01-arm.svg</x:v>
      </x:c>
      <x:c r="D48" s="79" t="str">
        <x:v>v136</x:v>
      </x:c>
      <x:c r="E48" s="79" t="str">
        <x:v>SVG source individuel</x:v>
      </x:c>
      <x:c r="F48" s="79" t="str">
        <x:v>public/game/assets/v136/gauntlets/lost-borg/01-arm.svg</x:v>
      </x:c>
      <x:c r="G48" s="79" t="str">
        <x:v>Création ORIGINALE</x:v>
      </x:c>
      <x:c r="H48" s="79" t="str">
        <x:v>NON VALIDÉ</x:v>
      </x:c>
      <x:c r="I48" s="79" t="str">
        <x:v>Export PNG par GitHub Actions</x:v>
      </x:c>
      <x:c r="J48" s="79" t="str">
        <x:v>Mesures, peau, glyphes, UV et charnières à revoir</x:v>
      </x:c>
    </x:row>
    <x:row r="49" ht="35" customHeight="1">
      <x:c r="A49" s="79" t="str">
        <x:v>lost-borg</x:v>
      </x:c>
      <x:c r="B49" s="79" t="str">
        <x:v>Lost / Borg · Lost Tribe</x:v>
      </x:c>
      <x:c r="C49" s="79" t="str">
        <x:v>02-shell.svg</x:v>
      </x:c>
      <x:c r="D49" s="79" t="str">
        <x:v>v136</x:v>
      </x:c>
      <x:c r="E49" s="79" t="str">
        <x:v>SVG source individuel</x:v>
      </x:c>
      <x:c r="F49" s="79" t="str">
        <x:v>public/game/assets/v136/gauntlets/lost-borg/02-shell.svg</x:v>
      </x:c>
      <x:c r="G49" s="79" t="str">
        <x:v>Création ORIGINALE</x:v>
      </x:c>
      <x:c r="H49" s="79" t="str">
        <x:v>NON VALIDÉ</x:v>
      </x:c>
      <x:c r="I49" s="79" t="str">
        <x:v>Export PNG par GitHub Actions</x:v>
      </x:c>
      <x:c r="J49" s="79" t="str">
        <x:v>Mesures, peau, glyphes, UV et charnières à revoir</x:v>
      </x:c>
    </x:row>
    <x:row r="50" ht="35" customHeight="1">
      <x:c r="A50" s="79" t="str">
        <x:v>lost-borg</x:v>
      </x:c>
      <x:c r="B50" s="79" t="str">
        <x:v>Lost / Borg · Lost Tribe</x:v>
      </x:c>
      <x:c r="C50" s="79" t="str">
        <x:v>03-interface.svg</x:v>
      </x:c>
      <x:c r="D50" s="79" t="str">
        <x:v>v136</x:v>
      </x:c>
      <x:c r="E50" s="79" t="str">
        <x:v>SVG source individuel</x:v>
      </x:c>
      <x:c r="F50" s="79" t="str">
        <x:v>public/game/assets/v136/gauntlets/lost-borg/03-interface.svg</x:v>
      </x:c>
      <x:c r="G50" s="79" t="str">
        <x:v>Création ORIGINALE</x:v>
      </x:c>
      <x:c r="H50" s="79" t="str">
        <x:v>NON VALIDÉ</x:v>
      </x:c>
      <x:c r="I50" s="79" t="str">
        <x:v>Export PNG par GitHub Actions</x:v>
      </x:c>
      <x:c r="J50" s="79" t="str">
        <x:v>Mesures, peau, glyphes, UV et charnières à revoir</x:v>
      </x:c>
    </x:row>
    <x:row r="51" ht="35" customHeight="1">
      <x:c r="A51" s="79" t="str">
        <x:v>lost-borg</x:v>
      </x:c>
      <x:c r="B51" s="79" t="str">
        <x:v>Lost / Borg · Lost Tribe</x:v>
      </x:c>
      <x:c r="C51" s="79" t="str">
        <x:v>04-lid.svg</x:v>
      </x:c>
      <x:c r="D51" s="79" t="str">
        <x:v>v136</x:v>
      </x:c>
      <x:c r="E51" s="79" t="str">
        <x:v>SVG source individuel</x:v>
      </x:c>
      <x:c r="F51" s="79" t="str">
        <x:v>public/game/assets/v136/gauntlets/lost-borg/04-lid.svg</x:v>
      </x:c>
      <x:c r="G51" s="79" t="str">
        <x:v>Création ORIGINALE</x:v>
      </x:c>
      <x:c r="H51" s="79" t="str">
        <x:v>NON VALIDÉ</x:v>
      </x:c>
      <x:c r="I51" s="79" t="str">
        <x:v>Export PNG par GitHub Actions</x:v>
      </x:c>
      <x:c r="J51" s="79" t="str">
        <x:v>Mesures, peau, glyphes, UV et charnières à revoir</x:v>
      </x:c>
    </x:row>
    <x:row r="52" ht="35" customHeight="1">
      <x:c r="A52" s="79" t="str">
        <x:v>scar</x:v>
      </x:c>
      <x:c r="B52" s="79" t="str">
        <x:v>Scar · AVP 2004</x:v>
      </x:c>
      <x:c r="C52" s="79" t="str">
        <x:v>01-arm.svg</x:v>
      </x:c>
      <x:c r="D52" s="79" t="str">
        <x:v>v136</x:v>
      </x:c>
      <x:c r="E52" s="79" t="str">
        <x:v>SVG source individuel</x:v>
      </x:c>
      <x:c r="F52" s="79" t="str">
        <x:v>public/game/assets/v136/gauntlets/scar/01-arm.svg</x:v>
      </x:c>
      <x:c r="G52" s="79" t="str">
        <x:v>Création ORIGINALE</x:v>
      </x:c>
      <x:c r="H52" s="79" t="str">
        <x:v>NON VALIDÉ</x:v>
      </x:c>
      <x:c r="I52" s="79" t="str">
        <x:v>Export PNG par GitHub Actions</x:v>
      </x:c>
      <x:c r="J52" s="79" t="str">
        <x:v>Mesures, peau, glyphes, UV et charnières à revoir</x:v>
      </x:c>
    </x:row>
    <x:row r="53" ht="35" customHeight="1">
      <x:c r="A53" s="79" t="str">
        <x:v>scar</x:v>
      </x:c>
      <x:c r="B53" s="79" t="str">
        <x:v>Scar · AVP 2004</x:v>
      </x:c>
      <x:c r="C53" s="79" t="str">
        <x:v>02-shell.svg</x:v>
      </x:c>
      <x:c r="D53" s="79" t="str">
        <x:v>v136</x:v>
      </x:c>
      <x:c r="E53" s="79" t="str">
        <x:v>SVG source individuel</x:v>
      </x:c>
      <x:c r="F53" s="79" t="str">
        <x:v>public/game/assets/v136/gauntlets/scar/02-shell.svg</x:v>
      </x:c>
      <x:c r="G53" s="79" t="str">
        <x:v>Création ORIGINALE</x:v>
      </x:c>
      <x:c r="H53" s="79" t="str">
        <x:v>NON VALIDÉ</x:v>
      </x:c>
      <x:c r="I53" s="79" t="str">
        <x:v>Export PNG par GitHub Actions</x:v>
      </x:c>
      <x:c r="J53" s="79" t="str">
        <x:v>Mesures, peau, glyphes, UV et charnières à revoir</x:v>
      </x:c>
    </x:row>
    <x:row r="54" ht="35" customHeight="1">
      <x:c r="A54" s="79" t="str">
        <x:v>scar</x:v>
      </x:c>
      <x:c r="B54" s="79" t="str">
        <x:v>Scar · AVP 2004</x:v>
      </x:c>
      <x:c r="C54" s="79" t="str">
        <x:v>03-interface.svg</x:v>
      </x:c>
      <x:c r="D54" s="79" t="str">
        <x:v>v136</x:v>
      </x:c>
      <x:c r="E54" s="79" t="str">
        <x:v>SVG source individuel</x:v>
      </x:c>
      <x:c r="F54" s="79" t="str">
        <x:v>public/game/assets/v136/gauntlets/scar/03-interface.svg</x:v>
      </x:c>
      <x:c r="G54" s="79" t="str">
        <x:v>Création ORIGINALE</x:v>
      </x:c>
      <x:c r="H54" s="79" t="str">
        <x:v>NON VALIDÉ</x:v>
      </x:c>
      <x:c r="I54" s="79" t="str">
        <x:v>Export PNG par GitHub Actions</x:v>
      </x:c>
      <x:c r="J54" s="79" t="str">
        <x:v>Mesures, peau, glyphes, UV et charnières à revoir</x:v>
      </x:c>
    </x:row>
    <x:row r="55" ht="35" customHeight="1">
      <x:c r="A55" s="79" t="str">
        <x:v>scar</x:v>
      </x:c>
      <x:c r="B55" s="79" t="str">
        <x:v>Scar · AVP 2004</x:v>
      </x:c>
      <x:c r="C55" s="79" t="str">
        <x:v>04-lid.svg</x:v>
      </x:c>
      <x:c r="D55" s="79" t="str">
        <x:v>v136</x:v>
      </x:c>
      <x:c r="E55" s="79" t="str">
        <x:v>SVG source individuel</x:v>
      </x:c>
      <x:c r="F55" s="79" t="str">
        <x:v>public/game/assets/v136/gauntlets/scar/04-lid.svg</x:v>
      </x:c>
      <x:c r="G55" s="79" t="str">
        <x:v>Création ORIGINALE</x:v>
      </x:c>
      <x:c r="H55" s="79" t="str">
        <x:v>NON VALIDÉ</x:v>
      </x:c>
      <x:c r="I55" s="79" t="str">
        <x:v>Export PNG par GitHub Actions</x:v>
      </x:c>
      <x:c r="J55" s="79" t="str">
        <x:v>Mesures, peau, glyphes, UV et charnières à revoir</x:v>
      </x:c>
    </x:row>
    <x:row r="56" ht="35" customHeight="1">
      <x:c r="A56" s="79" t="str">
        <x:v>celtic</x:v>
      </x:c>
      <x:c r="B56" s="79" t="str">
        <x:v>Celtic · AVP 2004</x:v>
      </x:c>
      <x:c r="C56" s="79" t="str">
        <x:v>01-arm.svg</x:v>
      </x:c>
      <x:c r="D56" s="79" t="str">
        <x:v>v136</x:v>
      </x:c>
      <x:c r="E56" s="79" t="str">
        <x:v>SVG source individuel</x:v>
      </x:c>
      <x:c r="F56" s="79" t="str">
        <x:v>public/game/assets/v136/gauntlets/celtic/01-arm.svg</x:v>
      </x:c>
      <x:c r="G56" s="79" t="str">
        <x:v>Création ORIGINALE</x:v>
      </x:c>
      <x:c r="H56" s="79" t="str">
        <x:v>NON VALIDÉ</x:v>
      </x:c>
      <x:c r="I56" s="79" t="str">
        <x:v>Export PNG par GitHub Actions</x:v>
      </x:c>
      <x:c r="J56" s="79" t="str">
        <x:v>Mesures, peau, glyphes, UV et charnières à revoir</x:v>
      </x:c>
    </x:row>
    <x:row r="57" ht="35" customHeight="1">
      <x:c r="A57" s="79" t="str">
        <x:v>celtic</x:v>
      </x:c>
      <x:c r="B57" s="79" t="str">
        <x:v>Celtic · AVP 2004</x:v>
      </x:c>
      <x:c r="C57" s="79" t="str">
        <x:v>02-shell.svg</x:v>
      </x:c>
      <x:c r="D57" s="79" t="str">
        <x:v>v136</x:v>
      </x:c>
      <x:c r="E57" s="79" t="str">
        <x:v>SVG source individuel</x:v>
      </x:c>
      <x:c r="F57" s="79" t="str">
        <x:v>public/game/assets/v136/gauntlets/celtic/02-shell.svg</x:v>
      </x:c>
      <x:c r="G57" s="79" t="str">
        <x:v>Création ORIGINALE</x:v>
      </x:c>
      <x:c r="H57" s="79" t="str">
        <x:v>NON VALIDÉ</x:v>
      </x:c>
      <x:c r="I57" s="79" t="str">
        <x:v>Export PNG par GitHub Actions</x:v>
      </x:c>
      <x:c r="J57" s="79" t="str">
        <x:v>Mesures, peau, glyphes, UV et charnières à revoir</x:v>
      </x:c>
    </x:row>
    <x:row r="58" ht="35" customHeight="1">
      <x:c r="A58" s="79" t="str">
        <x:v>celtic</x:v>
      </x:c>
      <x:c r="B58" s="79" t="str">
        <x:v>Celtic · AVP 2004</x:v>
      </x:c>
      <x:c r="C58" s="79" t="str">
        <x:v>03-interface.svg</x:v>
      </x:c>
      <x:c r="D58" s="79" t="str">
        <x:v>v136</x:v>
      </x:c>
      <x:c r="E58" s="79" t="str">
        <x:v>SVG source individuel</x:v>
      </x:c>
      <x:c r="F58" s="79" t="str">
        <x:v>public/game/assets/v136/gauntlets/celtic/03-interface.svg</x:v>
      </x:c>
      <x:c r="G58" s="79" t="str">
        <x:v>Création ORIGINALE</x:v>
      </x:c>
      <x:c r="H58" s="79" t="str">
        <x:v>NON VALIDÉ</x:v>
      </x:c>
      <x:c r="I58" s="79" t="str">
        <x:v>Export PNG par GitHub Actions</x:v>
      </x:c>
      <x:c r="J58" s="79" t="str">
        <x:v>Mesures, peau, glyphes, UV et charnières à revoir</x:v>
      </x:c>
    </x:row>
    <x:row r="59" ht="35" customHeight="1">
      <x:c r="A59" s="79" t="str">
        <x:v>celtic</x:v>
      </x:c>
      <x:c r="B59" s="79" t="str">
        <x:v>Celtic · AVP 2004</x:v>
      </x:c>
      <x:c r="C59" s="79" t="str">
        <x:v>04-lid.svg</x:v>
      </x:c>
      <x:c r="D59" s="79" t="str">
        <x:v>v136</x:v>
      </x:c>
      <x:c r="E59" s="79" t="str">
        <x:v>SVG source individuel</x:v>
      </x:c>
      <x:c r="F59" s="79" t="str">
        <x:v>public/game/assets/v136/gauntlets/celtic/04-lid.svg</x:v>
      </x:c>
      <x:c r="G59" s="79" t="str">
        <x:v>Création ORIGINALE</x:v>
      </x:c>
      <x:c r="H59" s="79" t="str">
        <x:v>NON VALIDÉ</x:v>
      </x:c>
      <x:c r="I59" s="79" t="str">
        <x:v>Export PNG par GitHub Actions</x:v>
      </x:c>
      <x:c r="J59" s="79" t="str">
        <x:v>Mesures, peau, glyphes, UV et charnières à revoir</x:v>
      </x:c>
    </x:row>
    <x:row r="60" ht="35" customHeight="1">
      <x:c r="A60" s="79" t="str">
        <x:v>chopper</x:v>
      </x:c>
      <x:c r="B60" s="79" t="str">
        <x:v>Chopper · AVP 2004</x:v>
      </x:c>
      <x:c r="C60" s="79" t="str">
        <x:v>01-arm.svg</x:v>
      </x:c>
      <x:c r="D60" s="79" t="str">
        <x:v>v136</x:v>
      </x:c>
      <x:c r="E60" s="79" t="str">
        <x:v>SVG source individuel</x:v>
      </x:c>
      <x:c r="F60" s="79" t="str">
        <x:v>public/game/assets/v136/gauntlets/chopper/01-arm.svg</x:v>
      </x:c>
      <x:c r="G60" s="79" t="str">
        <x:v>Création ORIGINALE</x:v>
      </x:c>
      <x:c r="H60" s="79" t="str">
        <x:v>NON VALIDÉ</x:v>
      </x:c>
      <x:c r="I60" s="79" t="str">
        <x:v>Export PNG par GitHub Actions</x:v>
      </x:c>
      <x:c r="J60" s="79" t="str">
        <x:v>Mesures, peau, glyphes, UV et charnières à revoir</x:v>
      </x:c>
    </x:row>
    <x:row r="61" ht="35" customHeight="1">
      <x:c r="A61" s="79" t="str">
        <x:v>chopper</x:v>
      </x:c>
      <x:c r="B61" s="79" t="str">
        <x:v>Chopper · AVP 2004</x:v>
      </x:c>
      <x:c r="C61" s="79" t="str">
        <x:v>02-shell.svg</x:v>
      </x:c>
      <x:c r="D61" s="79" t="str">
        <x:v>v136</x:v>
      </x:c>
      <x:c r="E61" s="79" t="str">
        <x:v>SVG source individuel</x:v>
      </x:c>
      <x:c r="F61" s="79" t="str">
        <x:v>public/game/assets/v136/gauntlets/chopper/02-shell.svg</x:v>
      </x:c>
      <x:c r="G61" s="79" t="str">
        <x:v>Création ORIGINALE</x:v>
      </x:c>
      <x:c r="H61" s="79" t="str">
        <x:v>NON VALIDÉ</x:v>
      </x:c>
      <x:c r="I61" s="79" t="str">
        <x:v>Export PNG par GitHub Actions</x:v>
      </x:c>
      <x:c r="J61" s="79" t="str">
        <x:v>Mesures, peau, glyphes, UV et charnières à revoir</x:v>
      </x:c>
    </x:row>
    <x:row r="62" ht="35" customHeight="1">
      <x:c r="A62" s="79" t="str">
        <x:v>chopper</x:v>
      </x:c>
      <x:c r="B62" s="79" t="str">
        <x:v>Chopper · AVP 2004</x:v>
      </x:c>
      <x:c r="C62" s="79" t="str">
        <x:v>03-interface.svg</x:v>
      </x:c>
      <x:c r="D62" s="79" t="str">
        <x:v>v136</x:v>
      </x:c>
      <x:c r="E62" s="79" t="str">
        <x:v>SVG source individuel</x:v>
      </x:c>
      <x:c r="F62" s="79" t="str">
        <x:v>public/game/assets/v136/gauntlets/chopper/03-interface.svg</x:v>
      </x:c>
      <x:c r="G62" s="79" t="str">
        <x:v>Création ORIGINALE</x:v>
      </x:c>
      <x:c r="H62" s="79" t="str">
        <x:v>NON VALIDÉ</x:v>
      </x:c>
      <x:c r="I62" s="79" t="str">
        <x:v>Export PNG par GitHub Actions</x:v>
      </x:c>
      <x:c r="J62" s="79" t="str">
        <x:v>Mesures, peau, glyphes, UV et charnières à revoir</x:v>
      </x:c>
    </x:row>
    <x:row r="63" ht="35" customHeight="1">
      <x:c r="A63" s="79" t="str">
        <x:v>chopper</x:v>
      </x:c>
      <x:c r="B63" s="79" t="str">
        <x:v>Chopper · AVP 2004</x:v>
      </x:c>
      <x:c r="C63" s="79" t="str">
        <x:v>04-lid.svg</x:v>
      </x:c>
      <x:c r="D63" s="79" t="str">
        <x:v>v136</x:v>
      </x:c>
      <x:c r="E63" s="79" t="str">
        <x:v>SVG source individuel</x:v>
      </x:c>
      <x:c r="F63" s="79" t="str">
        <x:v>public/game/assets/v136/gauntlets/chopper/04-lid.svg</x:v>
      </x:c>
      <x:c r="G63" s="79" t="str">
        <x:v>Création ORIGINALE</x:v>
      </x:c>
      <x:c r="H63" s="79" t="str">
        <x:v>NON VALIDÉ</x:v>
      </x:c>
      <x:c r="I63" s="79" t="str">
        <x:v>Export PNG par GitHub Actions</x:v>
      </x:c>
      <x:c r="J63" s="79" t="str">
        <x:v>Mesures, peau, glyphes, UV et charnières à revoir</x:v>
      </x:c>
    </x:row>
    <x:row r="64" ht="35" customHeight="1">
      <x:c r="A64" s="79" t="str">
        <x:v>avp-elder</x:v>
      </x:c>
      <x:c r="B64" s="79" t="str">
        <x:v>Elder · AVP 2004</x:v>
      </x:c>
      <x:c r="C64" s="79" t="str">
        <x:v>01-arm.svg</x:v>
      </x:c>
      <x:c r="D64" s="79" t="str">
        <x:v>v136</x:v>
      </x:c>
      <x:c r="E64" s="79" t="str">
        <x:v>SVG source individuel</x:v>
      </x:c>
      <x:c r="F64" s="79" t="str">
        <x:v>public/game/assets/v136/gauntlets/avp-elder/01-arm.svg</x:v>
      </x:c>
      <x:c r="G64" s="79" t="str">
        <x:v>Création ORIGINALE</x:v>
      </x:c>
      <x:c r="H64" s="79" t="str">
        <x:v>NON VALIDÉ</x:v>
      </x:c>
      <x:c r="I64" s="79" t="str">
        <x:v>Export PNG par GitHub Actions</x:v>
      </x:c>
      <x:c r="J64" s="79" t="str">
        <x:v>Mesures, peau, glyphes, UV et charnières à revoir</x:v>
      </x:c>
    </x:row>
    <x:row r="65" ht="35" customHeight="1">
      <x:c r="A65" s="79" t="str">
        <x:v>avp-elder</x:v>
      </x:c>
      <x:c r="B65" s="79" t="str">
        <x:v>Elder · AVP 2004</x:v>
      </x:c>
      <x:c r="C65" s="79" t="str">
        <x:v>02-shell.svg</x:v>
      </x:c>
      <x:c r="D65" s="79" t="str">
        <x:v>v136</x:v>
      </x:c>
      <x:c r="E65" s="79" t="str">
        <x:v>SVG source individuel</x:v>
      </x:c>
      <x:c r="F65" s="79" t="str">
        <x:v>public/game/assets/v136/gauntlets/avp-elder/02-shell.svg</x:v>
      </x:c>
      <x:c r="G65" s="79" t="str">
        <x:v>Création ORIGINALE</x:v>
      </x:c>
      <x:c r="H65" s="79" t="str">
        <x:v>NON VALIDÉ</x:v>
      </x:c>
      <x:c r="I65" s="79" t="str">
        <x:v>Export PNG par GitHub Actions</x:v>
      </x:c>
      <x:c r="J65" s="79" t="str">
        <x:v>Mesures, peau, glyphes, UV et charnières à revoir</x:v>
      </x:c>
    </x:row>
    <x:row r="66" ht="35" customHeight="1">
      <x:c r="A66" s="79" t="str">
        <x:v>avp-elder</x:v>
      </x:c>
      <x:c r="B66" s="79" t="str">
        <x:v>Elder · AVP 2004</x:v>
      </x:c>
      <x:c r="C66" s="79" t="str">
        <x:v>03-interface.svg</x:v>
      </x:c>
      <x:c r="D66" s="79" t="str">
        <x:v>v136</x:v>
      </x:c>
      <x:c r="E66" s="79" t="str">
        <x:v>SVG source individuel</x:v>
      </x:c>
      <x:c r="F66" s="79" t="str">
        <x:v>public/game/assets/v136/gauntlets/avp-elder/03-interface.svg</x:v>
      </x:c>
      <x:c r="G66" s="79" t="str">
        <x:v>Création ORIGINALE</x:v>
      </x:c>
      <x:c r="H66" s="79" t="str">
        <x:v>NON VALIDÉ</x:v>
      </x:c>
      <x:c r="I66" s="79" t="str">
        <x:v>Export PNG par GitHub Actions</x:v>
      </x:c>
      <x:c r="J66" s="79" t="str">
        <x:v>Mesures, peau, glyphes, UV et charnières à revoir</x:v>
      </x:c>
    </x:row>
    <x:row r="67" ht="35" customHeight="1">
      <x:c r="A67" s="79" t="str">
        <x:v>avp-elder</x:v>
      </x:c>
      <x:c r="B67" s="79" t="str">
        <x:v>Elder · AVP 2004</x:v>
      </x:c>
      <x:c r="C67" s="79" t="str">
        <x:v>04-lid.svg</x:v>
      </x:c>
      <x:c r="D67" s="79" t="str">
        <x:v>v136</x:v>
      </x:c>
      <x:c r="E67" s="79" t="str">
        <x:v>SVG source individuel</x:v>
      </x:c>
      <x:c r="F67" s="79" t="str">
        <x:v>public/game/assets/v136/gauntlets/avp-elder/04-lid.svg</x:v>
      </x:c>
      <x:c r="G67" s="79" t="str">
        <x:v>Création ORIGINALE</x:v>
      </x:c>
      <x:c r="H67" s="79" t="str">
        <x:v>NON VALIDÉ</x:v>
      </x:c>
      <x:c r="I67" s="79" t="str">
        <x:v>Export PNG par GitHub Actions</x:v>
      </x:c>
      <x:c r="J67" s="79" t="str">
        <x:v>Mesures, peau, glyphes, UV et charnières à revoir</x:v>
      </x:c>
    </x:row>
    <x:row r="68" ht="35" customHeight="1">
      <x:c r="A68" s="79" t="str">
        <x:v>wolf</x:v>
      </x:c>
      <x:c r="B68" s="79" t="str">
        <x:v>Wolf · AVP-R 2007</x:v>
      </x:c>
      <x:c r="C68" s="79" t="str">
        <x:v>01-forearm.svg</x:v>
      </x:c>
      <x:c r="D68" s="79" t="str">
        <x:v>v135</x:v>
      </x:c>
      <x:c r="E68" s="79" t="str">
        <x:v>SVG source individuel</x:v>
      </x:c>
      <x:c r="F68" s="79" t="str">
        <x:v>public/game/assets/v135/gauntlets/wolf/01-forearm.svg</x:v>
      </x:c>
      <x:c r="G68" s="79" t="str">
        <x:v>Ref film à confirmer</x:v>
      </x:c>
      <x:c r="H68" s="79" t="str">
        <x:v>NON VALIDÉ</x:v>
      </x:c>
      <x:c r="I68" s="79" t="str">
        <x:v>Export PNG par GitHub Actions</x:v>
      </x:c>
      <x:c r="J68" s="79" t="str">
        <x:v>Mesures, peau, glyphes, UV et charnières à revoir</x:v>
      </x:c>
    </x:row>
    <x:row r="69" ht="35" customHeight="1">
      <x:c r="A69" s="79" t="str">
        <x:v>wolf</x:v>
      </x:c>
      <x:c r="B69" s="79" t="str">
        <x:v>Wolf · AVP-R 2007</x:v>
      </x:c>
      <x:c r="C69" s="79" t="str">
        <x:v>02-shell.svg</x:v>
      </x:c>
      <x:c r="D69" s="79" t="str">
        <x:v>v135</x:v>
      </x:c>
      <x:c r="E69" s="79" t="str">
        <x:v>SVG source individuel</x:v>
      </x:c>
      <x:c r="F69" s="79" t="str">
        <x:v>public/game/assets/v135/gauntlets/wolf/02-shell.svg</x:v>
      </x:c>
      <x:c r="G69" s="79" t="str">
        <x:v>Ref film à confirmer</x:v>
      </x:c>
      <x:c r="H69" s="79" t="str">
        <x:v>NON VALIDÉ</x:v>
      </x:c>
      <x:c r="I69" s="79" t="str">
        <x:v>Export PNG par GitHub Actions</x:v>
      </x:c>
      <x:c r="J69" s="79" t="str">
        <x:v>Mesures, peau, glyphes, UV et charnières à revoir</x:v>
      </x:c>
    </x:row>
    <x:row r="70" ht="35" customHeight="1">
      <x:c r="A70" s="79" t="str">
        <x:v>wolf</x:v>
      </x:c>
      <x:c r="B70" s="79" t="str">
        <x:v>Wolf · AVP-R 2007</x:v>
      </x:c>
      <x:c r="C70" s="79" t="str">
        <x:v>03-panel.svg</x:v>
      </x:c>
      <x:c r="D70" s="79" t="str">
        <x:v>v135</x:v>
      </x:c>
      <x:c r="E70" s="79" t="str">
        <x:v>SVG source individuel</x:v>
      </x:c>
      <x:c r="F70" s="79" t="str">
        <x:v>public/game/assets/v135/gauntlets/wolf/03-panel.svg</x:v>
      </x:c>
      <x:c r="G70" s="79" t="str">
        <x:v>Ref film à confirmer</x:v>
      </x:c>
      <x:c r="H70" s="79" t="str">
        <x:v>NON VALIDÉ</x:v>
      </x:c>
      <x:c r="I70" s="79" t="str">
        <x:v>Export PNG par GitHub Actions</x:v>
      </x:c>
      <x:c r="J70" s="79" t="str">
        <x:v>Mesures, peau, glyphes, UV et charnières à revoir</x:v>
      </x:c>
    </x:row>
    <x:row r="71" ht="35" customHeight="1">
      <x:c r="A71" s="79" t="str">
        <x:v>wolf</x:v>
      </x:c>
      <x:c r="B71" s="79" t="str">
        <x:v>Wolf · AVP-R 2007</x:v>
      </x:c>
      <x:c r="C71" s="79" t="str">
        <x:v>04-cover.svg</x:v>
      </x:c>
      <x:c r="D71" s="79" t="str">
        <x:v>v135</x:v>
      </x:c>
      <x:c r="E71" s="79" t="str">
        <x:v>SVG source individuel</x:v>
      </x:c>
      <x:c r="F71" s="79" t="str">
        <x:v>public/game/assets/v135/gauntlets/wolf/04-cover.svg</x:v>
      </x:c>
      <x:c r="G71" s="79" t="str">
        <x:v>Ref film à confirmer</x:v>
      </x:c>
      <x:c r="H71" s="79" t="str">
        <x:v>NON VALIDÉ</x:v>
      </x:c>
      <x:c r="I71" s="79" t="str">
        <x:v>Export PNG par GitHub Actions</x:v>
      </x:c>
      <x:c r="J71" s="79" t="str">
        <x:v>Mesures, peau, glyphes, UV et charnières à revoir</x:v>
      </x:c>
    </x:row>
    <x:row r="72" ht="35" customHeight="1">
      <x:c r="A72" s="79" t="str">
        <x:v>captured-classic</x:v>
      </x:c>
      <x:c r="B72" s="79" t="str">
        <x:v>Captured / Classic · Predators 2010</x:v>
      </x:c>
      <x:c r="C72" s="79" t="str">
        <x:v>01-arm.svg</x:v>
      </x:c>
      <x:c r="D72" s="79" t="str">
        <x:v>v136</x:v>
      </x:c>
      <x:c r="E72" s="79" t="str">
        <x:v>SVG source individuel</x:v>
      </x:c>
      <x:c r="F72" s="79" t="str">
        <x:v>public/game/assets/v136/gauntlets/captured-classic/01-arm.svg</x:v>
      </x:c>
      <x:c r="G72" s="79" t="str">
        <x:v>Création ORIGINALE</x:v>
      </x:c>
      <x:c r="H72" s="79" t="str">
        <x:v>NON VALIDÉ</x:v>
      </x:c>
      <x:c r="I72" s="79" t="str">
        <x:v>Export PNG par GitHub Actions</x:v>
      </x:c>
      <x:c r="J72" s="79" t="str">
        <x:v>Mesures, peau, glyphes, UV et charnières à revoir</x:v>
      </x:c>
    </x:row>
    <x:row r="73" ht="35" customHeight="1">
      <x:c r="A73" s="79" t="str">
        <x:v>captured-classic</x:v>
      </x:c>
      <x:c r="B73" s="79" t="str">
        <x:v>Captured / Classic · Predators 2010</x:v>
      </x:c>
      <x:c r="C73" s="79" t="str">
        <x:v>02-shell.svg</x:v>
      </x:c>
      <x:c r="D73" s="79" t="str">
        <x:v>v136</x:v>
      </x:c>
      <x:c r="E73" s="79" t="str">
        <x:v>SVG source individuel</x:v>
      </x:c>
      <x:c r="F73" s="79" t="str">
        <x:v>public/game/assets/v136/gauntlets/captured-classic/02-shell.svg</x:v>
      </x:c>
      <x:c r="G73" s="79" t="str">
        <x:v>Création ORIGINALE</x:v>
      </x:c>
      <x:c r="H73" s="79" t="str">
        <x:v>NON VALIDÉ</x:v>
      </x:c>
      <x:c r="I73" s="79" t="str">
        <x:v>Export PNG par GitHub Actions</x:v>
      </x:c>
      <x:c r="J73" s="79" t="str">
        <x:v>Mesures, peau, glyphes, UV et charnières à revoir</x:v>
      </x:c>
    </x:row>
    <x:row r="74" ht="35" customHeight="1">
      <x:c r="A74" s="79" t="str">
        <x:v>captured-classic</x:v>
      </x:c>
      <x:c r="B74" s="79" t="str">
        <x:v>Captured / Classic · Predators 2010</x:v>
      </x:c>
      <x:c r="C74" s="79" t="str">
        <x:v>03-interface.svg</x:v>
      </x:c>
      <x:c r="D74" s="79" t="str">
        <x:v>v136</x:v>
      </x:c>
      <x:c r="E74" s="79" t="str">
        <x:v>SVG source individuel</x:v>
      </x:c>
      <x:c r="F74" s="79" t="str">
        <x:v>public/game/assets/v136/gauntlets/captured-classic/03-interface.svg</x:v>
      </x:c>
      <x:c r="G74" s="79" t="str">
        <x:v>Création ORIGINALE</x:v>
      </x:c>
      <x:c r="H74" s="79" t="str">
        <x:v>NON VALIDÉ</x:v>
      </x:c>
      <x:c r="I74" s="79" t="str">
        <x:v>Export PNG par GitHub Actions</x:v>
      </x:c>
      <x:c r="J74" s="79" t="str">
        <x:v>Mesures, peau, glyphes, UV et charnières à revoir</x:v>
      </x:c>
    </x:row>
    <x:row r="75" ht="35" customHeight="1">
      <x:c r="A75" s="79" t="str">
        <x:v>captured-classic</x:v>
      </x:c>
      <x:c r="B75" s="79" t="str">
        <x:v>Captured / Classic · Predators 2010</x:v>
      </x:c>
      <x:c r="C75" s="79" t="str">
        <x:v>04-lid.svg</x:v>
      </x:c>
      <x:c r="D75" s="79" t="str">
        <x:v>v136</x:v>
      </x:c>
      <x:c r="E75" s="79" t="str">
        <x:v>SVG source individuel</x:v>
      </x:c>
      <x:c r="F75" s="79" t="str">
        <x:v>public/game/assets/v136/gauntlets/captured-classic/04-lid.svg</x:v>
      </x:c>
      <x:c r="G75" s="79" t="str">
        <x:v>Création ORIGINALE</x:v>
      </x:c>
      <x:c r="H75" s="79" t="str">
        <x:v>NON VALIDÉ</x:v>
      </x:c>
      <x:c r="I75" s="79" t="str">
        <x:v>Export PNG par GitHub Actions</x:v>
      </x:c>
      <x:c r="J75" s="79" t="str">
        <x:v>Mesures, peau, glyphes, UV et charnières à revoir</x:v>
      </x:c>
    </x:row>
    <x:row r="76" ht="35" customHeight="1">
      <x:c r="A76" s="79" t="str">
        <x:v>berserker-2010</x:v>
      </x:c>
      <x:c r="B76" s="79" t="str">
        <x:v>Mr Black / Berserker · 2010</x:v>
      </x:c>
      <x:c r="C76" s="79" t="str">
        <x:v>01-arm.svg</x:v>
      </x:c>
      <x:c r="D76" s="79" t="str">
        <x:v>v136</x:v>
      </x:c>
      <x:c r="E76" s="79" t="str">
        <x:v>SVG source individuel</x:v>
      </x:c>
      <x:c r="F76" s="79" t="str">
        <x:v>public/game/assets/v136/gauntlets/berserker-2010/01-arm.svg</x:v>
      </x:c>
      <x:c r="G76" s="79" t="str">
        <x:v>Création ORIGINALE</x:v>
      </x:c>
      <x:c r="H76" s="79" t="str">
        <x:v>NON VALIDÉ</x:v>
      </x:c>
      <x:c r="I76" s="79" t="str">
        <x:v>Export PNG par GitHub Actions</x:v>
      </x:c>
      <x:c r="J76" s="79" t="str">
        <x:v>Mesures, peau, glyphes, UV et charnières à revoir</x:v>
      </x:c>
    </x:row>
    <x:row r="77" ht="35" customHeight="1">
      <x:c r="A77" s="79" t="str">
        <x:v>berserker-2010</x:v>
      </x:c>
      <x:c r="B77" s="79" t="str">
        <x:v>Mr Black / Berserker · 2010</x:v>
      </x:c>
      <x:c r="C77" s="79" t="str">
        <x:v>02-shell.svg</x:v>
      </x:c>
      <x:c r="D77" s="79" t="str">
        <x:v>v136</x:v>
      </x:c>
      <x:c r="E77" s="79" t="str">
        <x:v>SVG source individuel</x:v>
      </x:c>
      <x:c r="F77" s="79" t="str">
        <x:v>public/game/assets/v136/gauntlets/berserker-2010/02-shell.svg</x:v>
      </x:c>
      <x:c r="G77" s="79" t="str">
        <x:v>Création ORIGINALE</x:v>
      </x:c>
      <x:c r="H77" s="79" t="str">
        <x:v>NON VALIDÉ</x:v>
      </x:c>
      <x:c r="I77" s="79" t="str">
        <x:v>Export PNG par GitHub Actions</x:v>
      </x:c>
      <x:c r="J77" s="79" t="str">
        <x:v>Mesures, peau, glyphes, UV et charnières à revoir</x:v>
      </x:c>
    </x:row>
    <x:row r="78" ht="35" customHeight="1">
      <x:c r="A78" s="79" t="str">
        <x:v>berserker-2010</x:v>
      </x:c>
      <x:c r="B78" s="79" t="str">
        <x:v>Mr Black / Berserker · 2010</x:v>
      </x:c>
      <x:c r="C78" s="79" t="str">
        <x:v>03-interface.svg</x:v>
      </x:c>
      <x:c r="D78" s="79" t="str">
        <x:v>v136</x:v>
      </x:c>
      <x:c r="E78" s="79" t="str">
        <x:v>SVG source individuel</x:v>
      </x:c>
      <x:c r="F78" s="79" t="str">
        <x:v>public/game/assets/v136/gauntlets/berserker-2010/03-interface.svg</x:v>
      </x:c>
      <x:c r="G78" s="79" t="str">
        <x:v>Création ORIGINALE</x:v>
      </x:c>
      <x:c r="H78" s="79" t="str">
        <x:v>NON VALIDÉ</x:v>
      </x:c>
      <x:c r="I78" s="79" t="str">
        <x:v>Export PNG par GitHub Actions</x:v>
      </x:c>
      <x:c r="J78" s="79" t="str">
        <x:v>Mesures, peau, glyphes, UV et charnières à revoir</x:v>
      </x:c>
    </x:row>
    <x:row r="79" ht="35" customHeight="1">
      <x:c r="A79" s="79" t="str">
        <x:v>berserker-2010</x:v>
      </x:c>
      <x:c r="B79" s="79" t="str">
        <x:v>Mr Black / Berserker · 2010</x:v>
      </x:c>
      <x:c r="C79" s="79" t="str">
        <x:v>04-lid.svg</x:v>
      </x:c>
      <x:c r="D79" s="79" t="str">
        <x:v>v136</x:v>
      </x:c>
      <x:c r="E79" s="79" t="str">
        <x:v>SVG source individuel</x:v>
      </x:c>
      <x:c r="F79" s="79" t="str">
        <x:v>public/game/assets/v136/gauntlets/berserker-2010/04-lid.svg</x:v>
      </x:c>
      <x:c r="G79" s="79" t="str">
        <x:v>Création ORIGINALE</x:v>
      </x:c>
      <x:c r="H79" s="79" t="str">
        <x:v>NON VALIDÉ</x:v>
      </x:c>
      <x:c r="I79" s="79" t="str">
        <x:v>Export PNG par GitHub Actions</x:v>
      </x:c>
      <x:c r="J79" s="79" t="str">
        <x:v>Mesures, peau, glyphes, UV et charnières à revoir</x:v>
      </x:c>
    </x:row>
    <x:row r="80" ht="35" customHeight="1">
      <x:c r="A80" s="79" t="str">
        <x:v>falconer-2010</x:v>
      </x:c>
      <x:c r="B80" s="79" t="str">
        <x:v>Falconer · 2010</x:v>
      </x:c>
      <x:c r="C80" s="79" t="str">
        <x:v>01-arm.svg</x:v>
      </x:c>
      <x:c r="D80" s="79" t="str">
        <x:v>v136</x:v>
      </x:c>
      <x:c r="E80" s="79" t="str">
        <x:v>SVG source individuel</x:v>
      </x:c>
      <x:c r="F80" s="79" t="str">
        <x:v>public/game/assets/v136/gauntlets/falconer-2010/01-arm.svg</x:v>
      </x:c>
      <x:c r="G80" s="79" t="str">
        <x:v>Création ORIGINALE</x:v>
      </x:c>
      <x:c r="H80" s="79" t="str">
        <x:v>NON VALIDÉ</x:v>
      </x:c>
      <x:c r="I80" s="79" t="str">
        <x:v>Export PNG par GitHub Actions</x:v>
      </x:c>
      <x:c r="J80" s="79" t="str">
        <x:v>Mesures, peau, glyphes, UV et charnières à revoir</x:v>
      </x:c>
    </x:row>
    <x:row r="81" ht="35" customHeight="1">
      <x:c r="A81" s="79" t="str">
        <x:v>falconer-2010</x:v>
      </x:c>
      <x:c r="B81" s="79" t="str">
        <x:v>Falconer · 2010</x:v>
      </x:c>
      <x:c r="C81" s="79" t="str">
        <x:v>02-shell.svg</x:v>
      </x:c>
      <x:c r="D81" s="79" t="str">
        <x:v>v136</x:v>
      </x:c>
      <x:c r="E81" s="79" t="str">
        <x:v>SVG source individuel</x:v>
      </x:c>
      <x:c r="F81" s="79" t="str">
        <x:v>public/game/assets/v136/gauntlets/falconer-2010/02-shell.svg</x:v>
      </x:c>
      <x:c r="G81" s="79" t="str">
        <x:v>Création ORIGINALE</x:v>
      </x:c>
      <x:c r="H81" s="79" t="str">
        <x:v>NON VALIDÉ</x:v>
      </x:c>
      <x:c r="I81" s="79" t="str">
        <x:v>Export PNG par GitHub Actions</x:v>
      </x:c>
      <x:c r="J81" s="79" t="str">
        <x:v>Mesures, peau, glyphes, UV et charnières à revoir</x:v>
      </x:c>
    </x:row>
    <x:row r="82" ht="35" customHeight="1">
      <x:c r="A82" s="79" t="str">
        <x:v>falconer-2010</x:v>
      </x:c>
      <x:c r="B82" s="79" t="str">
        <x:v>Falconer · 2010</x:v>
      </x:c>
      <x:c r="C82" s="79" t="str">
        <x:v>03-interface.svg</x:v>
      </x:c>
      <x:c r="D82" s="79" t="str">
        <x:v>v136</x:v>
      </x:c>
      <x:c r="E82" s="79" t="str">
        <x:v>SVG source individuel</x:v>
      </x:c>
      <x:c r="F82" s="79" t="str">
        <x:v>public/game/assets/v136/gauntlets/falconer-2010/03-interface.svg</x:v>
      </x:c>
      <x:c r="G82" s="79" t="str">
        <x:v>Création ORIGINALE</x:v>
      </x:c>
      <x:c r="H82" s="79" t="str">
        <x:v>NON VALIDÉ</x:v>
      </x:c>
      <x:c r="I82" s="79" t="str">
        <x:v>Export PNG par GitHub Actions</x:v>
      </x:c>
      <x:c r="J82" s="79" t="str">
        <x:v>Mesures, peau, glyphes, UV et charnières à revoir</x:v>
      </x:c>
    </x:row>
    <x:row r="83" ht="35" customHeight="1">
      <x:c r="A83" s="79" t="str">
        <x:v>falconer-2010</x:v>
      </x:c>
      <x:c r="B83" s="79" t="str">
        <x:v>Falconer · 2010</x:v>
      </x:c>
      <x:c r="C83" s="79" t="str">
        <x:v>04-lid.svg</x:v>
      </x:c>
      <x:c r="D83" s="79" t="str">
        <x:v>v136</x:v>
      </x:c>
      <x:c r="E83" s="79" t="str">
        <x:v>SVG source individuel</x:v>
      </x:c>
      <x:c r="F83" s="79" t="str">
        <x:v>public/game/assets/v136/gauntlets/falconer-2010/04-lid.svg</x:v>
      </x:c>
      <x:c r="G83" s="79" t="str">
        <x:v>Création ORIGINALE</x:v>
      </x:c>
      <x:c r="H83" s="79" t="str">
        <x:v>NON VALIDÉ</x:v>
      </x:c>
      <x:c r="I83" s="79" t="str">
        <x:v>Export PNG par GitHub Actions</x:v>
      </x:c>
      <x:c r="J83" s="79" t="str">
        <x:v>Mesures, peau, glyphes, UV et charnières à revoir</x:v>
      </x:c>
    </x:row>
    <x:row r="84" ht="35" customHeight="1">
      <x:c r="A84" s="79" t="str">
        <x:v>tracker-2010</x:v>
      </x:c>
      <x:c r="B84" s="79" t="str">
        <x:v>Tracker · 2010</x:v>
      </x:c>
      <x:c r="C84" s="79" t="str">
        <x:v>01-arm.svg</x:v>
      </x:c>
      <x:c r="D84" s="79" t="str">
        <x:v>v136</x:v>
      </x:c>
      <x:c r="E84" s="79" t="str">
        <x:v>SVG source individuel</x:v>
      </x:c>
      <x:c r="F84" s="79" t="str">
        <x:v>public/game/assets/v136/gauntlets/tracker-2010/01-arm.svg</x:v>
      </x:c>
      <x:c r="G84" s="79" t="str">
        <x:v>Création ORIGINALE</x:v>
      </x:c>
      <x:c r="H84" s="79" t="str">
        <x:v>NON VALIDÉ</x:v>
      </x:c>
      <x:c r="I84" s="79" t="str">
        <x:v>Export PNG par GitHub Actions</x:v>
      </x:c>
      <x:c r="J84" s="79" t="str">
        <x:v>Mesures, peau, glyphes, UV et charnières à revoir</x:v>
      </x:c>
    </x:row>
    <x:row r="85" ht="35" customHeight="1">
      <x:c r="A85" s="79" t="str">
        <x:v>tracker-2010</x:v>
      </x:c>
      <x:c r="B85" s="79" t="str">
        <x:v>Tracker · 2010</x:v>
      </x:c>
      <x:c r="C85" s="79" t="str">
        <x:v>02-shell.svg</x:v>
      </x:c>
      <x:c r="D85" s="79" t="str">
        <x:v>v136</x:v>
      </x:c>
      <x:c r="E85" s="79" t="str">
        <x:v>SVG source individuel</x:v>
      </x:c>
      <x:c r="F85" s="79" t="str">
        <x:v>public/game/assets/v136/gauntlets/tracker-2010/02-shell.svg</x:v>
      </x:c>
      <x:c r="G85" s="79" t="str">
        <x:v>Création ORIGINALE</x:v>
      </x:c>
      <x:c r="H85" s="79" t="str">
        <x:v>NON VALIDÉ</x:v>
      </x:c>
      <x:c r="I85" s="79" t="str">
        <x:v>Export PNG par GitHub Actions</x:v>
      </x:c>
      <x:c r="J85" s="79" t="str">
        <x:v>Mesures, peau, glyphes, UV et charnières à revoir</x:v>
      </x:c>
    </x:row>
    <x:row r="86" ht="35" customHeight="1">
      <x:c r="A86" s="79" t="str">
        <x:v>tracker-2010</x:v>
      </x:c>
      <x:c r="B86" s="79" t="str">
        <x:v>Tracker · 2010</x:v>
      </x:c>
      <x:c r="C86" s="79" t="str">
        <x:v>03-interface.svg</x:v>
      </x:c>
      <x:c r="D86" s="79" t="str">
        <x:v>v136</x:v>
      </x:c>
      <x:c r="E86" s="79" t="str">
        <x:v>SVG source individuel</x:v>
      </x:c>
      <x:c r="F86" s="79" t="str">
        <x:v>public/game/assets/v136/gauntlets/tracker-2010/03-interface.svg</x:v>
      </x:c>
      <x:c r="G86" s="79" t="str">
        <x:v>Création ORIGINALE</x:v>
      </x:c>
      <x:c r="H86" s="79" t="str">
        <x:v>NON VALIDÉ</x:v>
      </x:c>
      <x:c r="I86" s="79" t="str">
        <x:v>Export PNG par GitHub Actions</x:v>
      </x:c>
      <x:c r="J86" s="79" t="str">
        <x:v>Mesures, peau, glyphes, UV et charnières à revoir</x:v>
      </x:c>
    </x:row>
    <x:row r="87" ht="35" customHeight="1">
      <x:c r="A87" s="79" t="str">
        <x:v>tracker-2010</x:v>
      </x:c>
      <x:c r="B87" s="79" t="str">
        <x:v>Tracker · 2010</x:v>
      </x:c>
      <x:c r="C87" s="79" t="str">
        <x:v>04-lid.svg</x:v>
      </x:c>
      <x:c r="D87" s="79" t="str">
        <x:v>v136</x:v>
      </x:c>
      <x:c r="E87" s="79" t="str">
        <x:v>SVG source individuel</x:v>
      </x:c>
      <x:c r="F87" s="79" t="str">
        <x:v>public/game/assets/v136/gauntlets/tracker-2010/04-lid.svg</x:v>
      </x:c>
      <x:c r="G87" s="79" t="str">
        <x:v>Création ORIGINALE</x:v>
      </x:c>
      <x:c r="H87" s="79" t="str">
        <x:v>NON VALIDÉ</x:v>
      </x:c>
      <x:c r="I87" s="79" t="str">
        <x:v>Export PNG par GitHub Actions</x:v>
      </x:c>
      <x:c r="J87" s="79" t="str">
        <x:v>Mesures, peau, glyphes, UV et charnières à revoir</x:v>
      </x:c>
    </x:row>
    <x:row r="88" ht="35" customHeight="1">
      <x:c r="A88" s="79" t="str">
        <x:v>fugitive</x:v>
      </x:c>
      <x:c r="B88" s="79" t="str">
        <x:v>Fugitive · The Predator 2018</x:v>
      </x:c>
      <x:c r="C88" s="79" t="str">
        <x:v>01-arm.svg</x:v>
      </x:c>
      <x:c r="D88" s="79" t="str">
        <x:v>v136</x:v>
      </x:c>
      <x:c r="E88" s="79" t="str">
        <x:v>SVG source individuel</x:v>
      </x:c>
      <x:c r="F88" s="79" t="str">
        <x:v>public/game/assets/v136/gauntlets/fugitive/01-arm.svg</x:v>
      </x:c>
      <x:c r="G88" s="79" t="str">
        <x:v>Création ORIGINALE</x:v>
      </x:c>
      <x:c r="H88" s="79" t="str">
        <x:v>NON VALIDÉ</x:v>
      </x:c>
      <x:c r="I88" s="79" t="str">
        <x:v>Export PNG par GitHub Actions</x:v>
      </x:c>
      <x:c r="J88" s="79" t="str">
        <x:v>Mesures, peau, glyphes, UV et charnières à revoir</x:v>
      </x:c>
    </x:row>
    <x:row r="89" ht="35" customHeight="1">
      <x:c r="A89" s="79" t="str">
        <x:v>fugitive</x:v>
      </x:c>
      <x:c r="B89" s="79" t="str">
        <x:v>Fugitive · The Predator 2018</x:v>
      </x:c>
      <x:c r="C89" s="79" t="str">
        <x:v>02-shell.svg</x:v>
      </x:c>
      <x:c r="D89" s="79" t="str">
        <x:v>v136</x:v>
      </x:c>
      <x:c r="E89" s="79" t="str">
        <x:v>SVG source individuel</x:v>
      </x:c>
      <x:c r="F89" s="79" t="str">
        <x:v>public/game/assets/v136/gauntlets/fugitive/02-shell.svg</x:v>
      </x:c>
      <x:c r="G89" s="79" t="str">
        <x:v>Création ORIGINALE</x:v>
      </x:c>
      <x:c r="H89" s="79" t="str">
        <x:v>NON VALIDÉ</x:v>
      </x:c>
      <x:c r="I89" s="79" t="str">
        <x:v>Export PNG par GitHub Actions</x:v>
      </x:c>
      <x:c r="J89" s="79" t="str">
        <x:v>Mesures, peau, glyphes, UV et charnières à revoir</x:v>
      </x:c>
    </x:row>
    <x:row r="90" ht="35" customHeight="1">
      <x:c r="A90" s="79" t="str">
        <x:v>fugitive</x:v>
      </x:c>
      <x:c r="B90" s="79" t="str">
        <x:v>Fugitive · The Predator 2018</x:v>
      </x:c>
      <x:c r="C90" s="79" t="str">
        <x:v>03-interface.svg</x:v>
      </x:c>
      <x:c r="D90" s="79" t="str">
        <x:v>v136</x:v>
      </x:c>
      <x:c r="E90" s="79" t="str">
        <x:v>SVG source individuel</x:v>
      </x:c>
      <x:c r="F90" s="79" t="str">
        <x:v>public/game/assets/v136/gauntlets/fugitive/03-interface.svg</x:v>
      </x:c>
      <x:c r="G90" s="79" t="str">
        <x:v>Création ORIGINALE</x:v>
      </x:c>
      <x:c r="H90" s="79" t="str">
        <x:v>NON VALIDÉ</x:v>
      </x:c>
      <x:c r="I90" s="79" t="str">
        <x:v>Export PNG par GitHub Actions</x:v>
      </x:c>
      <x:c r="J90" s="79" t="str">
        <x:v>Mesures, peau, glyphes, UV et charnières à revoir</x:v>
      </x:c>
    </x:row>
    <x:row r="91" ht="35" customHeight="1">
      <x:c r="A91" s="79" t="str">
        <x:v>fugitive</x:v>
      </x:c>
      <x:c r="B91" s="79" t="str">
        <x:v>Fugitive · The Predator 2018</x:v>
      </x:c>
      <x:c r="C91" s="79" t="str">
        <x:v>04-lid.svg</x:v>
      </x:c>
      <x:c r="D91" s="79" t="str">
        <x:v>v136</x:v>
      </x:c>
      <x:c r="E91" s="79" t="str">
        <x:v>SVG source individuel</x:v>
      </x:c>
      <x:c r="F91" s="79" t="str">
        <x:v>public/game/assets/v136/gauntlets/fugitive/04-lid.svg</x:v>
      </x:c>
      <x:c r="G91" s="79" t="str">
        <x:v>Création ORIGINALE</x:v>
      </x:c>
      <x:c r="H91" s="79" t="str">
        <x:v>NON VALIDÉ</x:v>
      </x:c>
      <x:c r="I91" s="79" t="str">
        <x:v>Export PNG par GitHub Actions</x:v>
      </x:c>
      <x:c r="J91" s="79" t="str">
        <x:v>Mesures, peau, glyphes, UV et charnières à revoir</x:v>
      </x:c>
    </x:row>
    <x:row r="92" ht="35" customHeight="1">
      <x:c r="A92" s="79" t="str">
        <x:v>assassin</x:v>
      </x:c>
      <x:c r="B92" s="79" t="str">
        <x:v>Upgrade / Assassin · The Predator 2018</x:v>
      </x:c>
      <x:c r="C92" s="79" t="str">
        <x:v>01-arm.svg</x:v>
      </x:c>
      <x:c r="D92" s="79" t="str">
        <x:v>v136</x:v>
      </x:c>
      <x:c r="E92" s="79" t="str">
        <x:v>SVG source individuel</x:v>
      </x:c>
      <x:c r="F92" s="79" t="str">
        <x:v>public/game/assets/v136/gauntlets/assassin/01-arm.svg</x:v>
      </x:c>
      <x:c r="G92" s="79" t="str">
        <x:v>Création ORIGINALE</x:v>
      </x:c>
      <x:c r="H92" s="79" t="str">
        <x:v>NON VALIDÉ</x:v>
      </x:c>
      <x:c r="I92" s="79" t="str">
        <x:v>Export PNG par GitHub Actions</x:v>
      </x:c>
      <x:c r="J92" s="79" t="str">
        <x:v>Mesures, peau, glyphes, UV et charnières à revoir</x:v>
      </x:c>
    </x:row>
    <x:row r="93" ht="35" customHeight="1">
      <x:c r="A93" s="79" t="str">
        <x:v>assassin</x:v>
      </x:c>
      <x:c r="B93" s="79" t="str">
        <x:v>Upgrade / Assassin · The Predator 2018</x:v>
      </x:c>
      <x:c r="C93" s="79" t="str">
        <x:v>02-shell.svg</x:v>
      </x:c>
      <x:c r="D93" s="79" t="str">
        <x:v>v136</x:v>
      </x:c>
      <x:c r="E93" s="79" t="str">
        <x:v>SVG source individuel</x:v>
      </x:c>
      <x:c r="F93" s="79" t="str">
        <x:v>public/game/assets/v136/gauntlets/assassin/02-shell.svg</x:v>
      </x:c>
      <x:c r="G93" s="79" t="str">
        <x:v>Création ORIGINALE</x:v>
      </x:c>
      <x:c r="H93" s="79" t="str">
        <x:v>NON VALIDÉ</x:v>
      </x:c>
      <x:c r="I93" s="79" t="str">
        <x:v>Export PNG par GitHub Actions</x:v>
      </x:c>
      <x:c r="J93" s="79" t="str">
        <x:v>Mesures, peau, glyphes, UV et charnières à revoir</x:v>
      </x:c>
    </x:row>
    <x:row r="94" ht="35" customHeight="1">
      <x:c r="A94" s="79" t="str">
        <x:v>assassin</x:v>
      </x:c>
      <x:c r="B94" s="79" t="str">
        <x:v>Upgrade / Assassin · The Predator 2018</x:v>
      </x:c>
      <x:c r="C94" s="79" t="str">
        <x:v>03-interface.svg</x:v>
      </x:c>
      <x:c r="D94" s="79" t="str">
        <x:v>v136</x:v>
      </x:c>
      <x:c r="E94" s="79" t="str">
        <x:v>SVG source individuel</x:v>
      </x:c>
      <x:c r="F94" s="79" t="str">
        <x:v>public/game/assets/v136/gauntlets/assassin/03-interface.svg</x:v>
      </x:c>
      <x:c r="G94" s="79" t="str">
        <x:v>Création ORIGINALE</x:v>
      </x:c>
      <x:c r="H94" s="79" t="str">
        <x:v>NON VALIDÉ</x:v>
      </x:c>
      <x:c r="I94" s="79" t="str">
        <x:v>Export PNG par GitHub Actions</x:v>
      </x:c>
      <x:c r="J94" s="79" t="str">
        <x:v>Mesures, peau, glyphes, UV et charnières à revoir</x:v>
      </x:c>
    </x:row>
    <x:row r="95" ht="35" customHeight="1">
      <x:c r="A95" s="79" t="str">
        <x:v>assassin</x:v>
      </x:c>
      <x:c r="B95" s="79" t="str">
        <x:v>Upgrade / Assassin · The Predator 2018</x:v>
      </x:c>
      <x:c r="C95" s="79" t="str">
        <x:v>04-lid.svg</x:v>
      </x:c>
      <x:c r="D95" s="79" t="str">
        <x:v>v136</x:v>
      </x:c>
      <x:c r="E95" s="79" t="str">
        <x:v>SVG source individuel</x:v>
      </x:c>
      <x:c r="F95" s="79" t="str">
        <x:v>public/game/assets/v136/gauntlets/assassin/04-lid.svg</x:v>
      </x:c>
      <x:c r="G95" s="79" t="str">
        <x:v>Création ORIGINALE</x:v>
      </x:c>
      <x:c r="H95" s="79" t="str">
        <x:v>NON VALIDÉ</x:v>
      </x:c>
      <x:c r="I95" s="79" t="str">
        <x:v>Export PNG par GitHub Actions</x:v>
      </x:c>
      <x:c r="J95" s="79" t="str">
        <x:v>Mesures, peau, glyphes, UV et charnières à revoir</x:v>
      </x:c>
    </x:row>
    <x:row r="96" ht="35" customHeight="1">
      <x:c r="A96" s="79" t="str">
        <x:v>feral</x:v>
      </x:c>
      <x:c r="B96" s="79" t="str">
        <x:v>Feral · Prey 2022</x:v>
      </x:c>
      <x:c r="C96" s="79" t="str">
        <x:v>01-forearm.svg</x:v>
      </x:c>
      <x:c r="D96" s="79" t="str">
        <x:v>v135</x:v>
      </x:c>
      <x:c r="E96" s="79" t="str">
        <x:v>SVG source individuel</x:v>
      </x:c>
      <x:c r="F96" s="79" t="str">
        <x:v>public/game/assets/v135/gauntlets/feral/01-forearm.svg</x:v>
      </x:c>
      <x:c r="G96" s="79" t="str">
        <x:v>Ref film à confirmer</x:v>
      </x:c>
      <x:c r="H96" s="79" t="str">
        <x:v>NON VALIDÉ</x:v>
      </x:c>
      <x:c r="I96" s="79" t="str">
        <x:v>Export PNG par GitHub Actions</x:v>
      </x:c>
      <x:c r="J96" s="79" t="str">
        <x:v>Mesures, peau, glyphes, UV et charnières à revoir</x:v>
      </x:c>
    </x:row>
    <x:row r="97" ht="35" customHeight="1">
      <x:c r="A97" s="79" t="str">
        <x:v>feral</x:v>
      </x:c>
      <x:c r="B97" s="79" t="str">
        <x:v>Feral · Prey 2022</x:v>
      </x:c>
      <x:c r="C97" s="79" t="str">
        <x:v>02-shell.svg</x:v>
      </x:c>
      <x:c r="D97" s="79" t="str">
        <x:v>v135</x:v>
      </x:c>
      <x:c r="E97" s="79" t="str">
        <x:v>SVG source individuel</x:v>
      </x:c>
      <x:c r="F97" s="79" t="str">
        <x:v>public/game/assets/v135/gauntlets/feral/02-shell.svg</x:v>
      </x:c>
      <x:c r="G97" s="79" t="str">
        <x:v>Ref film à confirmer</x:v>
      </x:c>
      <x:c r="H97" s="79" t="str">
        <x:v>NON VALIDÉ</x:v>
      </x:c>
      <x:c r="I97" s="79" t="str">
        <x:v>Export PNG par GitHub Actions</x:v>
      </x:c>
      <x:c r="J97" s="79" t="str">
        <x:v>Mesures, peau, glyphes, UV et charnières à revoir</x:v>
      </x:c>
    </x:row>
    <x:row r="98" ht="35" customHeight="1">
      <x:c r="A98" s="79" t="str">
        <x:v>feral</x:v>
      </x:c>
      <x:c r="B98" s="79" t="str">
        <x:v>Feral · Prey 2022</x:v>
      </x:c>
      <x:c r="C98" s="79" t="str">
        <x:v>03-panel.svg</x:v>
      </x:c>
      <x:c r="D98" s="79" t="str">
        <x:v>v135</x:v>
      </x:c>
      <x:c r="E98" s="79" t="str">
        <x:v>SVG source individuel</x:v>
      </x:c>
      <x:c r="F98" s="79" t="str">
        <x:v>public/game/assets/v135/gauntlets/feral/03-panel.svg</x:v>
      </x:c>
      <x:c r="G98" s="79" t="str">
        <x:v>Ref film à confirmer</x:v>
      </x:c>
      <x:c r="H98" s="79" t="str">
        <x:v>NON VALIDÉ</x:v>
      </x:c>
      <x:c r="I98" s="79" t="str">
        <x:v>Export PNG par GitHub Actions</x:v>
      </x:c>
      <x:c r="J98" s="79" t="str">
        <x:v>Mesures, peau, glyphes, UV et charnières à revoir</x:v>
      </x:c>
    </x:row>
    <x:row r="99" ht="35" customHeight="1">
      <x:c r="A99" s="79" t="str">
        <x:v>feral</x:v>
      </x:c>
      <x:c r="B99" s="79" t="str">
        <x:v>Feral · Prey 2022</x:v>
      </x:c>
      <x:c r="C99" s="79" t="str">
        <x:v>04-cover.svg</x:v>
      </x:c>
      <x:c r="D99" s="79" t="str">
        <x:v>v135</x:v>
      </x:c>
      <x:c r="E99" s="79" t="str">
        <x:v>SVG source individuel</x:v>
      </x:c>
      <x:c r="F99" s="79" t="str">
        <x:v>public/game/assets/v135/gauntlets/feral/04-cover.svg</x:v>
      </x:c>
      <x:c r="G99" s="79" t="str">
        <x:v>Ref film à confirmer</x:v>
      </x:c>
      <x:c r="H99" s="79" t="str">
        <x:v>NON VALIDÉ</x:v>
      </x:c>
      <x:c r="I99" s="79" t="str">
        <x:v>Export PNG par GitHub Actions</x:v>
      </x:c>
      <x:c r="J99" s="79" t="str">
        <x:v>Mesures, peau, glyphes, UV et charnières à revoir</x:v>
      </x:c>
    </x:row>
    <x:row r="100" ht="35" customHeight="1">
      <x:c r="A100" s="79" t="str">
        <x:v>dek</x:v>
      </x:c>
      <x:c r="B100" s="79" t="str">
        <x:v>Dek · Badlands 2025</x:v>
      </x:c>
      <x:c r="C100" s="79" t="str">
        <x:v>01-forearm.svg</x:v>
      </x:c>
      <x:c r="D100" s="79" t="str">
        <x:v>v135</x:v>
      </x:c>
      <x:c r="E100" s="79" t="str">
        <x:v>SVG source individuel</x:v>
      </x:c>
      <x:c r="F100" s="79" t="str">
        <x:v>public/game/assets/v135/gauntlets/dek/01-forearm.svg</x:v>
      </x:c>
      <x:c r="G100" s="79" t="str">
        <x:v>Ref film à confirmer</x:v>
      </x:c>
      <x:c r="H100" s="79" t="str">
        <x:v>NON VALIDÉ</x:v>
      </x:c>
      <x:c r="I100" s="79" t="str">
        <x:v>Export PNG par GitHub Actions</x:v>
      </x:c>
      <x:c r="J100" s="79" t="str">
        <x:v>Mesures, peau, glyphes, UV et charnières à revoir</x:v>
      </x:c>
    </x:row>
    <x:row r="101" ht="35" customHeight="1">
      <x:c r="A101" s="79" t="str">
        <x:v>dek</x:v>
      </x:c>
      <x:c r="B101" s="79" t="str">
        <x:v>Dek · Badlands 2025</x:v>
      </x:c>
      <x:c r="C101" s="79" t="str">
        <x:v>02-shell.svg</x:v>
      </x:c>
      <x:c r="D101" s="79" t="str">
        <x:v>v135</x:v>
      </x:c>
      <x:c r="E101" s="79" t="str">
        <x:v>SVG source individuel</x:v>
      </x:c>
      <x:c r="F101" s="79" t="str">
        <x:v>public/game/assets/v135/gauntlets/dek/02-shell.svg</x:v>
      </x:c>
      <x:c r="G101" s="79" t="str">
        <x:v>Ref film à confirmer</x:v>
      </x:c>
      <x:c r="H101" s="79" t="str">
        <x:v>NON VALIDÉ</x:v>
      </x:c>
      <x:c r="I101" s="79" t="str">
        <x:v>Export PNG par GitHub Actions</x:v>
      </x:c>
      <x:c r="J101" s="79" t="str">
        <x:v>Mesures, peau, glyphes, UV et charnières à revoir</x:v>
      </x:c>
    </x:row>
    <x:row r="102" ht="35" customHeight="1">
      <x:c r="A102" s="79" t="str">
        <x:v>dek</x:v>
      </x:c>
      <x:c r="B102" s="79" t="str">
        <x:v>Dek · Badlands 2025</x:v>
      </x:c>
      <x:c r="C102" s="79" t="str">
        <x:v>03-panel.svg</x:v>
      </x:c>
      <x:c r="D102" s="79" t="str">
        <x:v>v135</x:v>
      </x:c>
      <x:c r="E102" s="79" t="str">
        <x:v>SVG source individuel</x:v>
      </x:c>
      <x:c r="F102" s="79" t="str">
        <x:v>public/game/assets/v135/gauntlets/dek/03-panel.svg</x:v>
      </x:c>
      <x:c r="G102" s="79" t="str">
        <x:v>Ref film à confirmer</x:v>
      </x:c>
      <x:c r="H102" s="79" t="str">
        <x:v>NON VALIDÉ</x:v>
      </x:c>
      <x:c r="I102" s="79" t="str">
        <x:v>Export PNG par GitHub Actions</x:v>
      </x:c>
      <x:c r="J102" s="79" t="str">
        <x:v>Mesures, peau, glyphes, UV et charnières à revoir</x:v>
      </x:c>
    </x:row>
    <x:row r="103" ht="35" customHeight="1">
      <x:c r="A103" s="79" t="str">
        <x:v>dek</x:v>
      </x:c>
      <x:c r="B103" s="79" t="str">
        <x:v>Dek · Badlands 2025</x:v>
      </x:c>
      <x:c r="C103" s="79" t="str">
        <x:v>04-cover.svg</x:v>
      </x:c>
      <x:c r="D103" s="79" t="str">
        <x:v>v135</x:v>
      </x:c>
      <x:c r="E103" s="79" t="str">
        <x:v>SVG source individuel</x:v>
      </x:c>
      <x:c r="F103" s="79" t="str">
        <x:v>public/game/assets/v135/gauntlets/dek/04-cover.svg</x:v>
      </x:c>
      <x:c r="G103" s="79" t="str">
        <x:v>Ref film à confirmer</x:v>
      </x:c>
      <x:c r="H103" s="79" t="str">
        <x:v>NON VALIDÉ</x:v>
      </x:c>
      <x:c r="I103" s="79" t="str">
        <x:v>Export PNG par GitHub Actions</x:v>
      </x:c>
      <x:c r="J103" s="79" t="str">
        <x:v>Mesures, peau, glyphes, UV et charnières à revoir</x:v>
      </x:c>
    </x:row>
    <x:row r="104" ht="35" customHeight="1">
      <x:c r="A104" s="79" t="str">
        <x:v>kwei</x:v>
      </x:c>
      <x:c r="B104" s="79" t="str">
        <x:v>Kwei · Badlands 2025</x:v>
      </x:c>
      <x:c r="C104" s="79" t="str">
        <x:v>01-arm.svg</x:v>
      </x:c>
      <x:c r="D104" s="79" t="str">
        <x:v>v136</x:v>
      </x:c>
      <x:c r="E104" s="79" t="str">
        <x:v>SVG source individuel</x:v>
      </x:c>
      <x:c r="F104" s="79" t="str">
        <x:v>public/game/assets/v136/gauntlets/kwei/01-arm.svg</x:v>
      </x:c>
      <x:c r="G104" s="79" t="str">
        <x:v>Création ORIGINALE</x:v>
      </x:c>
      <x:c r="H104" s="79" t="str">
        <x:v>NON VALIDÉ</x:v>
      </x:c>
      <x:c r="I104" s="79" t="str">
        <x:v>Export PNG par GitHub Actions</x:v>
      </x:c>
      <x:c r="J104" s="79" t="str">
        <x:v>Mesures, peau, glyphes, UV et charnières à revoir</x:v>
      </x:c>
    </x:row>
    <x:row r="105" ht="35" customHeight="1">
      <x:c r="A105" s="79" t="str">
        <x:v>kwei</x:v>
      </x:c>
      <x:c r="B105" s="79" t="str">
        <x:v>Kwei · Badlands 2025</x:v>
      </x:c>
      <x:c r="C105" s="79" t="str">
        <x:v>02-shell.svg</x:v>
      </x:c>
      <x:c r="D105" s="79" t="str">
        <x:v>v136</x:v>
      </x:c>
      <x:c r="E105" s="79" t="str">
        <x:v>SVG source individuel</x:v>
      </x:c>
      <x:c r="F105" s="79" t="str">
        <x:v>public/game/assets/v136/gauntlets/kwei/02-shell.svg</x:v>
      </x:c>
      <x:c r="G105" s="79" t="str">
        <x:v>Création ORIGINALE</x:v>
      </x:c>
      <x:c r="H105" s="79" t="str">
        <x:v>NON VALIDÉ</x:v>
      </x:c>
      <x:c r="I105" s="79" t="str">
        <x:v>Export PNG par GitHub Actions</x:v>
      </x:c>
      <x:c r="J105" s="79" t="str">
        <x:v>Mesures, peau, glyphes, UV et charnières à revoir</x:v>
      </x:c>
    </x:row>
    <x:row r="106" ht="35" customHeight="1">
      <x:c r="A106" s="79" t="str">
        <x:v>kwei</x:v>
      </x:c>
      <x:c r="B106" s="79" t="str">
        <x:v>Kwei · Badlands 2025</x:v>
      </x:c>
      <x:c r="C106" s="79" t="str">
        <x:v>03-interface.svg</x:v>
      </x:c>
      <x:c r="D106" s="79" t="str">
        <x:v>v136</x:v>
      </x:c>
      <x:c r="E106" s="79" t="str">
        <x:v>SVG source individuel</x:v>
      </x:c>
      <x:c r="F106" s="79" t="str">
        <x:v>public/game/assets/v136/gauntlets/kwei/03-interface.svg</x:v>
      </x:c>
      <x:c r="G106" s="79" t="str">
        <x:v>Création ORIGINALE</x:v>
      </x:c>
      <x:c r="H106" s="79" t="str">
        <x:v>NON VALIDÉ</x:v>
      </x:c>
      <x:c r="I106" s="79" t="str">
        <x:v>Export PNG par GitHub Actions</x:v>
      </x:c>
      <x:c r="J106" s="79" t="str">
        <x:v>Mesures, peau, glyphes, UV et charnières à revoir</x:v>
      </x:c>
    </x:row>
    <x:row r="107" ht="35" customHeight="1">
      <x:c r="A107" s="79" t="str">
        <x:v>kwei</x:v>
      </x:c>
      <x:c r="B107" s="79" t="str">
        <x:v>Kwei · Badlands 2025</x:v>
      </x:c>
      <x:c r="C107" s="79" t="str">
        <x:v>04-lid.svg</x:v>
      </x:c>
      <x:c r="D107" s="79" t="str">
        <x:v>v136</x:v>
      </x:c>
      <x:c r="E107" s="79" t="str">
        <x:v>SVG source individuel</x:v>
      </x:c>
      <x:c r="F107" s="79" t="str">
        <x:v>public/game/assets/v136/gauntlets/kwei/04-lid.svg</x:v>
      </x:c>
      <x:c r="G107" s="79" t="str">
        <x:v>Création ORIGINALE</x:v>
      </x:c>
      <x:c r="H107" s="79" t="str">
        <x:v>NON VALIDÉ</x:v>
      </x:c>
      <x:c r="I107" s="79" t="str">
        <x:v>Export PNG par GitHub Actions</x:v>
      </x:c>
      <x:c r="J107" s="79" t="str">
        <x:v>Mesures, peau, glyphes, UV et charnières à revoir</x:v>
      </x:c>
    </x:row>
    <x:row r="108" ht="35" customHeight="1">
      <x:c r="A108" s="79" t="str">
        <x:v>njohrr</x:v>
      </x:c>
      <x:c r="B108" s="79" t="str">
        <x:v>Njohrr · Badlands 2025</x:v>
      </x:c>
      <x:c r="C108" s="79" t="str">
        <x:v>01-arm.svg</x:v>
      </x:c>
      <x:c r="D108" s="79" t="str">
        <x:v>v136</x:v>
      </x:c>
      <x:c r="E108" s="79" t="str">
        <x:v>SVG source individuel</x:v>
      </x:c>
      <x:c r="F108" s="79" t="str">
        <x:v>public/game/assets/v136/gauntlets/njohrr/01-arm.svg</x:v>
      </x:c>
      <x:c r="G108" s="79" t="str">
        <x:v>Création ORIGINALE</x:v>
      </x:c>
      <x:c r="H108" s="79" t="str">
        <x:v>NON VALIDÉ</x:v>
      </x:c>
      <x:c r="I108" s="79" t="str">
        <x:v>Export PNG par GitHub Actions</x:v>
      </x:c>
      <x:c r="J108" s="79" t="str">
        <x:v>Mesures, peau, glyphes, UV et charnières à revoir</x:v>
      </x:c>
    </x:row>
    <x:row r="109" ht="35" customHeight="1">
      <x:c r="A109" s="79" t="str">
        <x:v>njohrr</x:v>
      </x:c>
      <x:c r="B109" s="79" t="str">
        <x:v>Njohrr · Badlands 2025</x:v>
      </x:c>
      <x:c r="C109" s="79" t="str">
        <x:v>02-shell.svg</x:v>
      </x:c>
      <x:c r="D109" s="79" t="str">
        <x:v>v136</x:v>
      </x:c>
      <x:c r="E109" s="79" t="str">
        <x:v>SVG source individuel</x:v>
      </x:c>
      <x:c r="F109" s="79" t="str">
        <x:v>public/game/assets/v136/gauntlets/njohrr/02-shell.svg</x:v>
      </x:c>
      <x:c r="G109" s="79" t="str">
        <x:v>Création ORIGINALE</x:v>
      </x:c>
      <x:c r="H109" s="79" t="str">
        <x:v>NON VALIDÉ</x:v>
      </x:c>
      <x:c r="I109" s="79" t="str">
        <x:v>Export PNG par GitHub Actions</x:v>
      </x:c>
      <x:c r="J109" s="79" t="str">
        <x:v>Mesures, peau, glyphes, UV et charnières à revoir</x:v>
      </x:c>
    </x:row>
    <x:row r="110" ht="35" customHeight="1">
      <x:c r="A110" s="79" t="str">
        <x:v>njohrr</x:v>
      </x:c>
      <x:c r="B110" s="79" t="str">
        <x:v>Njohrr · Badlands 2025</x:v>
      </x:c>
      <x:c r="C110" s="79" t="str">
        <x:v>03-interface.svg</x:v>
      </x:c>
      <x:c r="D110" s="79" t="str">
        <x:v>v136</x:v>
      </x:c>
      <x:c r="E110" s="79" t="str">
        <x:v>SVG source individuel</x:v>
      </x:c>
      <x:c r="F110" s="79" t="str">
        <x:v>public/game/assets/v136/gauntlets/njohrr/03-interface.svg</x:v>
      </x:c>
      <x:c r="G110" s="79" t="str">
        <x:v>Création ORIGINALE</x:v>
      </x:c>
      <x:c r="H110" s="79" t="str">
        <x:v>NON VALIDÉ</x:v>
      </x:c>
      <x:c r="I110" s="79" t="str">
        <x:v>Export PNG par GitHub Actions</x:v>
      </x:c>
      <x:c r="J110" s="79" t="str">
        <x:v>Mesures, peau, glyphes, UV et charnières à revoir</x:v>
      </x:c>
    </x:row>
    <x:row r="111" ht="35" customHeight="1">
      <x:c r="A111" s="79" t="str">
        <x:v>njohrr</x:v>
      </x:c>
      <x:c r="B111" s="79" t="str">
        <x:v>Njohrr · Badlands 2025</x:v>
      </x:c>
      <x:c r="C111" s="79" t="str">
        <x:v>04-lid.svg</x:v>
      </x:c>
      <x:c r="D111" s="79" t="str">
        <x:v>v136</x:v>
      </x:c>
      <x:c r="E111" s="79" t="str">
        <x:v>SVG source individuel</x:v>
      </x:c>
      <x:c r="F111" s="79" t="str">
        <x:v>public/game/assets/v136/gauntlets/njohrr/04-lid.svg</x:v>
      </x:c>
      <x:c r="G111" s="79" t="str">
        <x:v>Création ORIGINALE</x:v>
      </x:c>
      <x:c r="H111" s="79" t="str">
        <x:v>NON VALIDÉ</x:v>
      </x:c>
      <x:c r="I111" s="79" t="str">
        <x:v>Export PNG par GitHub Actions</x:v>
      </x:c>
      <x:c r="J111" s="79" t="str">
        <x:v>Mesures, peau, glyphes, UV et charnières à revoir</x:v>
      </x:c>
    </x:row>
    <x:row r="112" ht="35" customHeight="1">
      <x:c r="A112" s="79" t="str">
        <x:v>kok-viking</x:v>
      </x:c>
      <x:c r="B112" s="79" t="str">
        <x:v>Chasseur Viking · Killer of Killers</x:v>
      </x:c>
      <x:c r="C112" s="79" t="str">
        <x:v>01-arm.svg</x:v>
      </x:c>
      <x:c r="D112" s="79" t="str">
        <x:v>v136</x:v>
      </x:c>
      <x:c r="E112" s="79" t="str">
        <x:v>SVG source individuel</x:v>
      </x:c>
      <x:c r="F112" s="79" t="str">
        <x:v>public/game/assets/v136/gauntlets/kok-viking/01-arm.svg</x:v>
      </x:c>
      <x:c r="G112" s="79" t="str">
        <x:v>Création ORIGINALE</x:v>
      </x:c>
      <x:c r="H112" s="79" t="str">
        <x:v>NON VALIDÉ</x:v>
      </x:c>
      <x:c r="I112" s="79" t="str">
        <x:v>Export PNG par GitHub Actions</x:v>
      </x:c>
      <x:c r="J112" s="79" t="str">
        <x:v>Mesures, peau, glyphes, UV et charnières à revoir</x:v>
      </x:c>
    </x:row>
    <x:row r="113" ht="35" customHeight="1">
      <x:c r="A113" s="79" t="str">
        <x:v>kok-viking</x:v>
      </x:c>
      <x:c r="B113" s="79" t="str">
        <x:v>Chasseur Viking · Killer of Killers</x:v>
      </x:c>
      <x:c r="C113" s="79" t="str">
        <x:v>02-shell.svg</x:v>
      </x:c>
      <x:c r="D113" s="79" t="str">
        <x:v>v136</x:v>
      </x:c>
      <x:c r="E113" s="79" t="str">
        <x:v>SVG source individuel</x:v>
      </x:c>
      <x:c r="F113" s="79" t="str">
        <x:v>public/game/assets/v136/gauntlets/kok-viking/02-shell.svg</x:v>
      </x:c>
      <x:c r="G113" s="79" t="str">
        <x:v>Création ORIGINALE</x:v>
      </x:c>
      <x:c r="H113" s="79" t="str">
        <x:v>NON VALIDÉ</x:v>
      </x:c>
      <x:c r="I113" s="79" t="str">
        <x:v>Export PNG par GitHub Actions</x:v>
      </x:c>
      <x:c r="J113" s="79" t="str">
        <x:v>Mesures, peau, glyphes, UV et charnières à revoir</x:v>
      </x:c>
    </x:row>
    <x:row r="114" ht="35" customHeight="1">
      <x:c r="A114" s="79" t="str">
        <x:v>kok-viking</x:v>
      </x:c>
      <x:c r="B114" s="79" t="str">
        <x:v>Chasseur Viking · Killer of Killers</x:v>
      </x:c>
      <x:c r="C114" s="79" t="str">
        <x:v>03-interface.svg</x:v>
      </x:c>
      <x:c r="D114" s="79" t="str">
        <x:v>v136</x:v>
      </x:c>
      <x:c r="E114" s="79" t="str">
        <x:v>SVG source individuel</x:v>
      </x:c>
      <x:c r="F114" s="79" t="str">
        <x:v>public/game/assets/v136/gauntlets/kok-viking/03-interface.svg</x:v>
      </x:c>
      <x:c r="G114" s="79" t="str">
        <x:v>Création ORIGINALE</x:v>
      </x:c>
      <x:c r="H114" s="79" t="str">
        <x:v>NON VALIDÉ</x:v>
      </x:c>
      <x:c r="I114" s="79" t="str">
        <x:v>Export PNG par GitHub Actions</x:v>
      </x:c>
      <x:c r="J114" s="79" t="str">
        <x:v>Mesures, peau, glyphes, UV et charnières à revoir</x:v>
      </x:c>
    </x:row>
    <x:row r="115" ht="35" customHeight="1">
      <x:c r="A115" s="79" t="str">
        <x:v>kok-viking</x:v>
      </x:c>
      <x:c r="B115" s="79" t="str">
        <x:v>Chasseur Viking · Killer of Killers</x:v>
      </x:c>
      <x:c r="C115" s="79" t="str">
        <x:v>04-lid.svg</x:v>
      </x:c>
      <x:c r="D115" s="79" t="str">
        <x:v>v136</x:v>
      </x:c>
      <x:c r="E115" s="79" t="str">
        <x:v>SVG source individuel</x:v>
      </x:c>
      <x:c r="F115" s="79" t="str">
        <x:v>public/game/assets/v136/gauntlets/kok-viking/04-lid.svg</x:v>
      </x:c>
      <x:c r="G115" s="79" t="str">
        <x:v>Création ORIGINALE</x:v>
      </x:c>
      <x:c r="H115" s="79" t="str">
        <x:v>NON VALIDÉ</x:v>
      </x:c>
      <x:c r="I115" s="79" t="str">
        <x:v>Export PNG par GitHub Actions</x:v>
      </x:c>
      <x:c r="J115" s="79" t="str">
        <x:v>Mesures, peau, glyphes, UV et charnières à revoir</x:v>
      </x:c>
    </x:row>
    <x:row r="116" ht="35" customHeight="1">
      <x:c r="A116" s="79" t="str">
        <x:v>kok-ninja</x:v>
      </x:c>
      <x:c r="B116" s="79" t="str">
        <x:v>Chasseur Ninja · Killer of Killers</x:v>
      </x:c>
      <x:c r="C116" s="79" t="str">
        <x:v>01-arm.svg</x:v>
      </x:c>
      <x:c r="D116" s="79" t="str">
        <x:v>v136</x:v>
      </x:c>
      <x:c r="E116" s="79" t="str">
        <x:v>SVG source individuel</x:v>
      </x:c>
      <x:c r="F116" s="79" t="str">
        <x:v>public/game/assets/v136/gauntlets/kok-ninja/01-arm.svg</x:v>
      </x:c>
      <x:c r="G116" s="79" t="str">
        <x:v>Création ORIGINALE</x:v>
      </x:c>
      <x:c r="H116" s="79" t="str">
        <x:v>NON VALIDÉ</x:v>
      </x:c>
      <x:c r="I116" s="79" t="str">
        <x:v>Export PNG par GitHub Actions</x:v>
      </x:c>
      <x:c r="J116" s="79" t="str">
        <x:v>Mesures, peau, glyphes, UV et charnières à revoir</x:v>
      </x:c>
    </x:row>
    <x:row r="117" ht="35" customHeight="1">
      <x:c r="A117" s="79" t="str">
        <x:v>kok-ninja</x:v>
      </x:c>
      <x:c r="B117" s="79" t="str">
        <x:v>Chasseur Ninja · Killer of Killers</x:v>
      </x:c>
      <x:c r="C117" s="79" t="str">
        <x:v>02-shell.svg</x:v>
      </x:c>
      <x:c r="D117" s="79" t="str">
        <x:v>v136</x:v>
      </x:c>
      <x:c r="E117" s="79" t="str">
        <x:v>SVG source individuel</x:v>
      </x:c>
      <x:c r="F117" s="79" t="str">
        <x:v>public/game/assets/v136/gauntlets/kok-ninja/02-shell.svg</x:v>
      </x:c>
      <x:c r="G117" s="79" t="str">
        <x:v>Création ORIGINALE</x:v>
      </x:c>
      <x:c r="H117" s="79" t="str">
        <x:v>NON VALIDÉ</x:v>
      </x:c>
      <x:c r="I117" s="79" t="str">
        <x:v>Export PNG par GitHub Actions</x:v>
      </x:c>
      <x:c r="J117" s="79" t="str">
        <x:v>Mesures, peau, glyphes, UV et charnières à revoir</x:v>
      </x:c>
    </x:row>
    <x:row r="118" ht="35" customHeight="1">
      <x:c r="A118" s="79" t="str">
        <x:v>kok-ninja</x:v>
      </x:c>
      <x:c r="B118" s="79" t="str">
        <x:v>Chasseur Ninja · Killer of Killers</x:v>
      </x:c>
      <x:c r="C118" s="79" t="str">
        <x:v>03-interface.svg</x:v>
      </x:c>
      <x:c r="D118" s="79" t="str">
        <x:v>v136</x:v>
      </x:c>
      <x:c r="E118" s="79" t="str">
        <x:v>SVG source individuel</x:v>
      </x:c>
      <x:c r="F118" s="79" t="str">
        <x:v>public/game/assets/v136/gauntlets/kok-ninja/03-interface.svg</x:v>
      </x:c>
      <x:c r="G118" s="79" t="str">
        <x:v>Création ORIGINALE</x:v>
      </x:c>
      <x:c r="H118" s="79" t="str">
        <x:v>NON VALIDÉ</x:v>
      </x:c>
      <x:c r="I118" s="79" t="str">
        <x:v>Export PNG par GitHub Actions</x:v>
      </x:c>
      <x:c r="J118" s="79" t="str">
        <x:v>Mesures, peau, glyphes, UV et charnières à revoir</x:v>
      </x:c>
    </x:row>
    <x:row r="119" ht="35" customHeight="1">
      <x:c r="A119" s="79" t="str">
        <x:v>kok-ninja</x:v>
      </x:c>
      <x:c r="B119" s="79" t="str">
        <x:v>Chasseur Ninja · Killer of Killers</x:v>
      </x:c>
      <x:c r="C119" s="79" t="str">
        <x:v>04-lid.svg</x:v>
      </x:c>
      <x:c r="D119" s="79" t="str">
        <x:v>v136</x:v>
      </x:c>
      <x:c r="E119" s="79" t="str">
        <x:v>SVG source individuel</x:v>
      </x:c>
      <x:c r="F119" s="79" t="str">
        <x:v>public/game/assets/v136/gauntlets/kok-ninja/04-lid.svg</x:v>
      </x:c>
      <x:c r="G119" s="79" t="str">
        <x:v>Création ORIGINALE</x:v>
      </x:c>
      <x:c r="H119" s="79" t="str">
        <x:v>NON VALIDÉ</x:v>
      </x:c>
      <x:c r="I119" s="79" t="str">
        <x:v>Export PNG par GitHub Actions</x:v>
      </x:c>
      <x:c r="J119" s="79" t="str">
        <x:v>Mesures, peau, glyphes, UV et charnières à revoir</x:v>
      </x:c>
    </x:row>
    <x:row r="120" ht="35" customHeight="1">
      <x:c r="A120" s="79" t="str">
        <x:v>kok-pilot</x:v>
      </x:c>
      <x:c r="B120" s="79" t="str">
        <x:v>Chasseur Pilote · Killer of Killers</x:v>
      </x:c>
      <x:c r="C120" s="79" t="str">
        <x:v>01-arm.svg</x:v>
      </x:c>
      <x:c r="D120" s="79" t="str">
        <x:v>v136</x:v>
      </x:c>
      <x:c r="E120" s="79" t="str">
        <x:v>SVG source individuel</x:v>
      </x:c>
      <x:c r="F120" s="79" t="str">
        <x:v>public/game/assets/v136/gauntlets/kok-pilot/01-arm.svg</x:v>
      </x:c>
      <x:c r="G120" s="79" t="str">
        <x:v>Création ORIGINALE</x:v>
      </x:c>
      <x:c r="H120" s="79" t="str">
        <x:v>NON VALIDÉ</x:v>
      </x:c>
      <x:c r="I120" s="79" t="str">
        <x:v>Export PNG par GitHub Actions</x:v>
      </x:c>
      <x:c r="J120" s="79" t="str">
        <x:v>Mesures, peau, glyphes, UV et charnières à revoir</x:v>
      </x:c>
    </x:row>
    <x:row r="121" ht="35" customHeight="1">
      <x:c r="A121" s="79" t="str">
        <x:v>kok-pilot</x:v>
      </x:c>
      <x:c r="B121" s="79" t="str">
        <x:v>Chasseur Pilote · Killer of Killers</x:v>
      </x:c>
      <x:c r="C121" s="79" t="str">
        <x:v>02-shell.svg</x:v>
      </x:c>
      <x:c r="D121" s="79" t="str">
        <x:v>v136</x:v>
      </x:c>
      <x:c r="E121" s="79" t="str">
        <x:v>SVG source individuel</x:v>
      </x:c>
      <x:c r="F121" s="79" t="str">
        <x:v>public/game/assets/v136/gauntlets/kok-pilot/02-shell.svg</x:v>
      </x:c>
      <x:c r="G121" s="79" t="str">
        <x:v>Création ORIGINALE</x:v>
      </x:c>
      <x:c r="H121" s="79" t="str">
        <x:v>NON VALIDÉ</x:v>
      </x:c>
      <x:c r="I121" s="79" t="str">
        <x:v>Export PNG par GitHub Actions</x:v>
      </x:c>
      <x:c r="J121" s="79" t="str">
        <x:v>Mesures, peau, glyphes, UV et charnières à revoir</x:v>
      </x:c>
    </x:row>
    <x:row r="122" ht="35" customHeight="1">
      <x:c r="A122" s="79" t="str">
        <x:v>kok-pilot</x:v>
      </x:c>
      <x:c r="B122" s="79" t="str">
        <x:v>Chasseur Pilote · Killer of Killers</x:v>
      </x:c>
      <x:c r="C122" s="79" t="str">
        <x:v>03-interface.svg</x:v>
      </x:c>
      <x:c r="D122" s="79" t="str">
        <x:v>v136</x:v>
      </x:c>
      <x:c r="E122" s="79" t="str">
        <x:v>SVG source individuel</x:v>
      </x:c>
      <x:c r="F122" s="79" t="str">
        <x:v>public/game/assets/v136/gauntlets/kok-pilot/03-interface.svg</x:v>
      </x:c>
      <x:c r="G122" s="79" t="str">
        <x:v>Création ORIGINALE</x:v>
      </x:c>
      <x:c r="H122" s="79" t="str">
        <x:v>NON VALIDÉ</x:v>
      </x:c>
      <x:c r="I122" s="79" t="str">
        <x:v>Export PNG par GitHub Actions</x:v>
      </x:c>
      <x:c r="J122" s="79" t="str">
        <x:v>Mesures, peau, glyphes, UV et charnières à revoir</x:v>
      </x:c>
    </x:row>
    <x:row r="123" ht="35" customHeight="1">
      <x:c r="A123" s="79" t="str">
        <x:v>kok-pilot</x:v>
      </x:c>
      <x:c r="B123" s="79" t="str">
        <x:v>Chasseur Pilote · Killer of Killers</x:v>
      </x:c>
      <x:c r="C123" s="79" t="str">
        <x:v>04-lid.svg</x:v>
      </x:c>
      <x:c r="D123" s="79" t="str">
        <x:v>v136</x:v>
      </x:c>
      <x:c r="E123" s="79" t="str">
        <x:v>SVG source individuel</x:v>
      </x:c>
      <x:c r="F123" s="79" t="str">
        <x:v>public/game/assets/v136/gauntlets/kok-pilot/04-lid.svg</x:v>
      </x:c>
      <x:c r="G123" s="79" t="str">
        <x:v>Création ORIGINALE</x:v>
      </x:c>
      <x:c r="H123" s="79" t="str">
        <x:v>NON VALIDÉ</x:v>
      </x:c>
      <x:c r="I123" s="79" t="str">
        <x:v>Export PNG par GitHub Actions</x:v>
      </x:c>
      <x:c r="J123" s="79" t="str">
        <x:v>Mesures, peau, glyphes, UV et charnières à revoir</x:v>
      </x:c>
    </x:row>
    <x:row r="124" ht="35" customHeight="1">
      <x:c r="A124" s="79" t="str">
        <x:v>kok-grendel</x:v>
      </x:c>
      <x:c r="B124" s="79" t="str">
        <x:v>Grendel King · Killer of Killers</x:v>
      </x:c>
      <x:c r="C124" s="79" t="str">
        <x:v>01-arm.svg</x:v>
      </x:c>
      <x:c r="D124" s="79" t="str">
        <x:v>v136</x:v>
      </x:c>
      <x:c r="E124" s="79" t="str">
        <x:v>SVG source individuel</x:v>
      </x:c>
      <x:c r="F124" s="79" t="str">
        <x:v>public/game/assets/v136/gauntlets/kok-grendel/01-arm.svg</x:v>
      </x:c>
      <x:c r="G124" s="79" t="str">
        <x:v>Création ORIGINALE</x:v>
      </x:c>
      <x:c r="H124" s="79" t="str">
        <x:v>NON VALIDÉ</x:v>
      </x:c>
      <x:c r="I124" s="79" t="str">
        <x:v>Export PNG par GitHub Actions</x:v>
      </x:c>
      <x:c r="J124" s="79" t="str">
        <x:v>Mesures, peau, glyphes, UV et charnières à revoir</x:v>
      </x:c>
    </x:row>
    <x:row r="125" ht="35" customHeight="1">
      <x:c r="A125" s="79" t="str">
        <x:v>kok-grendel</x:v>
      </x:c>
      <x:c r="B125" s="79" t="str">
        <x:v>Grendel King · Killer of Killers</x:v>
      </x:c>
      <x:c r="C125" s="79" t="str">
        <x:v>02-shell.svg</x:v>
      </x:c>
      <x:c r="D125" s="79" t="str">
        <x:v>v136</x:v>
      </x:c>
      <x:c r="E125" s="79" t="str">
        <x:v>SVG source individuel</x:v>
      </x:c>
      <x:c r="F125" s="79" t="str">
        <x:v>public/game/assets/v136/gauntlets/kok-grendel/02-shell.svg</x:v>
      </x:c>
      <x:c r="G125" s="79" t="str">
        <x:v>Création ORIGINALE</x:v>
      </x:c>
      <x:c r="H125" s="79" t="str">
        <x:v>NON VALIDÉ</x:v>
      </x:c>
      <x:c r="I125" s="79" t="str">
        <x:v>Export PNG par GitHub Actions</x:v>
      </x:c>
      <x:c r="J125" s="79" t="str">
        <x:v>Mesures, peau, glyphes, UV et charnières à revoir</x:v>
      </x:c>
    </x:row>
    <x:row r="126" ht="35" customHeight="1">
      <x:c r="A126" s="79" t="str">
        <x:v>kok-grendel</x:v>
      </x:c>
      <x:c r="B126" s="79" t="str">
        <x:v>Grendel King · Killer of Killers</x:v>
      </x:c>
      <x:c r="C126" s="79" t="str">
        <x:v>03-interface.svg</x:v>
      </x:c>
      <x:c r="D126" s="79" t="str">
        <x:v>v136</x:v>
      </x:c>
      <x:c r="E126" s="79" t="str">
        <x:v>SVG source individuel</x:v>
      </x:c>
      <x:c r="F126" s="79" t="str">
        <x:v>public/game/assets/v136/gauntlets/kok-grendel/03-interface.svg</x:v>
      </x:c>
      <x:c r="G126" s="79" t="str">
        <x:v>Création ORIGINALE</x:v>
      </x:c>
      <x:c r="H126" s="79" t="str">
        <x:v>NON VALIDÉ</x:v>
      </x:c>
      <x:c r="I126" s="79" t="str">
        <x:v>Export PNG par GitHub Actions</x:v>
      </x:c>
      <x:c r="J126" s="79" t="str">
        <x:v>Mesures, peau, glyphes, UV et charnières à revoir</x:v>
      </x:c>
    </x:row>
    <x:row r="127" ht="35" customHeight="1">
      <x:c r="A127" s="79" t="str">
        <x:v>kok-grendel</x:v>
      </x:c>
      <x:c r="B127" s="79" t="str">
        <x:v>Grendel King · Killer of Killers</x:v>
      </x:c>
      <x:c r="C127" s="79" t="str">
        <x:v>04-lid.svg</x:v>
      </x:c>
      <x:c r="D127" s="79" t="str">
        <x:v>v136</x:v>
      </x:c>
      <x:c r="E127" s="79" t="str">
        <x:v>SVG source individuel</x:v>
      </x:c>
      <x:c r="F127" s="79" t="str">
        <x:v>public/game/assets/v136/gauntlets/kok-grendel/04-lid.svg</x:v>
      </x:c>
      <x:c r="G127" s="79" t="str">
        <x:v>Création ORIGINALE</x:v>
      </x:c>
      <x:c r="H127" s="79" t="str">
        <x:v>NON VALIDÉ</x:v>
      </x:c>
      <x:c r="I127" s="79" t="str">
        <x:v>Export PNG par GitHub Actions</x:v>
      </x:c>
      <x:c r="J127" s="79" t="str">
        <x:v>Mesures, peau, glyphes, UV et charnières à revoir</x:v>
      </x:c>
    </x:row>
    <x:row r="128" ht="35" customHeight="1">
      <x:c r="A128" s="79" t="str">
        <x:v>phg-hunter</x:v>
      </x:c>
      <x:c r="B128" s="79" t="str">
        <x:v>Hunter · PHG</x:v>
      </x:c>
      <x:c r="C128" s="79" t="str">
        <x:v>01-arm.svg</x:v>
      </x:c>
      <x:c r="D128" s="79" t="str">
        <x:v>v136</x:v>
      </x:c>
      <x:c r="E128" s="79" t="str">
        <x:v>SVG source individuel</x:v>
      </x:c>
      <x:c r="F128" s="79" t="str">
        <x:v>public/game/assets/v136/gauntlets/phg-hunter/01-arm.svg</x:v>
      </x:c>
      <x:c r="G128" s="79" t="str">
        <x:v>Création ORIGINALE</x:v>
      </x:c>
      <x:c r="H128" s="79" t="str">
        <x:v>NON VALIDÉ</x:v>
      </x:c>
      <x:c r="I128" s="79" t="str">
        <x:v>Export PNG par GitHub Actions</x:v>
      </x:c>
      <x:c r="J128" s="79" t="str">
        <x:v>Mesures, peau, glyphes, UV et charnières à revoir</x:v>
      </x:c>
    </x:row>
    <x:row r="129" ht="35" customHeight="1">
      <x:c r="A129" s="79" t="str">
        <x:v>phg-hunter</x:v>
      </x:c>
      <x:c r="B129" s="79" t="str">
        <x:v>Hunter · PHG</x:v>
      </x:c>
      <x:c r="C129" s="79" t="str">
        <x:v>02-shell.svg</x:v>
      </x:c>
      <x:c r="D129" s="79" t="str">
        <x:v>v136</x:v>
      </x:c>
      <x:c r="E129" s="79" t="str">
        <x:v>SVG source individuel</x:v>
      </x:c>
      <x:c r="F129" s="79" t="str">
        <x:v>public/game/assets/v136/gauntlets/phg-hunter/02-shell.svg</x:v>
      </x:c>
      <x:c r="G129" s="79" t="str">
        <x:v>Création ORIGINALE</x:v>
      </x:c>
      <x:c r="H129" s="79" t="str">
        <x:v>NON VALIDÉ</x:v>
      </x:c>
      <x:c r="I129" s="79" t="str">
        <x:v>Export PNG par GitHub Actions</x:v>
      </x:c>
      <x:c r="J129" s="79" t="str">
        <x:v>Mesures, peau, glyphes, UV et charnières à revoir</x:v>
      </x:c>
    </x:row>
    <x:row r="130" ht="35" customHeight="1">
      <x:c r="A130" s="79" t="str">
        <x:v>phg-hunter</x:v>
      </x:c>
      <x:c r="B130" s="79" t="str">
        <x:v>Hunter · PHG</x:v>
      </x:c>
      <x:c r="C130" s="79" t="str">
        <x:v>03-interface.svg</x:v>
      </x:c>
      <x:c r="D130" s="79" t="str">
        <x:v>v136</x:v>
      </x:c>
      <x:c r="E130" s="79" t="str">
        <x:v>SVG source individuel</x:v>
      </x:c>
      <x:c r="F130" s="79" t="str">
        <x:v>public/game/assets/v136/gauntlets/phg-hunter/03-interface.svg</x:v>
      </x:c>
      <x:c r="G130" s="79" t="str">
        <x:v>Création ORIGINALE</x:v>
      </x:c>
      <x:c r="H130" s="79" t="str">
        <x:v>NON VALIDÉ</x:v>
      </x:c>
      <x:c r="I130" s="79" t="str">
        <x:v>Export PNG par GitHub Actions</x:v>
      </x:c>
      <x:c r="J130" s="79" t="str">
        <x:v>Mesures, peau, glyphes, UV et charnières à revoir</x:v>
      </x:c>
    </x:row>
    <x:row r="131" ht="35" customHeight="1">
      <x:c r="A131" s="79" t="str">
        <x:v>phg-hunter</x:v>
      </x:c>
      <x:c r="B131" s="79" t="str">
        <x:v>Hunter · PHG</x:v>
      </x:c>
      <x:c r="C131" s="79" t="str">
        <x:v>04-lid.svg</x:v>
      </x:c>
      <x:c r="D131" s="79" t="str">
        <x:v>v136</x:v>
      </x:c>
      <x:c r="E131" s="79" t="str">
        <x:v>SVG source individuel</x:v>
      </x:c>
      <x:c r="F131" s="79" t="str">
        <x:v>public/game/assets/v136/gauntlets/phg-hunter/04-lid.svg</x:v>
      </x:c>
      <x:c r="G131" s="79" t="str">
        <x:v>Création ORIGINALE</x:v>
      </x:c>
      <x:c r="H131" s="79" t="str">
        <x:v>NON VALIDÉ</x:v>
      </x:c>
      <x:c r="I131" s="79" t="str">
        <x:v>Export PNG par GitHub Actions</x:v>
      </x:c>
      <x:c r="J131" s="79" t="str">
        <x:v>Mesures, peau, glyphes, UV et charnières à revoir</x:v>
      </x:c>
    </x:row>
    <x:row r="132" ht="35" customHeight="1">
      <x:c r="A132" s="79" t="str">
        <x:v>phg-scout</x:v>
      </x:c>
      <x:c r="B132" s="79" t="str">
        <x:v>Scout · PHG</x:v>
      </x:c>
      <x:c r="C132" s="79" t="str">
        <x:v>01-arm.svg</x:v>
      </x:c>
      <x:c r="D132" s="79" t="str">
        <x:v>v136</x:v>
      </x:c>
      <x:c r="E132" s="79" t="str">
        <x:v>SVG source individuel</x:v>
      </x:c>
      <x:c r="F132" s="79" t="str">
        <x:v>public/game/assets/v136/gauntlets/phg-scout/01-arm.svg</x:v>
      </x:c>
      <x:c r="G132" s="79" t="str">
        <x:v>Création ORIGINALE</x:v>
      </x:c>
      <x:c r="H132" s="79" t="str">
        <x:v>NON VALIDÉ</x:v>
      </x:c>
      <x:c r="I132" s="79" t="str">
        <x:v>Export PNG par GitHub Actions</x:v>
      </x:c>
      <x:c r="J132" s="79" t="str">
        <x:v>Mesures, peau, glyphes, UV et charnières à revoir</x:v>
      </x:c>
    </x:row>
    <x:row r="133" ht="35" customHeight="1">
      <x:c r="A133" s="79" t="str">
        <x:v>phg-scout</x:v>
      </x:c>
      <x:c r="B133" s="79" t="str">
        <x:v>Scout · PHG</x:v>
      </x:c>
      <x:c r="C133" s="79" t="str">
        <x:v>02-shell.svg</x:v>
      </x:c>
      <x:c r="D133" s="79" t="str">
        <x:v>v136</x:v>
      </x:c>
      <x:c r="E133" s="79" t="str">
        <x:v>SVG source individuel</x:v>
      </x:c>
      <x:c r="F133" s="79" t="str">
        <x:v>public/game/assets/v136/gauntlets/phg-scout/02-shell.svg</x:v>
      </x:c>
      <x:c r="G133" s="79" t="str">
        <x:v>Création ORIGINALE</x:v>
      </x:c>
      <x:c r="H133" s="79" t="str">
        <x:v>NON VALIDÉ</x:v>
      </x:c>
      <x:c r="I133" s="79" t="str">
        <x:v>Export PNG par GitHub Actions</x:v>
      </x:c>
      <x:c r="J133" s="79" t="str">
        <x:v>Mesures, peau, glyphes, UV et charnières à revoir</x:v>
      </x:c>
    </x:row>
    <x:row r="134" ht="35" customHeight="1">
      <x:c r="A134" s="79" t="str">
        <x:v>phg-scout</x:v>
      </x:c>
      <x:c r="B134" s="79" t="str">
        <x:v>Scout · PHG</x:v>
      </x:c>
      <x:c r="C134" s="79" t="str">
        <x:v>03-interface.svg</x:v>
      </x:c>
      <x:c r="D134" s="79" t="str">
        <x:v>v136</x:v>
      </x:c>
      <x:c r="E134" s="79" t="str">
        <x:v>SVG source individuel</x:v>
      </x:c>
      <x:c r="F134" s="79" t="str">
        <x:v>public/game/assets/v136/gauntlets/phg-scout/03-interface.svg</x:v>
      </x:c>
      <x:c r="G134" s="79" t="str">
        <x:v>Création ORIGINALE</x:v>
      </x:c>
      <x:c r="H134" s="79" t="str">
        <x:v>NON VALIDÉ</x:v>
      </x:c>
      <x:c r="I134" s="79" t="str">
        <x:v>Export PNG par GitHub Actions</x:v>
      </x:c>
      <x:c r="J134" s="79" t="str">
        <x:v>Mesures, peau, glyphes, UV et charnières à revoir</x:v>
      </x:c>
    </x:row>
    <x:row r="135" ht="35" customHeight="1">
      <x:c r="A135" s="79" t="str">
        <x:v>phg-scout</x:v>
      </x:c>
      <x:c r="B135" s="79" t="str">
        <x:v>Scout · PHG</x:v>
      </x:c>
      <x:c r="C135" s="79" t="str">
        <x:v>04-lid.svg</x:v>
      </x:c>
      <x:c r="D135" s="79" t="str">
        <x:v>v136</x:v>
      </x:c>
      <x:c r="E135" s="79" t="str">
        <x:v>SVG source individuel</x:v>
      </x:c>
      <x:c r="F135" s="79" t="str">
        <x:v>public/game/assets/v136/gauntlets/phg-scout/04-lid.svg</x:v>
      </x:c>
      <x:c r="G135" s="79" t="str">
        <x:v>Création ORIGINALE</x:v>
      </x:c>
      <x:c r="H135" s="79" t="str">
        <x:v>NON VALIDÉ</x:v>
      </x:c>
      <x:c r="I135" s="79" t="str">
        <x:v>Export PNG par GitHub Actions</x:v>
      </x:c>
      <x:c r="J135" s="79" t="str">
        <x:v>Mesures, peau, glyphes, UV et charnières à revoir</x:v>
      </x:c>
    </x:row>
    <x:row r="136" ht="35" customHeight="1">
      <x:c r="A136" s="79" t="str">
        <x:v>phg-berserker</x:v>
      </x:c>
      <x:c r="B136" s="79" t="str">
        <x:v>Berserker · PHG</x:v>
      </x:c>
      <x:c r="C136" s="79" t="str">
        <x:v>01-arm.svg</x:v>
      </x:c>
      <x:c r="D136" s="79" t="str">
        <x:v>v136</x:v>
      </x:c>
      <x:c r="E136" s="79" t="str">
        <x:v>SVG source individuel</x:v>
      </x:c>
      <x:c r="F136" s="79" t="str">
        <x:v>public/game/assets/v136/gauntlets/phg-berserker/01-arm.svg</x:v>
      </x:c>
      <x:c r="G136" s="79" t="str">
        <x:v>Création ORIGINALE</x:v>
      </x:c>
      <x:c r="H136" s="79" t="str">
        <x:v>NON VALIDÉ</x:v>
      </x:c>
      <x:c r="I136" s="79" t="str">
        <x:v>Export PNG par GitHub Actions</x:v>
      </x:c>
      <x:c r="J136" s="79" t="str">
        <x:v>Mesures, peau, glyphes, UV et charnières à revoir</x:v>
      </x:c>
    </x:row>
    <x:row r="137" ht="35" customHeight="1">
      <x:c r="A137" s="79" t="str">
        <x:v>phg-berserker</x:v>
      </x:c>
      <x:c r="B137" s="79" t="str">
        <x:v>Berserker · PHG</x:v>
      </x:c>
      <x:c r="C137" s="79" t="str">
        <x:v>02-shell.svg</x:v>
      </x:c>
      <x:c r="D137" s="79" t="str">
        <x:v>v136</x:v>
      </x:c>
      <x:c r="E137" s="79" t="str">
        <x:v>SVG source individuel</x:v>
      </x:c>
      <x:c r="F137" s="79" t="str">
        <x:v>public/game/assets/v136/gauntlets/phg-berserker/02-shell.svg</x:v>
      </x:c>
      <x:c r="G137" s="79" t="str">
        <x:v>Création ORIGINALE</x:v>
      </x:c>
      <x:c r="H137" s="79" t="str">
        <x:v>NON VALIDÉ</x:v>
      </x:c>
      <x:c r="I137" s="79" t="str">
        <x:v>Export PNG par GitHub Actions</x:v>
      </x:c>
      <x:c r="J137" s="79" t="str">
        <x:v>Mesures, peau, glyphes, UV et charnières à revoir</x:v>
      </x:c>
    </x:row>
    <x:row r="138" ht="35" customHeight="1">
      <x:c r="A138" s="79" t="str">
        <x:v>phg-berserker</x:v>
      </x:c>
      <x:c r="B138" s="79" t="str">
        <x:v>Berserker · PHG</x:v>
      </x:c>
      <x:c r="C138" s="79" t="str">
        <x:v>03-interface.svg</x:v>
      </x:c>
      <x:c r="D138" s="79" t="str">
        <x:v>v136</x:v>
      </x:c>
      <x:c r="E138" s="79" t="str">
        <x:v>SVG source individuel</x:v>
      </x:c>
      <x:c r="F138" s="79" t="str">
        <x:v>public/game/assets/v136/gauntlets/phg-berserker/03-interface.svg</x:v>
      </x:c>
      <x:c r="G138" s="79" t="str">
        <x:v>Création ORIGINALE</x:v>
      </x:c>
      <x:c r="H138" s="79" t="str">
        <x:v>NON VALIDÉ</x:v>
      </x:c>
      <x:c r="I138" s="79" t="str">
        <x:v>Export PNG par GitHub Actions</x:v>
      </x:c>
      <x:c r="J138" s="79" t="str">
        <x:v>Mesures, peau, glyphes, UV et charnières à revoir</x:v>
      </x:c>
    </x:row>
    <x:row r="139" ht="35" customHeight="1">
      <x:c r="A139" s="79" t="str">
        <x:v>phg-berserker</x:v>
      </x:c>
      <x:c r="B139" s="79" t="str">
        <x:v>Berserker · PHG</x:v>
      </x:c>
      <x:c r="C139" s="79" t="str">
        <x:v>04-lid.svg</x:v>
      </x:c>
      <x:c r="D139" s="79" t="str">
        <x:v>v136</x:v>
      </x:c>
      <x:c r="E139" s="79" t="str">
        <x:v>SVG source individuel</x:v>
      </x:c>
      <x:c r="F139" s="79" t="str">
        <x:v>public/game/assets/v136/gauntlets/phg-berserker/04-lid.svg</x:v>
      </x:c>
      <x:c r="G139" s="79" t="str">
        <x:v>Création ORIGINALE</x:v>
      </x:c>
      <x:c r="H139" s="79" t="str">
        <x:v>NON VALIDÉ</x:v>
      </x:c>
      <x:c r="I139" s="79" t="str">
        <x:v>Export PNG par GitHub Actions</x:v>
      </x:c>
      <x:c r="J139" s="79" t="str">
        <x:v>Mesures, peau, glyphes, UV et charnières à revoir</x:v>
      </x:c>
    </x:row>
    <x:row r="140" ht="35" customHeight="1">
      <x:c r="A140" s="79" t="str">
        <x:v>phg-alpha</x:v>
      </x:c>
      <x:c r="B140" s="79" t="str">
        <x:v>Alpha · PHG</x:v>
      </x:c>
      <x:c r="C140" s="79" t="str">
        <x:v>01-arm.svg</x:v>
      </x:c>
      <x:c r="D140" s="79" t="str">
        <x:v>v136</x:v>
      </x:c>
      <x:c r="E140" s="79" t="str">
        <x:v>SVG source individuel</x:v>
      </x:c>
      <x:c r="F140" s="79" t="str">
        <x:v>public/game/assets/v136/gauntlets/phg-alpha/01-arm.svg</x:v>
      </x:c>
      <x:c r="G140" s="79" t="str">
        <x:v>Création ORIGINALE</x:v>
      </x:c>
      <x:c r="H140" s="79" t="str">
        <x:v>NON VALIDÉ</x:v>
      </x:c>
      <x:c r="I140" s="79" t="str">
        <x:v>Export PNG par GitHub Actions</x:v>
      </x:c>
      <x:c r="J140" s="79" t="str">
        <x:v>Mesures, peau, glyphes, UV et charnières à revoir</x:v>
      </x:c>
    </x:row>
    <x:row r="141" ht="35" customHeight="1">
      <x:c r="A141" s="79" t="str">
        <x:v>phg-alpha</x:v>
      </x:c>
      <x:c r="B141" s="79" t="str">
        <x:v>Alpha · PHG</x:v>
      </x:c>
      <x:c r="C141" s="79" t="str">
        <x:v>02-shell.svg</x:v>
      </x:c>
      <x:c r="D141" s="79" t="str">
        <x:v>v136</x:v>
      </x:c>
      <x:c r="E141" s="79" t="str">
        <x:v>SVG source individuel</x:v>
      </x:c>
      <x:c r="F141" s="79" t="str">
        <x:v>public/game/assets/v136/gauntlets/phg-alpha/02-shell.svg</x:v>
      </x:c>
      <x:c r="G141" s="79" t="str">
        <x:v>Création ORIGINALE</x:v>
      </x:c>
      <x:c r="H141" s="79" t="str">
        <x:v>NON VALIDÉ</x:v>
      </x:c>
      <x:c r="I141" s="79" t="str">
        <x:v>Export PNG par GitHub Actions</x:v>
      </x:c>
      <x:c r="J141" s="79" t="str">
        <x:v>Mesures, peau, glyphes, UV et charnières à revoir</x:v>
      </x:c>
    </x:row>
    <x:row r="142" ht="35" customHeight="1">
      <x:c r="A142" s="79" t="str">
        <x:v>phg-alpha</x:v>
      </x:c>
      <x:c r="B142" s="79" t="str">
        <x:v>Alpha · PHG</x:v>
      </x:c>
      <x:c r="C142" s="79" t="str">
        <x:v>03-interface.svg</x:v>
      </x:c>
      <x:c r="D142" s="79" t="str">
        <x:v>v136</x:v>
      </x:c>
      <x:c r="E142" s="79" t="str">
        <x:v>SVG source individuel</x:v>
      </x:c>
      <x:c r="F142" s="79" t="str">
        <x:v>public/game/assets/v136/gauntlets/phg-alpha/03-interface.svg</x:v>
      </x:c>
      <x:c r="G142" s="79" t="str">
        <x:v>Création ORIGINALE</x:v>
      </x:c>
      <x:c r="H142" s="79" t="str">
        <x:v>NON VALIDÉ</x:v>
      </x:c>
      <x:c r="I142" s="79" t="str">
        <x:v>Export PNG par GitHub Actions</x:v>
      </x:c>
      <x:c r="J142" s="79" t="str">
        <x:v>Mesures, peau, glyphes, UV et charnières à revoir</x:v>
      </x:c>
    </x:row>
    <x:row r="143" ht="35" customHeight="1">
      <x:c r="A143" s="79" t="str">
        <x:v>phg-alpha</x:v>
      </x:c>
      <x:c r="B143" s="79" t="str">
        <x:v>Alpha · PHG</x:v>
      </x:c>
      <x:c r="C143" s="79" t="str">
        <x:v>04-lid.svg</x:v>
      </x:c>
      <x:c r="D143" s="79" t="str">
        <x:v>v136</x:v>
      </x:c>
      <x:c r="E143" s="79" t="str">
        <x:v>SVG source individuel</x:v>
      </x:c>
      <x:c r="F143" s="79" t="str">
        <x:v>public/game/assets/v136/gauntlets/phg-alpha/04-lid.svg</x:v>
      </x:c>
      <x:c r="G143" s="79" t="str">
        <x:v>Création ORIGINALE</x:v>
      </x:c>
      <x:c r="H143" s="79" t="str">
        <x:v>NON VALIDÉ</x:v>
      </x:c>
      <x:c r="I143" s="79" t="str">
        <x:v>Export PNG par GitHub Actions</x:v>
      </x:c>
      <x:c r="J143" s="79" t="str">
        <x:v>Mesures, peau, glyphes, UV et charnières à revoir</x:v>
      </x:c>
    </x:row>
    <x:row r="144" ht="35" customHeight="1">
      <x:c r="A144" s="79" t="str">
        <x:v>phg-samurai</x:v>
      </x:c>
      <x:c r="B144" s="79" t="str">
        <x:v>Samurai · PHG</x:v>
      </x:c>
      <x:c r="C144" s="79" t="str">
        <x:v>01-arm.svg</x:v>
      </x:c>
      <x:c r="D144" s="79" t="str">
        <x:v>v136</x:v>
      </x:c>
      <x:c r="E144" s="79" t="str">
        <x:v>SVG source individuel</x:v>
      </x:c>
      <x:c r="F144" s="79" t="str">
        <x:v>public/game/assets/v136/gauntlets/phg-samurai/01-arm.svg</x:v>
      </x:c>
      <x:c r="G144" s="79" t="str">
        <x:v>Création ORIGINALE</x:v>
      </x:c>
      <x:c r="H144" s="79" t="str">
        <x:v>NON VALIDÉ</x:v>
      </x:c>
      <x:c r="I144" s="79" t="str">
        <x:v>Export PNG par GitHub Actions</x:v>
      </x:c>
      <x:c r="J144" s="79" t="str">
        <x:v>Mesures, peau, glyphes, UV et charnières à revoir</x:v>
      </x:c>
    </x:row>
    <x:row r="145" ht="35" customHeight="1">
      <x:c r="A145" s="79" t="str">
        <x:v>phg-samurai</x:v>
      </x:c>
      <x:c r="B145" s="79" t="str">
        <x:v>Samurai · PHG</x:v>
      </x:c>
      <x:c r="C145" s="79" t="str">
        <x:v>02-shell.svg</x:v>
      </x:c>
      <x:c r="D145" s="79" t="str">
        <x:v>v136</x:v>
      </x:c>
      <x:c r="E145" s="79" t="str">
        <x:v>SVG source individuel</x:v>
      </x:c>
      <x:c r="F145" s="79" t="str">
        <x:v>public/game/assets/v136/gauntlets/phg-samurai/02-shell.svg</x:v>
      </x:c>
      <x:c r="G145" s="79" t="str">
        <x:v>Création ORIGINALE</x:v>
      </x:c>
      <x:c r="H145" s="79" t="str">
        <x:v>NON VALIDÉ</x:v>
      </x:c>
      <x:c r="I145" s="79" t="str">
        <x:v>Export PNG par GitHub Actions</x:v>
      </x:c>
      <x:c r="J145" s="79" t="str">
        <x:v>Mesures, peau, glyphes, UV et charnières à revoir</x:v>
      </x:c>
    </x:row>
    <x:row r="146" ht="35" customHeight="1">
      <x:c r="A146" s="79" t="str">
        <x:v>phg-samurai</x:v>
      </x:c>
      <x:c r="B146" s="79" t="str">
        <x:v>Samurai · PHG</x:v>
      </x:c>
      <x:c r="C146" s="79" t="str">
        <x:v>03-interface.svg</x:v>
      </x:c>
      <x:c r="D146" s="79" t="str">
        <x:v>v136</x:v>
      </x:c>
      <x:c r="E146" s="79" t="str">
        <x:v>SVG source individuel</x:v>
      </x:c>
      <x:c r="F146" s="79" t="str">
        <x:v>public/game/assets/v136/gauntlets/phg-samurai/03-interface.svg</x:v>
      </x:c>
      <x:c r="G146" s="79" t="str">
        <x:v>Création ORIGINALE</x:v>
      </x:c>
      <x:c r="H146" s="79" t="str">
        <x:v>NON VALIDÉ</x:v>
      </x:c>
      <x:c r="I146" s="79" t="str">
        <x:v>Export PNG par GitHub Actions</x:v>
      </x:c>
      <x:c r="J146" s="79" t="str">
        <x:v>Mesures, peau, glyphes, UV et charnières à revoir</x:v>
      </x:c>
    </x:row>
    <x:row r="147" ht="35" customHeight="1">
      <x:c r="A147" s="79" t="str">
        <x:v>phg-samurai</x:v>
      </x:c>
      <x:c r="B147" s="79" t="str">
        <x:v>Samurai · PHG</x:v>
      </x:c>
      <x:c r="C147" s="79" t="str">
        <x:v>04-lid.svg</x:v>
      </x:c>
      <x:c r="D147" s="79" t="str">
        <x:v>v136</x:v>
      </x:c>
      <x:c r="E147" s="79" t="str">
        <x:v>SVG source individuel</x:v>
      </x:c>
      <x:c r="F147" s="79" t="str">
        <x:v>public/game/assets/v136/gauntlets/phg-samurai/04-lid.svg</x:v>
      </x:c>
      <x:c r="G147" s="79" t="str">
        <x:v>Création ORIGINALE</x:v>
      </x:c>
      <x:c r="H147" s="79" t="str">
        <x:v>NON VALIDÉ</x:v>
      </x:c>
      <x:c r="I147" s="79" t="str">
        <x:v>Export PNG par GitHub Actions</x:v>
      </x:c>
      <x:c r="J147" s="79" t="str">
        <x:v>Mesures, peau, glyphes, UV et charnières à revoir</x:v>
      </x:c>
    </x:row>
    <x:row r="148" ht="35" customHeight="1">
      <x:c r="A148" s="79" t="str">
        <x:v>phg-viking</x:v>
      </x:c>
      <x:c r="B148" s="79" t="str">
        <x:v>Viking · PHG</x:v>
      </x:c>
      <x:c r="C148" s="79" t="str">
        <x:v>01-arm.svg</x:v>
      </x:c>
      <x:c r="D148" s="79" t="str">
        <x:v>v136</x:v>
      </x:c>
      <x:c r="E148" s="79" t="str">
        <x:v>SVG source individuel</x:v>
      </x:c>
      <x:c r="F148" s="79" t="str">
        <x:v>public/game/assets/v136/gauntlets/phg-viking/01-arm.svg</x:v>
      </x:c>
      <x:c r="G148" s="79" t="str">
        <x:v>Création ORIGINALE</x:v>
      </x:c>
      <x:c r="H148" s="79" t="str">
        <x:v>NON VALIDÉ</x:v>
      </x:c>
      <x:c r="I148" s="79" t="str">
        <x:v>Export PNG par GitHub Actions</x:v>
      </x:c>
      <x:c r="J148" s="79" t="str">
        <x:v>Mesures, peau, glyphes, UV et charnières à revoir</x:v>
      </x:c>
    </x:row>
    <x:row r="149" ht="35" customHeight="1">
      <x:c r="A149" s="79" t="str">
        <x:v>phg-viking</x:v>
      </x:c>
      <x:c r="B149" s="79" t="str">
        <x:v>Viking · PHG</x:v>
      </x:c>
      <x:c r="C149" s="79" t="str">
        <x:v>02-shell.svg</x:v>
      </x:c>
      <x:c r="D149" s="79" t="str">
        <x:v>v136</x:v>
      </x:c>
      <x:c r="E149" s="79" t="str">
        <x:v>SVG source individuel</x:v>
      </x:c>
      <x:c r="F149" s="79" t="str">
        <x:v>public/game/assets/v136/gauntlets/phg-viking/02-shell.svg</x:v>
      </x:c>
      <x:c r="G149" s="79" t="str">
        <x:v>Création ORIGINALE</x:v>
      </x:c>
      <x:c r="H149" s="79" t="str">
        <x:v>NON VALIDÉ</x:v>
      </x:c>
      <x:c r="I149" s="79" t="str">
        <x:v>Export PNG par GitHub Actions</x:v>
      </x:c>
      <x:c r="J149" s="79" t="str">
        <x:v>Mesures, peau, glyphes, UV et charnières à revoir</x:v>
      </x:c>
    </x:row>
    <x:row r="150" ht="35" customHeight="1">
      <x:c r="A150" s="79" t="str">
        <x:v>phg-viking</x:v>
      </x:c>
      <x:c r="B150" s="79" t="str">
        <x:v>Viking · PHG</x:v>
      </x:c>
      <x:c r="C150" s="79" t="str">
        <x:v>03-interface.svg</x:v>
      </x:c>
      <x:c r="D150" s="79" t="str">
        <x:v>v136</x:v>
      </x:c>
      <x:c r="E150" s="79" t="str">
        <x:v>SVG source individuel</x:v>
      </x:c>
      <x:c r="F150" s="79" t="str">
        <x:v>public/game/assets/v136/gauntlets/phg-viking/03-interface.svg</x:v>
      </x:c>
      <x:c r="G150" s="79" t="str">
        <x:v>Création ORIGINALE</x:v>
      </x:c>
      <x:c r="H150" s="79" t="str">
        <x:v>NON VALIDÉ</x:v>
      </x:c>
      <x:c r="I150" s="79" t="str">
        <x:v>Export PNG par GitHub Actions</x:v>
      </x:c>
      <x:c r="J150" s="79" t="str">
        <x:v>Mesures, peau, glyphes, UV et charnières à revoir</x:v>
      </x:c>
    </x:row>
    <x:row r="151" ht="35" customHeight="1">
      <x:c r="A151" s="79" t="str">
        <x:v>phg-viking</x:v>
      </x:c>
      <x:c r="B151" s="79" t="str">
        <x:v>Viking · PHG</x:v>
      </x:c>
      <x:c r="C151" s="79" t="str">
        <x:v>04-lid.svg</x:v>
      </x:c>
      <x:c r="D151" s="79" t="str">
        <x:v>v136</x:v>
      </x:c>
      <x:c r="E151" s="79" t="str">
        <x:v>SVG source individuel</x:v>
      </x:c>
      <x:c r="F151" s="79" t="str">
        <x:v>public/game/assets/v136/gauntlets/phg-viking/04-lid.svg</x:v>
      </x:c>
      <x:c r="G151" s="79" t="str">
        <x:v>Création ORIGINALE</x:v>
      </x:c>
      <x:c r="H151" s="79" t="str">
        <x:v>NON VALIDÉ</x:v>
      </x:c>
      <x:c r="I151" s="79" t="str">
        <x:v>Export PNG par GitHub Actions</x:v>
      </x:c>
      <x:c r="J151" s="79" t="str">
        <x:v>Mesures, peau, glyphes, UV et charnières à revoir</x:v>
      </x:c>
    </x:row>
    <x:row r="152" ht="35" customHeight="1">
      <x:c r="A152" s="79" t="str">
        <x:v>phg-valkyrie</x:v>
      </x:c>
      <x:c r="B152" s="79" t="str">
        <x:v>Valkyrie · PHG</x:v>
      </x:c>
      <x:c r="C152" s="79" t="str">
        <x:v>01-arm.svg</x:v>
      </x:c>
      <x:c r="D152" s="79" t="str">
        <x:v>v136</x:v>
      </x:c>
      <x:c r="E152" s="79" t="str">
        <x:v>SVG source individuel</x:v>
      </x:c>
      <x:c r="F152" s="79" t="str">
        <x:v>public/game/assets/v136/gauntlets/phg-valkyrie/01-arm.svg</x:v>
      </x:c>
      <x:c r="G152" s="79" t="str">
        <x:v>Création ORIGINALE</x:v>
      </x:c>
      <x:c r="H152" s="79" t="str">
        <x:v>NON VALIDÉ</x:v>
      </x:c>
      <x:c r="I152" s="79" t="str">
        <x:v>Export PNG par GitHub Actions</x:v>
      </x:c>
      <x:c r="J152" s="79" t="str">
        <x:v>Mesures, peau, glyphes, UV et charnières à revoir</x:v>
      </x:c>
    </x:row>
    <x:row r="153" ht="35" customHeight="1">
      <x:c r="A153" s="79" t="str">
        <x:v>phg-valkyrie</x:v>
      </x:c>
      <x:c r="B153" s="79" t="str">
        <x:v>Valkyrie · PHG</x:v>
      </x:c>
      <x:c r="C153" s="79" t="str">
        <x:v>02-shell.svg</x:v>
      </x:c>
      <x:c r="D153" s="79" t="str">
        <x:v>v136</x:v>
      </x:c>
      <x:c r="E153" s="79" t="str">
        <x:v>SVG source individuel</x:v>
      </x:c>
      <x:c r="F153" s="79" t="str">
        <x:v>public/game/assets/v136/gauntlets/phg-valkyrie/02-shell.svg</x:v>
      </x:c>
      <x:c r="G153" s="79" t="str">
        <x:v>Création ORIGINALE</x:v>
      </x:c>
      <x:c r="H153" s="79" t="str">
        <x:v>NON VALIDÉ</x:v>
      </x:c>
      <x:c r="I153" s="79" t="str">
        <x:v>Export PNG par GitHub Actions</x:v>
      </x:c>
      <x:c r="J153" s="79" t="str">
        <x:v>Mesures, peau, glyphes, UV et charnières à revoir</x:v>
      </x:c>
    </x:row>
    <x:row r="154" ht="35" customHeight="1">
      <x:c r="A154" s="79" t="str">
        <x:v>phg-valkyrie</x:v>
      </x:c>
      <x:c r="B154" s="79" t="str">
        <x:v>Valkyrie · PHG</x:v>
      </x:c>
      <x:c r="C154" s="79" t="str">
        <x:v>03-interface.svg</x:v>
      </x:c>
      <x:c r="D154" s="79" t="str">
        <x:v>v136</x:v>
      </x:c>
      <x:c r="E154" s="79" t="str">
        <x:v>SVG source individuel</x:v>
      </x:c>
      <x:c r="F154" s="79" t="str">
        <x:v>public/game/assets/v136/gauntlets/phg-valkyrie/03-interface.svg</x:v>
      </x:c>
      <x:c r="G154" s="79" t="str">
        <x:v>Création ORIGINALE</x:v>
      </x:c>
      <x:c r="H154" s="79" t="str">
        <x:v>NON VALIDÉ</x:v>
      </x:c>
      <x:c r="I154" s="79" t="str">
        <x:v>Export PNG par GitHub Actions</x:v>
      </x:c>
      <x:c r="J154" s="79" t="str">
        <x:v>Mesures, peau, glyphes, UV et charnières à revoir</x:v>
      </x:c>
    </x:row>
    <x:row r="155" ht="35" customHeight="1">
      <x:c r="A155" s="79" t="str">
        <x:v>phg-valkyrie</x:v>
      </x:c>
      <x:c r="B155" s="79" t="str">
        <x:v>Valkyrie · PHG</x:v>
      </x:c>
      <x:c r="C155" s="79" t="str">
        <x:v>04-lid.svg</x:v>
      </x:c>
      <x:c r="D155" s="79" t="str">
        <x:v>v136</x:v>
      </x:c>
      <x:c r="E155" s="79" t="str">
        <x:v>SVG source individuel</x:v>
      </x:c>
      <x:c r="F155" s="79" t="str">
        <x:v>public/game/assets/v136/gauntlets/phg-valkyrie/04-lid.svg</x:v>
      </x:c>
      <x:c r="G155" s="79" t="str">
        <x:v>Création ORIGINALE</x:v>
      </x:c>
      <x:c r="H155" s="79" t="str">
        <x:v>NON VALIDÉ</x:v>
      </x:c>
      <x:c r="I155" s="79" t="str">
        <x:v>Export PNG par GitHub Actions</x:v>
      </x:c>
      <x:c r="J155" s="79" t="str">
        <x:v>Mesures, peau, glyphes, UV et charnières à revoir</x:v>
      </x:c>
    </x:row>
    <x:row r="156" ht="35" customHeight="1">
      <x:c r="A156" s="79" t="str">
        <x:v>phg-cleopatra</x:v>
      </x:c>
      <x:c r="B156" s="79" t="str">
        <x:v>Cleopatra · PHG</x:v>
      </x:c>
      <x:c r="C156" s="79" t="str">
        <x:v>01-arm.svg</x:v>
      </x:c>
      <x:c r="D156" s="79" t="str">
        <x:v>v136</x:v>
      </x:c>
      <x:c r="E156" s="79" t="str">
        <x:v>SVG source individuel</x:v>
      </x:c>
      <x:c r="F156" s="79" t="str">
        <x:v>public/game/assets/v136/gauntlets/phg-cleopatra/01-arm.svg</x:v>
      </x:c>
      <x:c r="G156" s="79" t="str">
        <x:v>Création ORIGINALE</x:v>
      </x:c>
      <x:c r="H156" s="79" t="str">
        <x:v>NON VALIDÉ</x:v>
      </x:c>
      <x:c r="I156" s="79" t="str">
        <x:v>Export PNG par GitHub Actions</x:v>
      </x:c>
      <x:c r="J156" s="79" t="str">
        <x:v>Mesures, peau, glyphes, UV et charnières à revoir</x:v>
      </x:c>
    </x:row>
    <x:row r="157" ht="35" customHeight="1">
      <x:c r="A157" s="79" t="str">
        <x:v>phg-cleopatra</x:v>
      </x:c>
      <x:c r="B157" s="79" t="str">
        <x:v>Cleopatra · PHG</x:v>
      </x:c>
      <x:c r="C157" s="79" t="str">
        <x:v>02-shell.svg</x:v>
      </x:c>
      <x:c r="D157" s="79" t="str">
        <x:v>v136</x:v>
      </x:c>
      <x:c r="E157" s="79" t="str">
        <x:v>SVG source individuel</x:v>
      </x:c>
      <x:c r="F157" s="79" t="str">
        <x:v>public/game/assets/v136/gauntlets/phg-cleopatra/02-shell.svg</x:v>
      </x:c>
      <x:c r="G157" s="79" t="str">
        <x:v>Création ORIGINALE</x:v>
      </x:c>
      <x:c r="H157" s="79" t="str">
        <x:v>NON VALIDÉ</x:v>
      </x:c>
      <x:c r="I157" s="79" t="str">
        <x:v>Export PNG par GitHub Actions</x:v>
      </x:c>
      <x:c r="J157" s="79" t="str">
        <x:v>Mesures, peau, glyphes, UV et charnières à revoir</x:v>
      </x:c>
    </x:row>
    <x:row r="158" ht="35" customHeight="1">
      <x:c r="A158" s="79" t="str">
        <x:v>phg-cleopatra</x:v>
      </x:c>
      <x:c r="B158" s="79" t="str">
        <x:v>Cleopatra · PHG</x:v>
      </x:c>
      <x:c r="C158" s="79" t="str">
        <x:v>03-interface.svg</x:v>
      </x:c>
      <x:c r="D158" s="79" t="str">
        <x:v>v136</x:v>
      </x:c>
      <x:c r="E158" s="79" t="str">
        <x:v>SVG source individuel</x:v>
      </x:c>
      <x:c r="F158" s="79" t="str">
        <x:v>public/game/assets/v136/gauntlets/phg-cleopatra/03-interface.svg</x:v>
      </x:c>
      <x:c r="G158" s="79" t="str">
        <x:v>Création ORIGINALE</x:v>
      </x:c>
      <x:c r="H158" s="79" t="str">
        <x:v>NON VALIDÉ</x:v>
      </x:c>
      <x:c r="I158" s="79" t="str">
        <x:v>Export PNG par GitHub Actions</x:v>
      </x:c>
      <x:c r="J158" s="79" t="str">
        <x:v>Mesures, peau, glyphes, UV et charnières à revoir</x:v>
      </x:c>
    </x:row>
    <x:row r="159" ht="35" customHeight="1">
      <x:c r="A159" s="79" t="str">
        <x:v>phg-cleopatra</x:v>
      </x:c>
      <x:c r="B159" s="79" t="str">
        <x:v>Cleopatra · PHG</x:v>
      </x:c>
      <x:c r="C159" s="79" t="str">
        <x:v>04-lid.svg</x:v>
      </x:c>
      <x:c r="D159" s="79" t="str">
        <x:v>v136</x:v>
      </x:c>
      <x:c r="E159" s="79" t="str">
        <x:v>SVG source individuel</x:v>
      </x:c>
      <x:c r="F159" s="79" t="str">
        <x:v>public/game/assets/v136/gauntlets/phg-cleopatra/04-lid.svg</x:v>
      </x:c>
      <x:c r="G159" s="79" t="str">
        <x:v>Création ORIGINALE</x:v>
      </x:c>
      <x:c r="H159" s="79" t="str">
        <x:v>NON VALIDÉ</x:v>
      </x:c>
      <x:c r="I159" s="79" t="str">
        <x:v>Export PNG par GitHub Actions</x:v>
      </x:c>
      <x:c r="J159" s="79" t="str">
        <x:v>Mesures, peau, glyphes, UV et charnières à revoir</x:v>
      </x:c>
    </x:row>
    <x:row r="160" ht="35" customHeight="1">
      <x:c r="A160" s="79" t="str">
        <x:v>phg-exiled</x:v>
      </x:c>
      <x:c r="B160" s="79" t="str">
        <x:v>Exiled · PHG</x:v>
      </x:c>
      <x:c r="C160" s="79" t="str">
        <x:v>01-arm.svg</x:v>
      </x:c>
      <x:c r="D160" s="79" t="str">
        <x:v>v136</x:v>
      </x:c>
      <x:c r="E160" s="79" t="str">
        <x:v>SVG source individuel</x:v>
      </x:c>
      <x:c r="F160" s="79" t="str">
        <x:v>public/game/assets/v136/gauntlets/phg-exiled/01-arm.svg</x:v>
      </x:c>
      <x:c r="G160" s="79" t="str">
        <x:v>Création ORIGINALE</x:v>
      </x:c>
      <x:c r="H160" s="79" t="str">
        <x:v>NON VALIDÉ</x:v>
      </x:c>
      <x:c r="I160" s="79" t="str">
        <x:v>Export PNG par GitHub Actions</x:v>
      </x:c>
      <x:c r="J160" s="79" t="str">
        <x:v>Mesures, peau, glyphes, UV et charnières à revoir</x:v>
      </x:c>
    </x:row>
    <x:row r="161" ht="35" customHeight="1">
      <x:c r="A161" s="79" t="str">
        <x:v>phg-exiled</x:v>
      </x:c>
      <x:c r="B161" s="79" t="str">
        <x:v>Exiled · PHG</x:v>
      </x:c>
      <x:c r="C161" s="79" t="str">
        <x:v>02-shell.svg</x:v>
      </x:c>
      <x:c r="D161" s="79" t="str">
        <x:v>v136</x:v>
      </x:c>
      <x:c r="E161" s="79" t="str">
        <x:v>SVG source individuel</x:v>
      </x:c>
      <x:c r="F161" s="79" t="str">
        <x:v>public/game/assets/v136/gauntlets/phg-exiled/02-shell.svg</x:v>
      </x:c>
      <x:c r="G161" s="79" t="str">
        <x:v>Création ORIGINALE</x:v>
      </x:c>
      <x:c r="H161" s="79" t="str">
        <x:v>NON VALIDÉ</x:v>
      </x:c>
      <x:c r="I161" s="79" t="str">
        <x:v>Export PNG par GitHub Actions</x:v>
      </x:c>
      <x:c r="J161" s="79" t="str">
        <x:v>Mesures, peau, glyphes, UV et charnières à revoir</x:v>
      </x:c>
    </x:row>
    <x:row r="162" ht="35" customHeight="1">
      <x:c r="A162" s="79" t="str">
        <x:v>phg-exiled</x:v>
      </x:c>
      <x:c r="B162" s="79" t="str">
        <x:v>Exiled · PHG</x:v>
      </x:c>
      <x:c r="C162" s="79" t="str">
        <x:v>03-interface.svg</x:v>
      </x:c>
      <x:c r="D162" s="79" t="str">
        <x:v>v136</x:v>
      </x:c>
      <x:c r="E162" s="79" t="str">
        <x:v>SVG source individuel</x:v>
      </x:c>
      <x:c r="F162" s="79" t="str">
        <x:v>public/game/assets/v136/gauntlets/phg-exiled/03-interface.svg</x:v>
      </x:c>
      <x:c r="G162" s="79" t="str">
        <x:v>Création ORIGINALE</x:v>
      </x:c>
      <x:c r="H162" s="79" t="str">
        <x:v>NON VALIDÉ</x:v>
      </x:c>
      <x:c r="I162" s="79" t="str">
        <x:v>Export PNG par GitHub Actions</x:v>
      </x:c>
      <x:c r="J162" s="79" t="str">
        <x:v>Mesures, peau, glyphes, UV et charnières à revoir</x:v>
      </x:c>
    </x:row>
    <x:row r="163" ht="35" customHeight="1">
      <x:c r="A163" s="79" t="str">
        <x:v>phg-exiled</x:v>
      </x:c>
      <x:c r="B163" s="79" t="str">
        <x:v>Exiled · PHG</x:v>
      </x:c>
      <x:c r="C163" s="79" t="str">
        <x:v>04-lid.svg</x:v>
      </x:c>
      <x:c r="D163" s="79" t="str">
        <x:v>v136</x:v>
      </x:c>
      <x:c r="E163" s="79" t="str">
        <x:v>SVG source individuel</x:v>
      </x:c>
      <x:c r="F163" s="79" t="str">
        <x:v>public/game/assets/v136/gauntlets/phg-exiled/04-lid.svg</x:v>
      </x:c>
      <x:c r="G163" s="79" t="str">
        <x:v>Création ORIGINALE</x:v>
      </x:c>
      <x:c r="H163" s="79" t="str">
        <x:v>NON VALIDÉ</x:v>
      </x:c>
      <x:c r="I163" s="79" t="str">
        <x:v>Export PNG par GitHub Actions</x:v>
      </x:c>
      <x:c r="J163" s="79" t="str">
        <x:v>Mesures, peau, glyphes, UV et charnières à revoir</x:v>
      </x:c>
    </x:row>
    <x:row r="164" ht="35" customHeight="1">
      <x:c r="A164" s="79" t="str">
        <x:v>phg-pirate</x:v>
      </x:c>
      <x:c r="B164" s="79" t="str">
        <x:v>Pirate · PHG</x:v>
      </x:c>
      <x:c r="C164" s="79" t="str">
        <x:v>01-arm.svg</x:v>
      </x:c>
      <x:c r="D164" s="79" t="str">
        <x:v>v136</x:v>
      </x:c>
      <x:c r="E164" s="79" t="str">
        <x:v>SVG source individuel</x:v>
      </x:c>
      <x:c r="F164" s="79" t="str">
        <x:v>public/game/assets/v136/gauntlets/phg-pirate/01-arm.svg</x:v>
      </x:c>
      <x:c r="G164" s="79" t="str">
        <x:v>Création ORIGINALE</x:v>
      </x:c>
      <x:c r="H164" s="79" t="str">
        <x:v>NON VALIDÉ</x:v>
      </x:c>
      <x:c r="I164" s="79" t="str">
        <x:v>Export PNG par GitHub Actions</x:v>
      </x:c>
      <x:c r="J164" s="79" t="str">
        <x:v>Mesures, peau, glyphes, UV et charnières à revoir</x:v>
      </x:c>
    </x:row>
    <x:row r="165" ht="35" customHeight="1">
      <x:c r="A165" s="79" t="str">
        <x:v>phg-pirate</x:v>
      </x:c>
      <x:c r="B165" s="79" t="str">
        <x:v>Pirate · PHG</x:v>
      </x:c>
      <x:c r="C165" s="79" t="str">
        <x:v>02-shell.svg</x:v>
      </x:c>
      <x:c r="D165" s="79" t="str">
        <x:v>v136</x:v>
      </x:c>
      <x:c r="E165" s="79" t="str">
        <x:v>SVG source individuel</x:v>
      </x:c>
      <x:c r="F165" s="79" t="str">
        <x:v>public/game/assets/v136/gauntlets/phg-pirate/02-shell.svg</x:v>
      </x:c>
      <x:c r="G165" s="79" t="str">
        <x:v>Création ORIGINALE</x:v>
      </x:c>
      <x:c r="H165" s="79" t="str">
        <x:v>NON VALIDÉ</x:v>
      </x:c>
      <x:c r="I165" s="79" t="str">
        <x:v>Export PNG par GitHub Actions</x:v>
      </x:c>
      <x:c r="J165" s="79" t="str">
        <x:v>Mesures, peau, glyphes, UV et charnières à revoir</x:v>
      </x:c>
    </x:row>
    <x:row r="166" ht="35" customHeight="1">
      <x:c r="A166" s="79" t="str">
        <x:v>phg-pirate</x:v>
      </x:c>
      <x:c r="B166" s="79" t="str">
        <x:v>Pirate · PHG</x:v>
      </x:c>
      <x:c r="C166" s="79" t="str">
        <x:v>03-interface.svg</x:v>
      </x:c>
      <x:c r="D166" s="79" t="str">
        <x:v>v136</x:v>
      </x:c>
      <x:c r="E166" s="79" t="str">
        <x:v>SVG source individuel</x:v>
      </x:c>
      <x:c r="F166" s="79" t="str">
        <x:v>public/game/assets/v136/gauntlets/phg-pirate/03-interface.svg</x:v>
      </x:c>
      <x:c r="G166" s="79" t="str">
        <x:v>Création ORIGINALE</x:v>
      </x:c>
      <x:c r="H166" s="79" t="str">
        <x:v>NON VALIDÉ</x:v>
      </x:c>
      <x:c r="I166" s="79" t="str">
        <x:v>Export PNG par GitHub Actions</x:v>
      </x:c>
      <x:c r="J166" s="79" t="str">
        <x:v>Mesures, peau, glyphes, UV et charnières à revoir</x:v>
      </x:c>
    </x:row>
    <x:row r="167" ht="35" customHeight="1">
      <x:c r="A167" s="79" t="str">
        <x:v>phg-pirate</x:v>
      </x:c>
      <x:c r="B167" s="79" t="str">
        <x:v>Pirate · PHG</x:v>
      </x:c>
      <x:c r="C167" s="79" t="str">
        <x:v>04-lid.svg</x:v>
      </x:c>
      <x:c r="D167" s="79" t="str">
        <x:v>v136</x:v>
      </x:c>
      <x:c r="E167" s="79" t="str">
        <x:v>SVG source individuel</x:v>
      </x:c>
      <x:c r="F167" s="79" t="str">
        <x:v>public/game/assets/v136/gauntlets/phg-pirate/04-lid.svg</x:v>
      </x:c>
      <x:c r="G167" s="79" t="str">
        <x:v>Création ORIGINALE</x:v>
      </x:c>
      <x:c r="H167" s="79" t="str">
        <x:v>NON VALIDÉ</x:v>
      </x:c>
      <x:c r="I167" s="79" t="str">
        <x:v>Export PNG par GitHub Actions</x:v>
      </x:c>
      <x:c r="J167" s="79" t="str">
        <x:v>Mesures, peau, glyphes, UV et charnières à revoir</x:v>
      </x:c>
    </x:row>
    <x:row r="168" ht="35" customHeight="1">
      <x:c r="A168" s="79" t="str">
        <x:v>phg-bionic</x:v>
      </x:c>
      <x:c r="B168" s="79" t="str">
        <x:v>Bionic · PHG</x:v>
      </x:c>
      <x:c r="C168" s="79" t="str">
        <x:v>01-arm.svg</x:v>
      </x:c>
      <x:c r="D168" s="79" t="str">
        <x:v>v136</x:v>
      </x:c>
      <x:c r="E168" s="79" t="str">
        <x:v>SVG source individuel</x:v>
      </x:c>
      <x:c r="F168" s="79" t="str">
        <x:v>public/game/assets/v136/gauntlets/phg-bionic/01-arm.svg</x:v>
      </x:c>
      <x:c r="G168" s="79" t="str">
        <x:v>Création ORIGINALE</x:v>
      </x:c>
      <x:c r="H168" s="79" t="str">
        <x:v>NON VALIDÉ</x:v>
      </x:c>
      <x:c r="I168" s="79" t="str">
        <x:v>Export PNG par GitHub Actions</x:v>
      </x:c>
      <x:c r="J168" s="79" t="str">
        <x:v>Mesures, peau, glyphes, UV et charnières à revoir</x:v>
      </x:c>
    </x:row>
    <x:row r="169" ht="35" customHeight="1">
      <x:c r="A169" s="79" t="str">
        <x:v>phg-bionic</x:v>
      </x:c>
      <x:c r="B169" s="79" t="str">
        <x:v>Bionic · PHG</x:v>
      </x:c>
      <x:c r="C169" s="79" t="str">
        <x:v>02-shell.svg</x:v>
      </x:c>
      <x:c r="D169" s="79" t="str">
        <x:v>v136</x:v>
      </x:c>
      <x:c r="E169" s="79" t="str">
        <x:v>SVG source individuel</x:v>
      </x:c>
      <x:c r="F169" s="79" t="str">
        <x:v>public/game/assets/v136/gauntlets/phg-bionic/02-shell.svg</x:v>
      </x:c>
      <x:c r="G169" s="79" t="str">
        <x:v>Création ORIGINALE</x:v>
      </x:c>
      <x:c r="H169" s="79" t="str">
        <x:v>NON VALIDÉ</x:v>
      </x:c>
      <x:c r="I169" s="79" t="str">
        <x:v>Export PNG par GitHub Actions</x:v>
      </x:c>
      <x:c r="J169" s="79" t="str">
        <x:v>Mesures, peau, glyphes, UV et charnières à revoir</x:v>
      </x:c>
    </x:row>
    <x:row r="170" ht="35" customHeight="1">
      <x:c r="A170" s="79" t="str">
        <x:v>phg-bionic</x:v>
      </x:c>
      <x:c r="B170" s="79" t="str">
        <x:v>Bionic · PHG</x:v>
      </x:c>
      <x:c r="C170" s="79" t="str">
        <x:v>03-interface.svg</x:v>
      </x:c>
      <x:c r="D170" s="79" t="str">
        <x:v>v136</x:v>
      </x:c>
      <x:c r="E170" s="79" t="str">
        <x:v>SVG source individuel</x:v>
      </x:c>
      <x:c r="F170" s="79" t="str">
        <x:v>public/game/assets/v136/gauntlets/phg-bionic/03-interface.svg</x:v>
      </x:c>
      <x:c r="G170" s="79" t="str">
        <x:v>Création ORIGINALE</x:v>
      </x:c>
      <x:c r="H170" s="79" t="str">
        <x:v>NON VALIDÉ</x:v>
      </x:c>
      <x:c r="I170" s="79" t="str">
        <x:v>Export PNG par GitHub Actions</x:v>
      </x:c>
      <x:c r="J170" s="79" t="str">
        <x:v>Mesures, peau, glyphes, UV et charnières à revoir</x:v>
      </x:c>
    </x:row>
    <x:row r="171" ht="35" customHeight="1">
      <x:c r="A171" s="79" t="str">
        <x:v>phg-bionic</x:v>
      </x:c>
      <x:c r="B171" s="79" t="str">
        <x:v>Bionic · PHG</x:v>
      </x:c>
      <x:c r="C171" s="79" t="str">
        <x:v>04-lid.svg</x:v>
      </x:c>
      <x:c r="D171" s="79" t="str">
        <x:v>v136</x:v>
      </x:c>
      <x:c r="E171" s="79" t="str">
        <x:v>SVG source individuel</x:v>
      </x:c>
      <x:c r="F171" s="79" t="str">
        <x:v>public/game/assets/v136/gauntlets/phg-bionic/04-lid.svg</x:v>
      </x:c>
      <x:c r="G171" s="79" t="str">
        <x:v>Création ORIGINALE</x:v>
      </x:c>
      <x:c r="H171" s="79" t="str">
        <x:v>NON VALIDÉ</x:v>
      </x:c>
      <x:c r="I171" s="79" t="str">
        <x:v>Export PNG par GitHub Actions</x:v>
      </x:c>
      <x:c r="J171" s="79" t="str">
        <x:v>Mesures, peau, glyphes, UV et charnières à revoir</x:v>
      </x:c>
    </x:row>
    <x:row r="172" ht="35" customHeight="1">
      <x:c r="A172" s="79" t="str">
        <x:v>phg-emissary</x:v>
      </x:c>
      <x:c r="B172" s="79" t="str">
        <x:v>Emissary · PHG</x:v>
      </x:c>
      <x:c r="C172" s="79" t="str">
        <x:v>01-arm.svg</x:v>
      </x:c>
      <x:c r="D172" s="79" t="str">
        <x:v>v136</x:v>
      </x:c>
      <x:c r="E172" s="79" t="str">
        <x:v>SVG source individuel</x:v>
      </x:c>
      <x:c r="F172" s="79" t="str">
        <x:v>public/game/assets/v136/gauntlets/phg-emissary/01-arm.svg</x:v>
      </x:c>
      <x:c r="G172" s="79" t="str">
        <x:v>Création ORIGINALE</x:v>
      </x:c>
      <x:c r="H172" s="79" t="str">
        <x:v>NON VALIDÉ</x:v>
      </x:c>
      <x:c r="I172" s="79" t="str">
        <x:v>Export PNG par GitHub Actions</x:v>
      </x:c>
      <x:c r="J172" s="79" t="str">
        <x:v>Mesures, peau, glyphes, UV et charnières à revoir</x:v>
      </x:c>
    </x:row>
    <x:row r="173" ht="35" customHeight="1">
      <x:c r="A173" s="79" t="str">
        <x:v>phg-emissary</x:v>
      </x:c>
      <x:c r="B173" s="79" t="str">
        <x:v>Emissary · PHG</x:v>
      </x:c>
      <x:c r="C173" s="79" t="str">
        <x:v>02-shell.svg</x:v>
      </x:c>
      <x:c r="D173" s="79" t="str">
        <x:v>v136</x:v>
      </x:c>
      <x:c r="E173" s="79" t="str">
        <x:v>SVG source individuel</x:v>
      </x:c>
      <x:c r="F173" s="79" t="str">
        <x:v>public/game/assets/v136/gauntlets/phg-emissary/02-shell.svg</x:v>
      </x:c>
      <x:c r="G173" s="79" t="str">
        <x:v>Création ORIGINALE</x:v>
      </x:c>
      <x:c r="H173" s="79" t="str">
        <x:v>NON VALIDÉ</x:v>
      </x:c>
      <x:c r="I173" s="79" t="str">
        <x:v>Export PNG par GitHub Actions</x:v>
      </x:c>
      <x:c r="J173" s="79" t="str">
        <x:v>Mesures, peau, glyphes, UV et charnières à revoir</x:v>
      </x:c>
    </x:row>
    <x:row r="174" ht="35" customHeight="1">
      <x:c r="A174" s="79" t="str">
        <x:v>phg-emissary</x:v>
      </x:c>
      <x:c r="B174" s="79" t="str">
        <x:v>Emissary · PHG</x:v>
      </x:c>
      <x:c r="C174" s="79" t="str">
        <x:v>03-interface.svg</x:v>
      </x:c>
      <x:c r="D174" s="79" t="str">
        <x:v>v136</x:v>
      </x:c>
      <x:c r="E174" s="79" t="str">
        <x:v>SVG source individuel</x:v>
      </x:c>
      <x:c r="F174" s="79" t="str">
        <x:v>public/game/assets/v136/gauntlets/phg-emissary/03-interface.svg</x:v>
      </x:c>
      <x:c r="G174" s="79" t="str">
        <x:v>Création ORIGINALE</x:v>
      </x:c>
      <x:c r="H174" s="79" t="str">
        <x:v>NON VALIDÉ</x:v>
      </x:c>
      <x:c r="I174" s="79" t="str">
        <x:v>Export PNG par GitHub Actions</x:v>
      </x:c>
      <x:c r="J174" s="79" t="str">
        <x:v>Mesures, peau, glyphes, UV et charnières à revoir</x:v>
      </x:c>
    </x:row>
    <x:row r="175" ht="35" customHeight="1">
      <x:c r="A175" s="79" t="str">
        <x:v>phg-emissary</x:v>
      </x:c>
      <x:c r="B175" s="79" t="str">
        <x:v>Emissary · PHG</x:v>
      </x:c>
      <x:c r="C175" s="79" t="str">
        <x:v>04-lid.svg</x:v>
      </x:c>
      <x:c r="D175" s="79" t="str">
        <x:v>v136</x:v>
      </x:c>
      <x:c r="E175" s="79" t="str">
        <x:v>SVG source individuel</x:v>
      </x:c>
      <x:c r="F175" s="79" t="str">
        <x:v>public/game/assets/v136/gauntlets/phg-emissary/04-lid.svg</x:v>
      </x:c>
      <x:c r="G175" s="79" t="str">
        <x:v>Création ORIGINALE</x:v>
      </x:c>
      <x:c r="H175" s="79" t="str">
        <x:v>NON VALIDÉ</x:v>
      </x:c>
      <x:c r="I175" s="79" t="str">
        <x:v>Export PNG par GitHub Actions</x:v>
      </x:c>
      <x:c r="J175" s="79" t="str">
        <x:v>Mesures, peau, glyphes, UV et charnières à revoir</x:v>
      </x:c>
    </x:row>
    <x:row r="176" ht="35" customHeight="1">
      <x:c r="A176" s="79" t="str">
        <x:v>phg-oni</x:v>
      </x:c>
      <x:c r="B176" s="79" t="str">
        <x:v>Oni · PHG</x:v>
      </x:c>
      <x:c r="C176" s="79" t="str">
        <x:v>01-arm.svg</x:v>
      </x:c>
      <x:c r="D176" s="79" t="str">
        <x:v>v136</x:v>
      </x:c>
      <x:c r="E176" s="79" t="str">
        <x:v>SVG source individuel</x:v>
      </x:c>
      <x:c r="F176" s="79" t="str">
        <x:v>public/game/assets/v136/gauntlets/phg-oni/01-arm.svg</x:v>
      </x:c>
      <x:c r="G176" s="79" t="str">
        <x:v>Création ORIGINALE</x:v>
      </x:c>
      <x:c r="H176" s="79" t="str">
        <x:v>NON VALIDÉ</x:v>
      </x:c>
      <x:c r="I176" s="79" t="str">
        <x:v>Export PNG par GitHub Actions</x:v>
      </x:c>
      <x:c r="J176" s="79" t="str">
        <x:v>Mesures, peau, glyphes, UV et charnières à revoir</x:v>
      </x:c>
    </x:row>
    <x:row r="177" ht="35" customHeight="1">
      <x:c r="A177" s="79" t="str">
        <x:v>phg-oni</x:v>
      </x:c>
      <x:c r="B177" s="79" t="str">
        <x:v>Oni · PHG</x:v>
      </x:c>
      <x:c r="C177" s="79" t="str">
        <x:v>02-shell.svg</x:v>
      </x:c>
      <x:c r="D177" s="79" t="str">
        <x:v>v136</x:v>
      </x:c>
      <x:c r="E177" s="79" t="str">
        <x:v>SVG source individuel</x:v>
      </x:c>
      <x:c r="F177" s="79" t="str">
        <x:v>public/game/assets/v136/gauntlets/phg-oni/02-shell.svg</x:v>
      </x:c>
      <x:c r="G177" s="79" t="str">
        <x:v>Création ORIGINALE</x:v>
      </x:c>
      <x:c r="H177" s="79" t="str">
        <x:v>NON VALIDÉ</x:v>
      </x:c>
      <x:c r="I177" s="79" t="str">
        <x:v>Export PNG par GitHub Actions</x:v>
      </x:c>
      <x:c r="J177" s="79" t="str">
        <x:v>Mesures, peau, glyphes, UV et charnières à revoir</x:v>
      </x:c>
    </x:row>
    <x:row r="178" ht="35" customHeight="1">
      <x:c r="A178" s="79" t="str">
        <x:v>phg-oni</x:v>
      </x:c>
      <x:c r="B178" s="79" t="str">
        <x:v>Oni · PHG</x:v>
      </x:c>
      <x:c r="C178" s="79" t="str">
        <x:v>03-interface.svg</x:v>
      </x:c>
      <x:c r="D178" s="79" t="str">
        <x:v>v136</x:v>
      </x:c>
      <x:c r="E178" s="79" t="str">
        <x:v>SVG source individuel</x:v>
      </x:c>
      <x:c r="F178" s="79" t="str">
        <x:v>public/game/assets/v136/gauntlets/phg-oni/03-interface.svg</x:v>
      </x:c>
      <x:c r="G178" s="79" t="str">
        <x:v>Création ORIGINALE</x:v>
      </x:c>
      <x:c r="H178" s="79" t="str">
        <x:v>NON VALIDÉ</x:v>
      </x:c>
      <x:c r="I178" s="79" t="str">
        <x:v>Export PNG par GitHub Actions</x:v>
      </x:c>
      <x:c r="J178" s="79" t="str">
        <x:v>Mesures, peau, glyphes, UV et charnières à revoir</x:v>
      </x:c>
    </x:row>
    <x:row r="179" ht="35" customHeight="1">
      <x:c r="A179" s="79" t="str">
        <x:v>phg-oni</x:v>
      </x:c>
      <x:c r="B179" s="79" t="str">
        <x:v>Oni · PHG</x:v>
      </x:c>
      <x:c r="C179" s="79" t="str">
        <x:v>04-lid.svg</x:v>
      </x:c>
      <x:c r="D179" s="79" t="str">
        <x:v>v136</x:v>
      </x:c>
      <x:c r="E179" s="79" t="str">
        <x:v>SVG source individuel</x:v>
      </x:c>
      <x:c r="F179" s="79" t="str">
        <x:v>public/game/assets/v136/gauntlets/phg-oni/04-lid.svg</x:v>
      </x:c>
      <x:c r="G179" s="79" t="str">
        <x:v>Création ORIGINALE</x:v>
      </x:c>
      <x:c r="H179" s="79" t="str">
        <x:v>NON VALIDÉ</x:v>
      </x:c>
      <x:c r="I179" s="79" t="str">
        <x:v>Export PNG par GitHub Actions</x:v>
      </x:c>
      <x:c r="J179" s="79" t="str">
        <x:v>Mesures, peau, glyphes, UV et charnières à revoir</x:v>
      </x:c>
    </x:row>
    <x:row r="180" ht="35" customHeight="1">
      <x:c r="A180" s="79" t="str">
        <x:v>phg-witch</x:v>
      </x:c>
      <x:c r="B180" s="79" t="str">
        <x:v>Witch · PHG</x:v>
      </x:c>
      <x:c r="C180" s="79" t="str">
        <x:v>01-arm.svg</x:v>
      </x:c>
      <x:c r="D180" s="79" t="str">
        <x:v>v136</x:v>
      </x:c>
      <x:c r="E180" s="79" t="str">
        <x:v>SVG source individuel</x:v>
      </x:c>
      <x:c r="F180" s="79" t="str">
        <x:v>public/game/assets/v136/gauntlets/phg-witch/01-arm.svg</x:v>
      </x:c>
      <x:c r="G180" s="79" t="str">
        <x:v>Création ORIGINALE</x:v>
      </x:c>
      <x:c r="H180" s="79" t="str">
        <x:v>NON VALIDÉ</x:v>
      </x:c>
      <x:c r="I180" s="79" t="str">
        <x:v>Export PNG par GitHub Actions</x:v>
      </x:c>
      <x:c r="J180" s="79" t="str">
        <x:v>Mesures, peau, glyphes, UV et charnières à revoir</x:v>
      </x:c>
    </x:row>
    <x:row r="181" ht="35" customHeight="1">
      <x:c r="A181" s="79" t="str">
        <x:v>phg-witch</x:v>
      </x:c>
      <x:c r="B181" s="79" t="str">
        <x:v>Witch · PHG</x:v>
      </x:c>
      <x:c r="C181" s="79" t="str">
        <x:v>02-shell.svg</x:v>
      </x:c>
      <x:c r="D181" s="79" t="str">
        <x:v>v136</x:v>
      </x:c>
      <x:c r="E181" s="79" t="str">
        <x:v>SVG source individuel</x:v>
      </x:c>
      <x:c r="F181" s="79" t="str">
        <x:v>public/game/assets/v136/gauntlets/phg-witch/02-shell.svg</x:v>
      </x:c>
      <x:c r="G181" s="79" t="str">
        <x:v>Création ORIGINALE</x:v>
      </x:c>
      <x:c r="H181" s="79" t="str">
        <x:v>NON VALIDÉ</x:v>
      </x:c>
      <x:c r="I181" s="79" t="str">
        <x:v>Export PNG par GitHub Actions</x:v>
      </x:c>
      <x:c r="J181" s="79" t="str">
        <x:v>Mesures, peau, glyphes, UV et charnières à revoir</x:v>
      </x:c>
    </x:row>
    <x:row r="182" ht="35" customHeight="1">
      <x:c r="A182" s="79" t="str">
        <x:v>phg-witch</x:v>
      </x:c>
      <x:c r="B182" s="79" t="str">
        <x:v>Witch · PHG</x:v>
      </x:c>
      <x:c r="C182" s="79" t="str">
        <x:v>03-interface.svg</x:v>
      </x:c>
      <x:c r="D182" s="79" t="str">
        <x:v>v136</x:v>
      </x:c>
      <x:c r="E182" s="79" t="str">
        <x:v>SVG source individuel</x:v>
      </x:c>
      <x:c r="F182" s="79" t="str">
        <x:v>public/game/assets/v136/gauntlets/phg-witch/03-interface.svg</x:v>
      </x:c>
      <x:c r="G182" s="79" t="str">
        <x:v>Création ORIGINALE</x:v>
      </x:c>
      <x:c r="H182" s="79" t="str">
        <x:v>NON VALIDÉ</x:v>
      </x:c>
      <x:c r="I182" s="79" t="str">
        <x:v>Export PNG par GitHub Actions</x:v>
      </x:c>
      <x:c r="J182" s="79" t="str">
        <x:v>Mesures, peau, glyphes, UV et charnières à revoir</x:v>
      </x:c>
    </x:row>
    <x:row r="183" ht="35" customHeight="1">
      <x:c r="A183" s="79" t="str">
        <x:v>phg-witch</x:v>
      </x:c>
      <x:c r="B183" s="79" t="str">
        <x:v>Witch · PHG</x:v>
      </x:c>
      <x:c r="C183" s="79" t="str">
        <x:v>04-lid.svg</x:v>
      </x:c>
      <x:c r="D183" s="79" t="str">
        <x:v>v136</x:v>
      </x:c>
      <x:c r="E183" s="79" t="str">
        <x:v>SVG source individuel</x:v>
      </x:c>
      <x:c r="F183" s="79" t="str">
        <x:v>public/game/assets/v136/gauntlets/phg-witch/04-lid.svg</x:v>
      </x:c>
      <x:c r="G183" s="79" t="str">
        <x:v>Création ORIGINALE</x:v>
      </x:c>
      <x:c r="H183" s="79" t="str">
        <x:v>NON VALIDÉ</x:v>
      </x:c>
      <x:c r="I183" s="79" t="str">
        <x:v>Export PNG par GitHub Actions</x:v>
      </x:c>
      <x:c r="J183" s="79" t="str">
        <x:v>Mesures, peau, glyphes, UV et charnières à revoir</x:v>
      </x:c>
    </x:row>
    <x:row r="184" ht="35" customHeight="1">
      <x:c r="A184" s="79" t="str">
        <x:v>phg-father</x:v>
      </x:c>
      <x:c r="B184" s="79" t="str">
        <x:v>Father · PHG</x:v>
      </x:c>
      <x:c r="C184" s="79" t="str">
        <x:v>01-arm.svg</x:v>
      </x:c>
      <x:c r="D184" s="79" t="str">
        <x:v>v136</x:v>
      </x:c>
      <x:c r="E184" s="79" t="str">
        <x:v>SVG source individuel</x:v>
      </x:c>
      <x:c r="F184" s="79" t="str">
        <x:v>public/game/assets/v136/gauntlets/phg-father/01-arm.svg</x:v>
      </x:c>
      <x:c r="G184" s="79" t="str">
        <x:v>Création ORIGINALE</x:v>
      </x:c>
      <x:c r="H184" s="79" t="str">
        <x:v>NON VALIDÉ</x:v>
      </x:c>
      <x:c r="I184" s="79" t="str">
        <x:v>Export PNG par GitHub Actions</x:v>
      </x:c>
      <x:c r="J184" s="79" t="str">
        <x:v>Mesures, peau, glyphes, UV et charnières à revoir</x:v>
      </x:c>
    </x:row>
    <x:row r="185" ht="35" customHeight="1">
      <x:c r="A185" s="79" t="str">
        <x:v>phg-father</x:v>
      </x:c>
      <x:c r="B185" s="79" t="str">
        <x:v>Father · PHG</x:v>
      </x:c>
      <x:c r="C185" s="79" t="str">
        <x:v>02-shell.svg</x:v>
      </x:c>
      <x:c r="D185" s="79" t="str">
        <x:v>v136</x:v>
      </x:c>
      <x:c r="E185" s="79" t="str">
        <x:v>SVG source individuel</x:v>
      </x:c>
      <x:c r="F185" s="79" t="str">
        <x:v>public/game/assets/v136/gauntlets/phg-father/02-shell.svg</x:v>
      </x:c>
      <x:c r="G185" s="79" t="str">
        <x:v>Création ORIGINALE</x:v>
      </x:c>
      <x:c r="H185" s="79" t="str">
        <x:v>NON VALIDÉ</x:v>
      </x:c>
      <x:c r="I185" s="79" t="str">
        <x:v>Export PNG par GitHub Actions</x:v>
      </x:c>
      <x:c r="J185" s="79" t="str">
        <x:v>Mesures, peau, glyphes, UV et charnières à revoir</x:v>
      </x:c>
    </x:row>
    <x:row r="186" ht="35" customHeight="1">
      <x:c r="A186" s="79" t="str">
        <x:v>phg-father</x:v>
      </x:c>
      <x:c r="B186" s="79" t="str">
        <x:v>Father · PHG</x:v>
      </x:c>
      <x:c r="C186" s="79" t="str">
        <x:v>03-interface.svg</x:v>
      </x:c>
      <x:c r="D186" s="79" t="str">
        <x:v>v136</x:v>
      </x:c>
      <x:c r="E186" s="79" t="str">
        <x:v>SVG source individuel</x:v>
      </x:c>
      <x:c r="F186" s="79" t="str">
        <x:v>public/game/assets/v136/gauntlets/phg-father/03-interface.svg</x:v>
      </x:c>
      <x:c r="G186" s="79" t="str">
        <x:v>Création ORIGINALE</x:v>
      </x:c>
      <x:c r="H186" s="79" t="str">
        <x:v>NON VALIDÉ</x:v>
      </x:c>
      <x:c r="I186" s="79" t="str">
        <x:v>Export PNG par GitHub Actions</x:v>
      </x:c>
      <x:c r="J186" s="79" t="str">
        <x:v>Mesures, peau, glyphes, UV et charnières à revoir</x:v>
      </x:c>
    </x:row>
    <x:row r="187" ht="35" customHeight="1">
      <x:c r="A187" s="79" t="str">
        <x:v>phg-father</x:v>
      </x:c>
      <x:c r="B187" s="79" t="str">
        <x:v>Father · PHG</x:v>
      </x:c>
      <x:c r="C187" s="79" t="str">
        <x:v>04-lid.svg</x:v>
      </x:c>
      <x:c r="D187" s="79" t="str">
        <x:v>v136</x:v>
      </x:c>
      <x:c r="E187" s="79" t="str">
        <x:v>SVG source individuel</x:v>
      </x:c>
      <x:c r="F187" s="79" t="str">
        <x:v>public/game/assets/v136/gauntlets/phg-father/04-lid.svg</x:v>
      </x:c>
      <x:c r="G187" s="79" t="str">
        <x:v>Création ORIGINALE</x:v>
      </x:c>
      <x:c r="H187" s="79" t="str">
        <x:v>NON VALIDÉ</x:v>
      </x:c>
      <x:c r="I187" s="79" t="str">
        <x:v>Export PNG par GitHub Actions</x:v>
      </x:c>
      <x:c r="J187" s="79" t="str">
        <x:v>Mesures, peau, glyphes, UV et charnières à revoir</x:v>
      </x:c>
    </x:row>
    <x:row r="188" ht="35" customHeight="1">
      <x:c r="A188" s="79" t="str">
        <x:v>phg-jotun</x:v>
      </x:c>
      <x:c r="B188" s="79" t="str">
        <x:v>Jotun · PHG</x:v>
      </x:c>
      <x:c r="C188" s="79" t="str">
        <x:v>01-arm.svg</x:v>
      </x:c>
      <x:c r="D188" s="79" t="str">
        <x:v>v136</x:v>
      </x:c>
      <x:c r="E188" s="79" t="str">
        <x:v>SVG source individuel</x:v>
      </x:c>
      <x:c r="F188" s="79" t="str">
        <x:v>public/game/assets/v136/gauntlets/phg-jotun/01-arm.svg</x:v>
      </x:c>
      <x:c r="G188" s="79" t="str">
        <x:v>Création ORIGINALE</x:v>
      </x:c>
      <x:c r="H188" s="79" t="str">
        <x:v>NON VALIDÉ</x:v>
      </x:c>
      <x:c r="I188" s="79" t="str">
        <x:v>Export PNG par GitHub Actions</x:v>
      </x:c>
      <x:c r="J188" s="79" t="str">
        <x:v>Mesures, peau, glyphes, UV et charnières à revoir</x:v>
      </x:c>
    </x:row>
    <x:row r="189" ht="35" customHeight="1">
      <x:c r="A189" s="79" t="str">
        <x:v>phg-jotun</x:v>
      </x:c>
      <x:c r="B189" s="79" t="str">
        <x:v>Jotun · PHG</x:v>
      </x:c>
      <x:c r="C189" s="79" t="str">
        <x:v>02-shell.svg</x:v>
      </x:c>
      <x:c r="D189" s="79" t="str">
        <x:v>v136</x:v>
      </x:c>
      <x:c r="E189" s="79" t="str">
        <x:v>SVG source individuel</x:v>
      </x:c>
      <x:c r="F189" s="79" t="str">
        <x:v>public/game/assets/v136/gauntlets/phg-jotun/02-shell.svg</x:v>
      </x:c>
      <x:c r="G189" s="79" t="str">
        <x:v>Création ORIGINALE</x:v>
      </x:c>
      <x:c r="H189" s="79" t="str">
        <x:v>NON VALIDÉ</x:v>
      </x:c>
      <x:c r="I189" s="79" t="str">
        <x:v>Export PNG par GitHub Actions</x:v>
      </x:c>
      <x:c r="J189" s="79" t="str">
        <x:v>Mesures, peau, glyphes, UV et charnières à revoir</x:v>
      </x:c>
    </x:row>
    <x:row r="190" ht="35" customHeight="1">
      <x:c r="A190" s="79" t="str">
        <x:v>phg-jotun</x:v>
      </x:c>
      <x:c r="B190" s="79" t="str">
        <x:v>Jotun · PHG</x:v>
      </x:c>
      <x:c r="C190" s="79" t="str">
        <x:v>03-interface.svg</x:v>
      </x:c>
      <x:c r="D190" s="79" t="str">
        <x:v>v136</x:v>
      </x:c>
      <x:c r="E190" s="79" t="str">
        <x:v>SVG source individuel</x:v>
      </x:c>
      <x:c r="F190" s="79" t="str">
        <x:v>public/game/assets/v136/gauntlets/phg-jotun/03-interface.svg</x:v>
      </x:c>
      <x:c r="G190" s="79" t="str">
        <x:v>Création ORIGINALE</x:v>
      </x:c>
      <x:c r="H190" s="79" t="str">
        <x:v>NON VALIDÉ</x:v>
      </x:c>
      <x:c r="I190" s="79" t="str">
        <x:v>Export PNG par GitHub Actions</x:v>
      </x:c>
      <x:c r="J190" s="79" t="str">
        <x:v>Mesures, peau, glyphes, UV et charnières à revoir</x:v>
      </x:c>
    </x:row>
    <x:row r="191" ht="35" customHeight="1">
      <x:c r="A191" s="79" t="str">
        <x:v>phg-jotun</x:v>
      </x:c>
      <x:c r="B191" s="79" t="str">
        <x:v>Jotun · PHG</x:v>
      </x:c>
      <x:c r="C191" s="79" t="str">
        <x:v>04-lid.svg</x:v>
      </x:c>
      <x:c r="D191" s="79" t="str">
        <x:v>v136</x:v>
      </x:c>
      <x:c r="E191" s="79" t="str">
        <x:v>SVG source individuel</x:v>
      </x:c>
      <x:c r="F191" s="79" t="str">
        <x:v>public/game/assets/v136/gauntlets/phg-jotun/04-lid.svg</x:v>
      </x:c>
      <x:c r="G191" s="79" t="str">
        <x:v>Création ORIGINALE</x:v>
      </x:c>
      <x:c r="H191" s="79" t="str">
        <x:v>NON VALIDÉ</x:v>
      </x:c>
      <x:c r="I191" s="79" t="str">
        <x:v>Export PNG par GitHub Actions</x:v>
      </x:c>
      <x:c r="J191" s="79" t="str">
        <x:v>Mesures, peau, glyphes, UV et charnières à revoir</x:v>
      </x:c>
    </x:row>
    <x:row r="192" ht="35" customHeight="1">
      <x:c r="A192" s="79" t="str">
        <x:v>phg-exalted</x:v>
      </x:c>
      <x:c r="B192" s="79" t="str">
        <x:v>Exalted · PHG</x:v>
      </x:c>
      <x:c r="C192" s="79" t="str">
        <x:v>01-arm.svg</x:v>
      </x:c>
      <x:c r="D192" s="79" t="str">
        <x:v>v136</x:v>
      </x:c>
      <x:c r="E192" s="79" t="str">
        <x:v>SVG source individuel</x:v>
      </x:c>
      <x:c r="F192" s="79" t="str">
        <x:v>public/game/assets/v136/gauntlets/phg-exalted/01-arm.svg</x:v>
      </x:c>
      <x:c r="G192" s="79" t="str">
        <x:v>Création ORIGINALE</x:v>
      </x:c>
      <x:c r="H192" s="79" t="str">
        <x:v>NON VALIDÉ</x:v>
      </x:c>
      <x:c r="I192" s="79" t="str">
        <x:v>Export PNG par GitHub Actions</x:v>
      </x:c>
      <x:c r="J192" s="79" t="str">
        <x:v>Mesures, peau, glyphes, UV et charnières à revoir</x:v>
      </x:c>
    </x:row>
    <x:row r="193" ht="35" customHeight="1">
      <x:c r="A193" s="79" t="str">
        <x:v>phg-exalted</x:v>
      </x:c>
      <x:c r="B193" s="79" t="str">
        <x:v>Exalted · PHG</x:v>
      </x:c>
      <x:c r="C193" s="79" t="str">
        <x:v>02-shell.svg</x:v>
      </x:c>
      <x:c r="D193" s="79" t="str">
        <x:v>v136</x:v>
      </x:c>
      <x:c r="E193" s="79" t="str">
        <x:v>SVG source individuel</x:v>
      </x:c>
      <x:c r="F193" s="79" t="str">
        <x:v>public/game/assets/v136/gauntlets/phg-exalted/02-shell.svg</x:v>
      </x:c>
      <x:c r="G193" s="79" t="str">
        <x:v>Création ORIGINALE</x:v>
      </x:c>
      <x:c r="H193" s="79" t="str">
        <x:v>NON VALIDÉ</x:v>
      </x:c>
      <x:c r="I193" s="79" t="str">
        <x:v>Export PNG par GitHub Actions</x:v>
      </x:c>
      <x:c r="J193" s="79" t="str">
        <x:v>Mesures, peau, glyphes, UV et charnières à revoir</x:v>
      </x:c>
    </x:row>
    <x:row r="194" ht="35" customHeight="1">
      <x:c r="A194" s="79" t="str">
        <x:v>phg-exalted</x:v>
      </x:c>
      <x:c r="B194" s="79" t="str">
        <x:v>Exalted · PHG</x:v>
      </x:c>
      <x:c r="C194" s="79" t="str">
        <x:v>03-interface.svg</x:v>
      </x:c>
      <x:c r="D194" s="79" t="str">
        <x:v>v136</x:v>
      </x:c>
      <x:c r="E194" s="79" t="str">
        <x:v>SVG source individuel</x:v>
      </x:c>
      <x:c r="F194" s="79" t="str">
        <x:v>public/game/assets/v136/gauntlets/phg-exalted/03-interface.svg</x:v>
      </x:c>
      <x:c r="G194" s="79" t="str">
        <x:v>Création ORIGINALE</x:v>
      </x:c>
      <x:c r="H194" s="79" t="str">
        <x:v>NON VALIDÉ</x:v>
      </x:c>
      <x:c r="I194" s="79" t="str">
        <x:v>Export PNG par GitHub Actions</x:v>
      </x:c>
      <x:c r="J194" s="79" t="str">
        <x:v>Mesures, peau, glyphes, UV et charnières à revoir</x:v>
      </x:c>
    </x:row>
    <x:row r="195" ht="35" customHeight="1">
      <x:c r="A195" s="79" t="str">
        <x:v>phg-exalted</x:v>
      </x:c>
      <x:c r="B195" s="79" t="str">
        <x:v>Exalted · PHG</x:v>
      </x:c>
      <x:c r="C195" s="79" t="str">
        <x:v>04-lid.svg</x:v>
      </x:c>
      <x:c r="D195" s="79" t="str">
        <x:v>v136</x:v>
      </x:c>
      <x:c r="E195" s="79" t="str">
        <x:v>SVG source individuel</x:v>
      </x:c>
      <x:c r="F195" s="79" t="str">
        <x:v>public/game/assets/v136/gauntlets/phg-exalted/04-lid.svg</x:v>
      </x:c>
      <x:c r="G195" s="79" t="str">
        <x:v>Création ORIGINALE</x:v>
      </x:c>
      <x:c r="H195" s="79" t="str">
        <x:v>NON VALIDÉ</x:v>
      </x:c>
      <x:c r="I195" s="79" t="str">
        <x:v>Export PNG par GitHub Actions</x:v>
      </x:c>
      <x:c r="J195" s="79" t="str">
        <x:v>Mesures, peau, glyphes, UV et charnières à revoir</x:v>
      </x:c>
    </x:row>
    <x:row r="196" ht="35" customHeight="1">
      <x:c r="A196" s="79" t="str">
        <x:v>phg-anubis</x:v>
      </x:c>
      <x:c r="B196" s="79" t="str">
        <x:v>Anubis · PHG</x:v>
      </x:c>
      <x:c r="C196" s="79" t="str">
        <x:v>01-arm.svg</x:v>
      </x:c>
      <x:c r="D196" s="79" t="str">
        <x:v>v136</x:v>
      </x:c>
      <x:c r="E196" s="79" t="str">
        <x:v>SVG source individuel</x:v>
      </x:c>
      <x:c r="F196" s="79" t="str">
        <x:v>public/game/assets/v136/gauntlets/phg-anubis/01-arm.svg</x:v>
      </x:c>
      <x:c r="G196" s="79" t="str">
        <x:v>Création ORIGINALE</x:v>
      </x:c>
      <x:c r="H196" s="79" t="str">
        <x:v>NON VALIDÉ</x:v>
      </x:c>
      <x:c r="I196" s="79" t="str">
        <x:v>Export PNG par GitHub Actions</x:v>
      </x:c>
      <x:c r="J196" s="79" t="str">
        <x:v>Mesures, peau, glyphes, UV et charnières à revoir</x:v>
      </x:c>
    </x:row>
    <x:row r="197" ht="35" customHeight="1">
      <x:c r="A197" s="79" t="str">
        <x:v>phg-anubis</x:v>
      </x:c>
      <x:c r="B197" s="79" t="str">
        <x:v>Anubis · PHG</x:v>
      </x:c>
      <x:c r="C197" s="79" t="str">
        <x:v>02-shell.svg</x:v>
      </x:c>
      <x:c r="D197" s="79" t="str">
        <x:v>v136</x:v>
      </x:c>
      <x:c r="E197" s="79" t="str">
        <x:v>SVG source individuel</x:v>
      </x:c>
      <x:c r="F197" s="79" t="str">
        <x:v>public/game/assets/v136/gauntlets/phg-anubis/02-shell.svg</x:v>
      </x:c>
      <x:c r="G197" s="79" t="str">
        <x:v>Création ORIGINALE</x:v>
      </x:c>
      <x:c r="H197" s="79" t="str">
        <x:v>NON VALIDÉ</x:v>
      </x:c>
      <x:c r="I197" s="79" t="str">
        <x:v>Export PNG par GitHub Actions</x:v>
      </x:c>
      <x:c r="J197" s="79" t="str">
        <x:v>Mesures, peau, glyphes, UV et charnières à revoir</x:v>
      </x:c>
    </x:row>
    <x:row r="198" ht="35" customHeight="1">
      <x:c r="A198" s="79" t="str">
        <x:v>phg-anubis</x:v>
      </x:c>
      <x:c r="B198" s="79" t="str">
        <x:v>Anubis · PHG</x:v>
      </x:c>
      <x:c r="C198" s="79" t="str">
        <x:v>03-interface.svg</x:v>
      </x:c>
      <x:c r="D198" s="79" t="str">
        <x:v>v136</x:v>
      </x:c>
      <x:c r="E198" s="79" t="str">
        <x:v>SVG source individuel</x:v>
      </x:c>
      <x:c r="F198" s="79" t="str">
        <x:v>public/game/assets/v136/gauntlets/phg-anubis/03-interface.svg</x:v>
      </x:c>
      <x:c r="G198" s="79" t="str">
        <x:v>Création ORIGINALE</x:v>
      </x:c>
      <x:c r="H198" s="79" t="str">
        <x:v>NON VALIDÉ</x:v>
      </x:c>
      <x:c r="I198" s="79" t="str">
        <x:v>Export PNG par GitHub Actions</x:v>
      </x:c>
      <x:c r="J198" s="79" t="str">
        <x:v>Mesures, peau, glyphes, UV et charnières à revoir</x:v>
      </x:c>
    </x:row>
    <x:row r="199" ht="35" customHeight="1">
      <x:c r="A199" s="79" t="str">
        <x:v>phg-anubis</x:v>
      </x:c>
      <x:c r="B199" s="79" t="str">
        <x:v>Anubis · PHG</x:v>
      </x:c>
      <x:c r="C199" s="79" t="str">
        <x:v>04-lid.svg</x:v>
      </x:c>
      <x:c r="D199" s="79" t="str">
        <x:v>v136</x:v>
      </x:c>
      <x:c r="E199" s="79" t="str">
        <x:v>SVG source individuel</x:v>
      </x:c>
      <x:c r="F199" s="79" t="str">
        <x:v>public/game/assets/v136/gauntlets/phg-anubis/04-lid.svg</x:v>
      </x:c>
      <x:c r="G199" s="79" t="str">
        <x:v>Création ORIGINALE</x:v>
      </x:c>
      <x:c r="H199" s="79" t="str">
        <x:v>NON VALIDÉ</x:v>
      </x:c>
      <x:c r="I199" s="79" t="str">
        <x:v>Export PNG par GitHub Actions</x:v>
      </x:c>
      <x:c r="J199" s="79" t="str">
        <x:v>Mesures, peau, glyphes, UV et charnières à revoir</x:v>
      </x:c>
    </x:row>
    <x:row r="200" ht="35" customHeight="1">
      <x:c r="A200" s="79" t="str">
        <x:v>phg-gladiator</x:v>
      </x:c>
      <x:c r="B200" s="79" t="str">
        <x:v>Gladiator · PHG</x:v>
      </x:c>
      <x:c r="C200" s="79" t="str">
        <x:v>01-arm.svg</x:v>
      </x:c>
      <x:c r="D200" s="79" t="str">
        <x:v>v136</x:v>
      </x:c>
      <x:c r="E200" s="79" t="str">
        <x:v>SVG source individuel</x:v>
      </x:c>
      <x:c r="F200" s="79" t="str">
        <x:v>public/game/assets/v136/gauntlets/phg-gladiator/01-arm.svg</x:v>
      </x:c>
      <x:c r="G200" s="79" t="str">
        <x:v>Création ORIGINALE</x:v>
      </x:c>
      <x:c r="H200" s="79" t="str">
        <x:v>NON VALIDÉ</x:v>
      </x:c>
      <x:c r="I200" s="79" t="str">
        <x:v>Export PNG par GitHub Actions</x:v>
      </x:c>
      <x:c r="J200" s="79" t="str">
        <x:v>Mesures, peau, glyphes, UV et charnières à revoir</x:v>
      </x:c>
    </x:row>
    <x:row r="201" ht="35" customHeight="1">
      <x:c r="A201" s="79" t="str">
        <x:v>phg-gladiator</x:v>
      </x:c>
      <x:c r="B201" s="79" t="str">
        <x:v>Gladiator · PHG</x:v>
      </x:c>
      <x:c r="C201" s="79" t="str">
        <x:v>02-shell.svg</x:v>
      </x:c>
      <x:c r="D201" s="79" t="str">
        <x:v>v136</x:v>
      </x:c>
      <x:c r="E201" s="79" t="str">
        <x:v>SVG source individuel</x:v>
      </x:c>
      <x:c r="F201" s="79" t="str">
        <x:v>public/game/assets/v136/gauntlets/phg-gladiator/02-shell.svg</x:v>
      </x:c>
      <x:c r="G201" s="79" t="str">
        <x:v>Création ORIGINALE</x:v>
      </x:c>
      <x:c r="H201" s="79" t="str">
        <x:v>NON VALIDÉ</x:v>
      </x:c>
      <x:c r="I201" s="79" t="str">
        <x:v>Export PNG par GitHub Actions</x:v>
      </x:c>
      <x:c r="J201" s="79" t="str">
        <x:v>Mesures, peau, glyphes, UV et charnières à revoir</x:v>
      </x:c>
    </x:row>
    <x:row r="202" ht="35" customHeight="1">
      <x:c r="A202" s="79" t="str">
        <x:v>phg-gladiator</x:v>
      </x:c>
      <x:c r="B202" s="79" t="str">
        <x:v>Gladiator · PHG</x:v>
      </x:c>
      <x:c r="C202" s="79" t="str">
        <x:v>03-interface.svg</x:v>
      </x:c>
      <x:c r="D202" s="79" t="str">
        <x:v>v136</x:v>
      </x:c>
      <x:c r="E202" s="79" t="str">
        <x:v>SVG source individuel</x:v>
      </x:c>
      <x:c r="F202" s="79" t="str">
        <x:v>public/game/assets/v136/gauntlets/phg-gladiator/03-interface.svg</x:v>
      </x:c>
      <x:c r="G202" s="79" t="str">
        <x:v>Création ORIGINALE</x:v>
      </x:c>
      <x:c r="H202" s="79" t="str">
        <x:v>NON VALIDÉ</x:v>
      </x:c>
      <x:c r="I202" s="79" t="str">
        <x:v>Export PNG par GitHub Actions</x:v>
      </x:c>
      <x:c r="J202" s="79" t="str">
        <x:v>Mesures, peau, glyphes, UV et charnières à revoir</x:v>
      </x:c>
    </x:row>
    <x:row r="203" ht="35" customHeight="1">
      <x:c r="A203" s="79" t="str">
        <x:v>phg-gladiator</x:v>
      </x:c>
      <x:c r="B203" s="79" t="str">
        <x:v>Gladiator · PHG</x:v>
      </x:c>
      <x:c r="C203" s="79" t="str">
        <x:v>04-lid.svg</x:v>
      </x:c>
      <x:c r="D203" s="79" t="str">
        <x:v>v136</x:v>
      </x:c>
      <x:c r="E203" s="79" t="str">
        <x:v>SVG source individuel</x:v>
      </x:c>
      <x:c r="F203" s="79" t="str">
        <x:v>public/game/assets/v136/gauntlets/phg-gladiator/04-lid.svg</x:v>
      </x:c>
      <x:c r="G203" s="79" t="str">
        <x:v>Création ORIGINALE</x:v>
      </x:c>
      <x:c r="H203" s="79" t="str">
        <x:v>NON VALIDÉ</x:v>
      </x:c>
      <x:c r="I203" s="79" t="str">
        <x:v>Export PNG par GitHub Actions</x:v>
      </x:c>
      <x:c r="J203" s="79" t="str">
        <x:v>Mesures, peau, glyphes, UV et charnières à revoir</x:v>
      </x:c>
    </x:row>
    <x:row r="204" ht="35" customHeight="1">
      <x:c r="A204" s="79" t="str">
        <x:v>scarface</x:v>
      </x:c>
      <x:c r="B204" s="79" t="str">
        <x:v>Scarface · Concrete Jungle</x:v>
      </x:c>
      <x:c r="C204" s="79" t="str">
        <x:v>01-arm.svg</x:v>
      </x:c>
      <x:c r="D204" s="79" t="str">
        <x:v>v136</x:v>
      </x:c>
      <x:c r="E204" s="79" t="str">
        <x:v>SVG source individuel</x:v>
      </x:c>
      <x:c r="F204" s="79" t="str">
        <x:v>public/game/assets/v136/gauntlets/scarface/01-arm.svg</x:v>
      </x:c>
      <x:c r="G204" s="79" t="str">
        <x:v>Création ORIGINALE</x:v>
      </x:c>
      <x:c r="H204" s="79" t="str">
        <x:v>NON VALIDÉ</x:v>
      </x:c>
      <x:c r="I204" s="79" t="str">
        <x:v>Export PNG par GitHub Actions</x:v>
      </x:c>
      <x:c r="J204" s="79" t="str">
        <x:v>Mesures, peau, glyphes, UV et charnières à revoir</x:v>
      </x:c>
    </x:row>
    <x:row r="205" ht="35" customHeight="1">
      <x:c r="A205" s="79" t="str">
        <x:v>scarface</x:v>
      </x:c>
      <x:c r="B205" s="79" t="str">
        <x:v>Scarface · Concrete Jungle</x:v>
      </x:c>
      <x:c r="C205" s="79" t="str">
        <x:v>02-shell.svg</x:v>
      </x:c>
      <x:c r="D205" s="79" t="str">
        <x:v>v136</x:v>
      </x:c>
      <x:c r="E205" s="79" t="str">
        <x:v>SVG source individuel</x:v>
      </x:c>
      <x:c r="F205" s="79" t="str">
        <x:v>public/game/assets/v136/gauntlets/scarface/02-shell.svg</x:v>
      </x:c>
      <x:c r="G205" s="79" t="str">
        <x:v>Création ORIGINALE</x:v>
      </x:c>
      <x:c r="H205" s="79" t="str">
        <x:v>NON VALIDÉ</x:v>
      </x:c>
      <x:c r="I205" s="79" t="str">
        <x:v>Export PNG par GitHub Actions</x:v>
      </x:c>
      <x:c r="J205" s="79" t="str">
        <x:v>Mesures, peau, glyphes, UV et charnières à revoir</x:v>
      </x:c>
    </x:row>
    <x:row r="206" ht="35" customHeight="1">
      <x:c r="A206" s="79" t="str">
        <x:v>scarface</x:v>
      </x:c>
      <x:c r="B206" s="79" t="str">
        <x:v>Scarface · Concrete Jungle</x:v>
      </x:c>
      <x:c r="C206" s="79" t="str">
        <x:v>03-interface.svg</x:v>
      </x:c>
      <x:c r="D206" s="79" t="str">
        <x:v>v136</x:v>
      </x:c>
      <x:c r="E206" s="79" t="str">
        <x:v>SVG source individuel</x:v>
      </x:c>
      <x:c r="F206" s="79" t="str">
        <x:v>public/game/assets/v136/gauntlets/scarface/03-interface.svg</x:v>
      </x:c>
      <x:c r="G206" s="79" t="str">
        <x:v>Création ORIGINALE</x:v>
      </x:c>
      <x:c r="H206" s="79" t="str">
        <x:v>NON VALIDÉ</x:v>
      </x:c>
      <x:c r="I206" s="79" t="str">
        <x:v>Export PNG par GitHub Actions</x:v>
      </x:c>
      <x:c r="J206" s="79" t="str">
        <x:v>Mesures, peau, glyphes, UV et charnières à revoir</x:v>
      </x:c>
    </x:row>
    <x:row r="207" ht="35" customHeight="1">
      <x:c r="A207" s="79" t="str">
        <x:v>scarface</x:v>
      </x:c>
      <x:c r="B207" s="79" t="str">
        <x:v>Scarface · Concrete Jungle</x:v>
      </x:c>
      <x:c r="C207" s="79" t="str">
        <x:v>04-lid.svg</x:v>
      </x:c>
      <x:c r="D207" s="79" t="str">
        <x:v>v136</x:v>
      </x:c>
      <x:c r="E207" s="79" t="str">
        <x:v>SVG source individuel</x:v>
      </x:c>
      <x:c r="F207" s="79" t="str">
        <x:v>public/game/assets/v136/gauntlets/scarface/04-lid.svg</x:v>
      </x:c>
      <x:c r="G207" s="79" t="str">
        <x:v>Création ORIGINALE</x:v>
      </x:c>
      <x:c r="H207" s="79" t="str">
        <x:v>NON VALIDÉ</x:v>
      </x:c>
      <x:c r="I207" s="79" t="str">
        <x:v>Export PNG par GitHub Actions</x:v>
      </x:c>
      <x:c r="J207" s="79" t="str">
        <x:v>Mesures, peau, glyphes, UV et charnières à revoir</x:v>
      </x:c>
    </x:row>
    <x:row r="208" ht="35" customHeight="1">
      <x:c r="A208" s="79" t="str">
        <x:v>stone-heart</x:v>
      </x:c>
      <x:c r="B208" s="79" t="str">
        <x:v>Stone Heart · Concrete Jungle</x:v>
      </x:c>
      <x:c r="C208" s="79" t="str">
        <x:v>01-arm.svg</x:v>
      </x:c>
      <x:c r="D208" s="79" t="str">
        <x:v>v136</x:v>
      </x:c>
      <x:c r="E208" s="79" t="str">
        <x:v>SVG source individuel</x:v>
      </x:c>
      <x:c r="F208" s="79" t="str">
        <x:v>public/game/assets/v136/gauntlets/stone-heart/01-arm.svg</x:v>
      </x:c>
      <x:c r="G208" s="79" t="str">
        <x:v>Création ORIGINALE</x:v>
      </x:c>
      <x:c r="H208" s="79" t="str">
        <x:v>NON VALIDÉ</x:v>
      </x:c>
      <x:c r="I208" s="79" t="str">
        <x:v>Export PNG par GitHub Actions</x:v>
      </x:c>
      <x:c r="J208" s="79" t="str">
        <x:v>Mesures, peau, glyphes, UV et charnières à revoir</x:v>
      </x:c>
    </x:row>
    <x:row r="209" ht="35" customHeight="1">
      <x:c r="A209" s="79" t="str">
        <x:v>stone-heart</x:v>
      </x:c>
      <x:c r="B209" s="79" t="str">
        <x:v>Stone Heart · Concrete Jungle</x:v>
      </x:c>
      <x:c r="C209" s="79" t="str">
        <x:v>02-shell.svg</x:v>
      </x:c>
      <x:c r="D209" s="79" t="str">
        <x:v>v136</x:v>
      </x:c>
      <x:c r="E209" s="79" t="str">
        <x:v>SVG source individuel</x:v>
      </x:c>
      <x:c r="F209" s="79" t="str">
        <x:v>public/game/assets/v136/gauntlets/stone-heart/02-shell.svg</x:v>
      </x:c>
      <x:c r="G209" s="79" t="str">
        <x:v>Création ORIGINALE</x:v>
      </x:c>
      <x:c r="H209" s="79" t="str">
        <x:v>NON VALIDÉ</x:v>
      </x:c>
      <x:c r="I209" s="79" t="str">
        <x:v>Export PNG par GitHub Actions</x:v>
      </x:c>
      <x:c r="J209" s="79" t="str">
        <x:v>Mesures, peau, glyphes, UV et charnières à revoir</x:v>
      </x:c>
    </x:row>
    <x:row r="210" ht="35" customHeight="1">
      <x:c r="A210" s="79" t="str">
        <x:v>stone-heart</x:v>
      </x:c>
      <x:c r="B210" s="79" t="str">
        <x:v>Stone Heart · Concrete Jungle</x:v>
      </x:c>
      <x:c r="C210" s="79" t="str">
        <x:v>03-interface.svg</x:v>
      </x:c>
      <x:c r="D210" s="79" t="str">
        <x:v>v136</x:v>
      </x:c>
      <x:c r="E210" s="79" t="str">
        <x:v>SVG source individuel</x:v>
      </x:c>
      <x:c r="F210" s="79" t="str">
        <x:v>public/game/assets/v136/gauntlets/stone-heart/03-interface.svg</x:v>
      </x:c>
      <x:c r="G210" s="79" t="str">
        <x:v>Création ORIGINALE</x:v>
      </x:c>
      <x:c r="H210" s="79" t="str">
        <x:v>NON VALIDÉ</x:v>
      </x:c>
      <x:c r="I210" s="79" t="str">
        <x:v>Export PNG par GitHub Actions</x:v>
      </x:c>
      <x:c r="J210" s="79" t="str">
        <x:v>Mesures, peau, glyphes, UV et charnières à revoir</x:v>
      </x:c>
    </x:row>
    <x:row r="211" ht="35" customHeight="1">
      <x:c r="A211" s="79" t="str">
        <x:v>stone-heart</x:v>
      </x:c>
      <x:c r="B211" s="79" t="str">
        <x:v>Stone Heart · Concrete Jungle</x:v>
      </x:c>
      <x:c r="C211" s="79" t="str">
        <x:v>04-lid.svg</x:v>
      </x:c>
      <x:c r="D211" s="79" t="str">
        <x:v>v136</x:v>
      </x:c>
      <x:c r="E211" s="79" t="str">
        <x:v>SVG source individuel</x:v>
      </x:c>
      <x:c r="F211" s="79" t="str">
        <x:v>public/game/assets/v136/gauntlets/stone-heart/04-lid.svg</x:v>
      </x:c>
      <x:c r="G211" s="79" t="str">
        <x:v>Création ORIGINALE</x:v>
      </x:c>
      <x:c r="H211" s="79" t="str">
        <x:v>NON VALIDÉ</x:v>
      </x:c>
      <x:c r="I211" s="79" t="str">
        <x:v>Export PNG par GitHub Actions</x:v>
      </x:c>
      <x:c r="J211" s="79" t="str">
        <x:v>Mesures, peau, glyphes, UV et charnières à revoir</x:v>
      </x:c>
    </x:row>
    <x:row r="212" ht="35" customHeight="1">
      <x:c r="A212" s="79" t="str">
        <x:v>ahab</x:v>
      </x:c>
      <x:c r="B212" s="79" t="str">
        <x:v>Ahab · comics / NECA</x:v>
      </x:c>
      <x:c r="C212" s="79" t="str">
        <x:v>01-arm.svg</x:v>
      </x:c>
      <x:c r="D212" s="79" t="str">
        <x:v>v136</x:v>
      </x:c>
      <x:c r="E212" s="79" t="str">
        <x:v>SVG source individuel</x:v>
      </x:c>
      <x:c r="F212" s="79" t="str">
        <x:v>public/game/assets/v136/gauntlets/ahab/01-arm.svg</x:v>
      </x:c>
      <x:c r="G212" s="79" t="str">
        <x:v>Création ORIGINALE</x:v>
      </x:c>
      <x:c r="H212" s="79" t="str">
        <x:v>NON VALIDÉ</x:v>
      </x:c>
      <x:c r="I212" s="79" t="str">
        <x:v>Export PNG par GitHub Actions</x:v>
      </x:c>
      <x:c r="J212" s="79" t="str">
        <x:v>Mesures, peau, glyphes, UV et charnières à revoir</x:v>
      </x:c>
    </x:row>
    <x:row r="213" ht="35" customHeight="1">
      <x:c r="A213" s="79" t="str">
        <x:v>ahab</x:v>
      </x:c>
      <x:c r="B213" s="79" t="str">
        <x:v>Ahab · comics / NECA</x:v>
      </x:c>
      <x:c r="C213" s="79" t="str">
        <x:v>02-shell.svg</x:v>
      </x:c>
      <x:c r="D213" s="79" t="str">
        <x:v>v136</x:v>
      </x:c>
      <x:c r="E213" s="79" t="str">
        <x:v>SVG source individuel</x:v>
      </x:c>
      <x:c r="F213" s="79" t="str">
        <x:v>public/game/assets/v136/gauntlets/ahab/02-shell.svg</x:v>
      </x:c>
      <x:c r="G213" s="79" t="str">
        <x:v>Création ORIGINALE</x:v>
      </x:c>
      <x:c r="H213" s="79" t="str">
        <x:v>NON VALIDÉ</x:v>
      </x:c>
      <x:c r="I213" s="79" t="str">
        <x:v>Export PNG par GitHub Actions</x:v>
      </x:c>
      <x:c r="J213" s="79" t="str">
        <x:v>Mesures, peau, glyphes, UV et charnières à revoir</x:v>
      </x:c>
    </x:row>
    <x:row r="214" ht="35" customHeight="1">
      <x:c r="A214" s="79" t="str">
        <x:v>ahab</x:v>
      </x:c>
      <x:c r="B214" s="79" t="str">
        <x:v>Ahab · comics / NECA</x:v>
      </x:c>
      <x:c r="C214" s="79" t="str">
        <x:v>03-interface.svg</x:v>
      </x:c>
      <x:c r="D214" s="79" t="str">
        <x:v>v136</x:v>
      </x:c>
      <x:c r="E214" s="79" t="str">
        <x:v>SVG source individuel</x:v>
      </x:c>
      <x:c r="F214" s="79" t="str">
        <x:v>public/game/assets/v136/gauntlets/ahab/03-interface.svg</x:v>
      </x:c>
      <x:c r="G214" s="79" t="str">
        <x:v>Création ORIGINALE</x:v>
      </x:c>
      <x:c r="H214" s="79" t="str">
        <x:v>NON VALIDÉ</x:v>
      </x:c>
      <x:c r="I214" s="79" t="str">
        <x:v>Export PNG par GitHub Actions</x:v>
      </x:c>
      <x:c r="J214" s="79" t="str">
        <x:v>Mesures, peau, glyphes, UV et charnières à revoir</x:v>
      </x:c>
    </x:row>
    <x:row r="215" ht="35" customHeight="1">
      <x:c r="A215" s="79" t="str">
        <x:v>ahab</x:v>
      </x:c>
      <x:c r="B215" s="79" t="str">
        <x:v>Ahab · comics / NECA</x:v>
      </x:c>
      <x:c r="C215" s="79" t="str">
        <x:v>04-lid.svg</x:v>
      </x:c>
      <x:c r="D215" s="79" t="str">
        <x:v>v136</x:v>
      </x:c>
      <x:c r="E215" s="79" t="str">
        <x:v>SVG source individuel</x:v>
      </x:c>
      <x:c r="F215" s="79" t="str">
        <x:v>public/game/assets/v136/gauntlets/ahab/04-lid.svg</x:v>
      </x:c>
      <x:c r="G215" s="79" t="str">
        <x:v>Création ORIGINALE</x:v>
      </x:c>
      <x:c r="H215" s="79" t="str">
        <x:v>NON VALIDÉ</x:v>
      </x:c>
      <x:c r="I215" s="79" t="str">
        <x:v>Export PNG par GitHub Actions</x:v>
      </x:c>
      <x:c r="J215" s="79" t="str">
        <x:v>Mesures, peau, glyphes, UV et charnières à revoir</x:v>
      </x:c>
    </x:row>
    <x:row r="216" ht="35" customHeight="1">
      <x:c r="A216" s="79" t="str">
        <x:v>dark-2010</x:v>
      </x:c>
      <x:c r="B216" s="79" t="str">
        <x:v>Dark · Aliens vs Predator (2010)</x:v>
      </x:c>
      <x:c r="C216" s="79" t="str">
        <x:v>01-arm.svg</x:v>
      </x:c>
      <x:c r="D216" s="79" t="str">
        <x:v>v136</x:v>
      </x:c>
      <x:c r="E216" s="79" t="str">
        <x:v>SVG source individuel</x:v>
      </x:c>
      <x:c r="F216" s="79" t="str">
        <x:v>public/game/assets/v136/gauntlets/dark-2010/01-arm.svg</x:v>
      </x:c>
      <x:c r="G216" s="79" t="str">
        <x:v>Création ORIGINALE</x:v>
      </x:c>
      <x:c r="H216" s="79" t="str">
        <x:v>NON VALIDÉ</x:v>
      </x:c>
      <x:c r="I216" s="79" t="str">
        <x:v>Export PNG par GitHub Actions</x:v>
      </x:c>
      <x:c r="J216" s="79" t="str">
        <x:v>Mesures, peau, glyphes, UV et charnières à revoir</x:v>
      </x:c>
    </x:row>
    <x:row r="217" ht="35" customHeight="1">
      <x:c r="A217" s="79" t="str">
        <x:v>dark-2010</x:v>
      </x:c>
      <x:c r="B217" s="79" t="str">
        <x:v>Dark · Aliens vs Predator (2010)</x:v>
      </x:c>
      <x:c r="C217" s="79" t="str">
        <x:v>02-shell.svg</x:v>
      </x:c>
      <x:c r="D217" s="79" t="str">
        <x:v>v136</x:v>
      </x:c>
      <x:c r="E217" s="79" t="str">
        <x:v>SVG source individuel</x:v>
      </x:c>
      <x:c r="F217" s="79" t="str">
        <x:v>public/game/assets/v136/gauntlets/dark-2010/02-shell.svg</x:v>
      </x:c>
      <x:c r="G217" s="79" t="str">
        <x:v>Création ORIGINALE</x:v>
      </x:c>
      <x:c r="H217" s="79" t="str">
        <x:v>NON VALIDÉ</x:v>
      </x:c>
      <x:c r="I217" s="79" t="str">
        <x:v>Export PNG par GitHub Actions</x:v>
      </x:c>
      <x:c r="J217" s="79" t="str">
        <x:v>Mesures, peau, glyphes, UV et charnières à revoir</x:v>
      </x:c>
    </x:row>
    <x:row r="218" ht="35" customHeight="1">
      <x:c r="A218" s="79" t="str">
        <x:v>dark-2010</x:v>
      </x:c>
      <x:c r="B218" s="79" t="str">
        <x:v>Dark · Aliens vs Predator (2010)</x:v>
      </x:c>
      <x:c r="C218" s="79" t="str">
        <x:v>03-interface.svg</x:v>
      </x:c>
      <x:c r="D218" s="79" t="str">
        <x:v>v136</x:v>
      </x:c>
      <x:c r="E218" s="79" t="str">
        <x:v>SVG source individuel</x:v>
      </x:c>
      <x:c r="F218" s="79" t="str">
        <x:v>public/game/assets/v136/gauntlets/dark-2010/03-interface.svg</x:v>
      </x:c>
      <x:c r="G218" s="79" t="str">
        <x:v>Création ORIGINALE</x:v>
      </x:c>
      <x:c r="H218" s="79" t="str">
        <x:v>NON VALIDÉ</x:v>
      </x:c>
      <x:c r="I218" s="79" t="str">
        <x:v>Export PNG par GitHub Actions</x:v>
      </x:c>
      <x:c r="J218" s="79" t="str">
        <x:v>Mesures, peau, glyphes, UV et charnières à revoir</x:v>
      </x:c>
    </x:row>
    <x:row r="219" ht="35" customHeight="1">
      <x:c r="A219" s="79" t="str">
        <x:v>dark-2010</x:v>
      </x:c>
      <x:c r="B219" s="79" t="str">
        <x:v>Dark · Aliens vs Predator (2010)</x:v>
      </x:c>
      <x:c r="C219" s="79" t="str">
        <x:v>04-lid.svg</x:v>
      </x:c>
      <x:c r="D219" s="79" t="str">
        <x:v>v136</x:v>
      </x:c>
      <x:c r="E219" s="79" t="str">
        <x:v>SVG source individuel</x:v>
      </x:c>
      <x:c r="F219" s="79" t="str">
        <x:v>public/game/assets/v136/gauntlets/dark-2010/04-lid.svg</x:v>
      </x:c>
      <x:c r="G219" s="79" t="str">
        <x:v>Création ORIGINALE</x:v>
      </x:c>
      <x:c r="H219" s="79" t="str">
        <x:v>NON VALIDÉ</x:v>
      </x:c>
      <x:c r="I219" s="79" t="str">
        <x:v>Export PNG par GitHub Actions</x:v>
      </x:c>
      <x:c r="J219" s="79" t="str">
        <x:v>Mesures, peau, glyphes, UV et charnières à revoir</x:v>
      </x:c>
    </x:row>
    <x:row r="220" ht="35" customHeight="1">
      <x:c r="A220" s="79" t="str">
        <x:v>phg-captured</x:v>
      </x:c>
      <x:c r="B220" s="79" t="str">
        <x:v>Captured · PHG</x:v>
      </x:c>
      <x:c r="C220" s="79" t="str">
        <x:v>01-arm.svg</x:v>
      </x:c>
      <x:c r="D220" s="79" t="str">
        <x:v>v136</x:v>
      </x:c>
      <x:c r="E220" s="79" t="str">
        <x:v>SVG source individuel</x:v>
      </x:c>
      <x:c r="F220" s="79" t="str">
        <x:v>public/game/assets/v136/gauntlets/phg-captured/01-arm.svg</x:v>
      </x:c>
      <x:c r="G220" s="79" t="str">
        <x:v>Création ORIGINALE</x:v>
      </x:c>
      <x:c r="H220" s="79" t="str">
        <x:v>NON VALIDÉ</x:v>
      </x:c>
      <x:c r="I220" s="79" t="str">
        <x:v>Export PNG par GitHub Actions</x:v>
      </x:c>
      <x:c r="J220" s="79" t="str">
        <x:v>Mesures, peau, glyphes, UV et charnières à revoir</x:v>
      </x:c>
    </x:row>
    <x:row r="221" ht="35" customHeight="1">
      <x:c r="A221" s="79" t="str">
        <x:v>phg-captured</x:v>
      </x:c>
      <x:c r="B221" s="79" t="str">
        <x:v>Captured · PHG</x:v>
      </x:c>
      <x:c r="C221" s="79" t="str">
        <x:v>02-shell.svg</x:v>
      </x:c>
      <x:c r="D221" s="79" t="str">
        <x:v>v136</x:v>
      </x:c>
      <x:c r="E221" s="79" t="str">
        <x:v>SVG source individuel</x:v>
      </x:c>
      <x:c r="F221" s="79" t="str">
        <x:v>public/game/assets/v136/gauntlets/phg-captured/02-shell.svg</x:v>
      </x:c>
      <x:c r="G221" s="79" t="str">
        <x:v>Création ORIGINALE</x:v>
      </x:c>
      <x:c r="H221" s="79" t="str">
        <x:v>NON VALIDÉ</x:v>
      </x:c>
      <x:c r="I221" s="79" t="str">
        <x:v>Export PNG par GitHub Actions</x:v>
      </x:c>
      <x:c r="J221" s="79" t="str">
        <x:v>Mesures, peau, glyphes, UV et charnières à revoir</x:v>
      </x:c>
    </x:row>
    <x:row r="222" ht="35" customHeight="1">
      <x:c r="A222" s="79" t="str">
        <x:v>phg-captured</x:v>
      </x:c>
      <x:c r="B222" s="79" t="str">
        <x:v>Captured · PHG</x:v>
      </x:c>
      <x:c r="C222" s="79" t="str">
        <x:v>03-interface.svg</x:v>
      </x:c>
      <x:c r="D222" s="79" t="str">
        <x:v>v136</x:v>
      </x:c>
      <x:c r="E222" s="79" t="str">
        <x:v>SVG source individuel</x:v>
      </x:c>
      <x:c r="F222" s="79" t="str">
        <x:v>public/game/assets/v136/gauntlets/phg-captured/03-interface.svg</x:v>
      </x:c>
      <x:c r="G222" s="79" t="str">
        <x:v>Création ORIGINALE</x:v>
      </x:c>
      <x:c r="H222" s="79" t="str">
        <x:v>NON VALIDÉ</x:v>
      </x:c>
      <x:c r="I222" s="79" t="str">
        <x:v>Export PNG par GitHub Actions</x:v>
      </x:c>
      <x:c r="J222" s="79" t="str">
        <x:v>Mesures, peau, glyphes, UV et charnières à revoir</x:v>
      </x:c>
    </x:row>
    <x:row r="223" ht="35" customHeight="1">
      <x:c r="A223" s="79" t="str">
        <x:v>phg-captured</x:v>
      </x:c>
      <x:c r="B223" s="79" t="str">
        <x:v>Captured · PHG</x:v>
      </x:c>
      <x:c r="C223" s="79" t="str">
        <x:v>04-lid.svg</x:v>
      </x:c>
      <x:c r="D223" s="79" t="str">
        <x:v>v136</x:v>
      </x:c>
      <x:c r="E223" s="79" t="str">
        <x:v>SVG source individuel</x:v>
      </x:c>
      <x:c r="F223" s="79" t="str">
        <x:v>public/game/assets/v136/gauntlets/phg-captured/04-lid.svg</x:v>
      </x:c>
      <x:c r="G223" s="79" t="str">
        <x:v>Création ORIGINALE</x:v>
      </x:c>
      <x:c r="H223" s="79" t="str">
        <x:v>NON VALIDÉ</x:v>
      </x:c>
      <x:c r="I223" s="79" t="str">
        <x:v>Export PNG par GitHub Actions</x:v>
      </x:c>
      <x:c r="J223" s="79" t="str">
        <x:v>Mesures, peau, glyphes, UV et charnières à revoir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1" hidden="0" customWidth="1"/>
    <x:col min="3" max="3" width="33" hidden="0" customWidth="1"/>
    <x:col min="4" max="4" width="31" hidden="0" customWidth="1"/>
    <x:col min="5" max="5" width="29" hidden="0" customWidth="1"/>
    <x:col min="6" max="6" width="18" hidden="0" customWidth="1"/>
    <x:col min="7" max="7" width="13" hidden="0" customWidth="1"/>
    <x:col min="8" max="8" width="51" hidden="0" customWidth="1"/>
    <x:col min="9" max="9" width="63" hidden="0" customWidth="1"/>
    <x:col min="10" max="10" width="21" hidden="0" customWidth="1"/>
    <x:col min="11" max="11" width="20" hidden="0" customWidth="1"/>
    <x:col min="12" max="12" width="10" hidden="0" customWidth="1"/>
  </x:cols>
  <x:sheetData>
    <x:row r="1" ht="39" customHeight="1">
      <x:c r="A1" s="70" t="str">
        <x:v>V136 · BACKLOG ART ET QA — 324 INTERVENTIONS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</x:row>
    <x:row r="2" ht="38" customHeight="1">
      <x:c r="A2" s="74" t="str">
        <x:v>Six étapes de fidélité par modèle. Aucun état « validé » n'est renseigné sans preuves de révision humaine.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</x:row>
    <x:row r="4" ht="32" customHeight="1">
      <x:c r="A4" s="78" t="str">
        <x:v>ID tâche</x:v>
      </x:c>
      <x:c r="B4" s="78" t="str">
        <x:v>ID gauntlet</x:v>
      </x:c>
      <x:c r="C4" s="78" t="str">
        <x:v>Modèle</x:v>
      </x:c>
      <x:c r="D4" s="78" t="str">
        <x:v>Tâche</x:v>
      </x:c>
      <x:c r="E4" s="78" t="str">
        <x:v>Phase</x:v>
      </x:c>
      <x:c r="F4" s="78" t="str">
        <x:v>État</x:v>
      </x:c>
      <x:c r="G4" s="78" t="str">
        <x:v>Priorité</x:v>
      </x:c>
      <x:c r="H4" s="78" t="str">
        <x:v>Preuve nécessaire</x:v>
      </x:c>
      <x:c r="I4" s="78" t="str">
        <x:v>Référence</x:v>
      </x:c>
      <x:c r="J4" s="78" t="str">
        <x:v>Responsable</x:v>
      </x:c>
      <x:c r="K4" s="78" t="str">
        <x:v>Localisation</x:v>
      </x:c>
      <x:c r="L4" s="78" t="str">
        <x:v>%</x:v>
      </x:c>
    </x:row>
    <x:row r="5" ht="35" customHeight="1">
      <x:c r="A5" s="79" t="str">
        <x:v>V136-jungle-hunter-01</x:v>
      </x:c>
      <x:c r="B5" s="79" t="str">
        <x:v>jungle-hunter</x:v>
      </x:c>
      <x:c r="C5" s="79" t="str">
        <x:v>Jungle Hunter · 1987</x:v>
      </x:c>
      <x:c r="D5" s="79" t="str">
        <x:v>Plan face/dessus/profil</x:v>
      </x:c>
      <x:c r="E5" s="79" t="str">
        <x:v>Preuve photogramme vérifiée</x:v>
      </x:c>
      <x:c r="F5" s="79" t="str">
        <x:v>OUVERT · plusieurs vues source film/jeu non relevées</x:v>
      </x:c>
      <x:c r="G5" s="79" t="str">
        <x:v>P0</x:v>
      </x:c>
      <x:c r="H5" s="79" t="str">
        <x:v>Photo, prop, capture jeu propre au gauntlet</x:v>
      </x:c>
      <x:c r="I5" s="79" t="str">
        <x:v>https://store.necaonline.com/products/predator-ultimate-jungle-hunter-7-scale-action-figure</x:v>
      </x:c>
      <x:c r="J5" s="79" t="str">
        <x:v>Art / QA</x:v>
      </x:c>
      <x:c r="K5" s="79" t="str">
        <x:v>https://github.com/darknigthmare/yautja-la-longue-chasse/pull/42</x:v>
      </x:c>
      <x:c r="L5" s="79" t="n">
        <x:v>0</x:v>
      </x:c>
    </x:row>
    <x:row r="6" ht="35" customHeight="1">
      <x:c r="A6" s="79" t="str">
        <x:v>V136-jungle-hunter-02</x:v>
      </x:c>
      <x:c r="B6" s="79" t="str">
        <x:v>jungle-hunter</x:v>
      </x:c>
      <x:c r="C6" s="79" t="str">
        <x:v>Jungle Hunter · 1987</x:v>
      </x:c>
      <x:c r="D6" s="79" t="str">
        <x:v>Proportions et silhouette</x:v>
      </x:c>
      <x:c r="E6" s="79" t="str">
        <x:v>Remodelage physique</x:v>
      </x:c>
      <x:c r="F6" s="79" t="str">
        <x:v>PARTIEL · silhouette SVG originale, proportions non mesurées</x:v>
      </x:c>
      <x:c r="G6" s="79" t="str">
        <x:v>P0</x:v>
      </x:c>
      <x:c r="H6" s="79" t="str">
        <x:v>Contrôle alignement poignet et pièces</x:v>
      </x:c>
      <x:c r="I6" s="79" t="str">
        <x:v>https://store.necaonline.com/products/predator-ultimate-jungle-hunter-7-scale-action-figure</x:v>
      </x:c>
      <x:c r="J6" s="79" t="str">
        <x:v>Art / QA</x:v>
      </x:c>
      <x:c r="K6" s="79" t="str">
        <x:v>https://github.com/darknigthmare/yautja-la-longue-chasse/pull/42</x:v>
      </x:c>
      <x:c r="L6" s="79" t="n">
        <x:v>25</x:v>
      </x:c>
    </x:row>
    <x:row r="7" ht="35" customHeight="1">
      <x:c r="A7" s="79" t="str">
        <x:v>V136-jungle-hunter-03</x:v>
      </x:c>
      <x:c r="B7" s="79" t="str">
        <x:v>jungle-hunter</x:v>
      </x:c>
      <x:c r="C7" s="79" t="str">
        <x:v>Jungle Hunter · 1987</x:v>
      </x:c>
      <x:c r="D7" s="79" t="str">
        <x:v>Textures UV et matériaux</x:v>
      </x:c>
      <x:c r="E7" s="79" t="str">
        <x:v>Matériaux et patine</x:v>
      </x:c>
      <x:c r="F7" s="79" t="str">
        <x:v>OUVERT · textures UV/PNG 1:1 et patine à produire</x:v>
      </x:c>
      <x:c r="G7" s="79" t="str">
        <x:v>P0</x:v>
      </x:c>
      <x:c r="H7" s="79" t="str">
        <x:v>PNG indépendants aux bons détails et reflets</x:v>
      </x:c>
      <x:c r="I7" s="79" t="str">
        <x:v>https://store.necaonline.com/products/predator-ultimate-jungle-hunter-7-scale-action-figure</x:v>
      </x:c>
      <x:c r="J7" s="79" t="str">
        <x:v>Art / QA</x:v>
      </x:c>
      <x:c r="K7" s="79" t="str">
        <x:v>https://github.com/darknigthmare/yautja-la-longue-chasse/pull/42</x:v>
      </x:c>
      <x:c r="L7" s="79" t="n">
        <x:v>0</x:v>
      </x:c>
    </x:row>
    <x:row r="8" ht="35" customHeight="1">
      <x:c r="A8" s="79" t="str">
        <x:v>V136-jungle-hunter-04</x:v>
      </x:c>
      <x:c r="B8" s="79" t="str">
        <x:v>jungle-hunter</x:v>
      </x:c>
      <x:c r="C8" s="79" t="str">
        <x:v>Jungle Hunter · 1987</x:v>
      </x:c>
      <x:c r="D8" s="79" t="str">
        <x:v>Charnière et animations</x:v>
      </x:c>
      <x:c r="E8" s="79" t="str">
        <x:v>Ouverture, gestes, pivot</x:v>
      </x:c>
      <x:c r="F8" s="79" t="str">
        <x:v>PARTIEL · capot CSS ; 3 gestes / rig 1:1 manquants</x:v>
      </x:c>
      <x:c r="G8" s="79" t="str">
        <x:v>P0</x:v>
      </x:c>
      <x:c r="H8" s="79" t="str">
        <x:v>Cohérence rig / armurerie / hologramme</x:v>
      </x:c>
      <x:c r="I8" s="79" t="str">
        <x:v>https://store.necaonline.com/products/predator-ultimate-jungle-hunter-7-scale-action-figure</x:v>
      </x:c>
      <x:c r="J8" s="79" t="str">
        <x:v>Art / QA</x:v>
      </x:c>
      <x:c r="K8" s="79" t="str">
        <x:v>https://github.com/darknigthmare/yautja-la-longue-chasse/pull/42</x:v>
      </x:c>
      <x:c r="L8" s="79" t="n">
        <x:v>25</x:v>
      </x:c>
    </x:row>
    <x:row r="9" ht="35" customHeight="1">
      <x:c r="A9" s="79" t="str">
        <x:v>V136-jungle-hunter-05</x:v>
      </x:c>
      <x:c r="B9" s="79" t="str">
        <x:v>jungle-hunter</x:v>
      </x:c>
      <x:c r="C9" s="79" t="str">
        <x:v>Jungle Hunter · 1987</x:v>
      </x:c>
      <x:c r="D9" s="79" t="str">
        <x:v>Rendu jeu et contrôle</x:v>
      </x:c>
      <x:c r="E9" s="79" t="str">
        <x:v>Clavier, tactile, mobile, SFX</x:v>
      </x:c>
      <x:c r="F9" s="79" t="str">
        <x:v>PARTIEL · rendu React + QA autonome, jeu complet à tester</x:v>
      </x:c>
      <x:c r="G9" s="79" t="str">
        <x:v>P0</x:v>
      </x:c>
      <x:c r="H9" s="79" t="str">
        <x:v>Comparaison toutes vues et modes</x:v>
      </x:c>
      <x:c r="I9" s="79" t="str">
        <x:v>https://store.necaonline.com/products/predator-ultimate-jungle-hunter-7-scale-action-figure</x:v>
      </x:c>
      <x:c r="J9" s="79" t="str">
        <x:v>Art / QA</x:v>
      </x:c>
      <x:c r="K9" s="79" t="str">
        <x:v>https://github.com/darknigthmare/yautja-la-longue-chasse/pull/42</x:v>
      </x:c>
      <x:c r="L9" s="79" t="n">
        <x:v>45</x:v>
      </x:c>
    </x:row>
    <x:row r="10" ht="35" customHeight="1">
      <x:c r="A10" s="79" t="str">
        <x:v>V136-jungle-hunter-06</x:v>
      </x:c>
      <x:c r="B10" s="79" t="str">
        <x:v>jungle-hunter</x:v>
      </x:c>
      <x:c r="C10" s="79" t="str">
        <x:v>Jungle Hunter · 1987</x:v>
      </x:c>
      <x:c r="D10" s="79" t="str">
        <x:v>Revue artistique et droits</x:v>
      </x:c>
      <x:c r="E10" s="79" t="str">
        <x:v>Validation finale 1:1</x:v>
      </x:c>
      <x:c r="F10" s="79" t="str">
        <x:v>OUVERT · revue humaine et autorisation IP nécessaires</x:v>
      </x:c>
      <x:c r="G10" s="79" t="str">
        <x:v>P0</x:v>
      </x:c>
      <x:c r="H10" s="79" t="str">
        <x:v>Ne jamais certifier sans approbation manuelle</x:v>
      </x:c>
      <x:c r="I10" s="79" t="str">
        <x:v>https://store.necaonline.com/products/predator-ultimate-jungle-hunter-7-scale-action-figure</x:v>
      </x:c>
      <x:c r="J10" s="79" t="str">
        <x:v>Art / QA</x:v>
      </x:c>
      <x:c r="K10" s="79" t="str">
        <x:v>https://github.com/darknigthmare/yautja-la-longue-chasse/pull/42</x:v>
      </x:c>
      <x:c r="L10" s="79" t="n">
        <x:v>0</x:v>
      </x:c>
    </x:row>
    <x:row r="11" ht="35" customHeight="1">
      <x:c r="A11" s="79" t="str">
        <x:v>V136-city-hunter-01</x:v>
      </x:c>
      <x:c r="B11" s="79" t="str">
        <x:v>city-hunter</x:v>
      </x:c>
      <x:c r="C11" s="79" t="str">
        <x:v>City Hunter · 1990</x:v>
      </x:c>
      <x:c r="D11" s="79" t="str">
        <x:v>Plan face/dessus/profil</x:v>
      </x:c>
      <x:c r="E11" s="79" t="str">
        <x:v>Preuve photogramme vérifiée</x:v>
      </x:c>
      <x:c r="F11" s="79" t="str">
        <x:v>OUVERT · plusieurs vues source film/jeu non relevées</x:v>
      </x:c>
      <x:c r="G11" s="79" t="str">
        <x:v>P0</x:v>
      </x:c>
      <x:c r="H11" s="79" t="str">
        <x:v>Photo, prop, capture jeu propre au gauntlet</x:v>
      </x:c>
      <x:c r="I11" s="79" t="str">
        <x:v>https://propstoreauction.com/lot-details/index/catalog/496/lot/193088/</x:v>
      </x:c>
      <x:c r="J11" s="79" t="str">
        <x:v>Art / QA</x:v>
      </x:c>
      <x:c r="K11" s="79" t="str">
        <x:v>https://github.com/darknigthmare/yautja-la-longue-chasse/pull/42</x:v>
      </x:c>
      <x:c r="L11" s="79" t="n">
        <x:v>0</x:v>
      </x:c>
    </x:row>
    <x:row r="12" ht="35" customHeight="1">
      <x:c r="A12" s="79" t="str">
        <x:v>V136-city-hunter-02</x:v>
      </x:c>
      <x:c r="B12" s="79" t="str">
        <x:v>city-hunter</x:v>
      </x:c>
      <x:c r="C12" s="79" t="str">
        <x:v>City Hunter · 1990</x:v>
      </x:c>
      <x:c r="D12" s="79" t="str">
        <x:v>Proportions et silhouette</x:v>
      </x:c>
      <x:c r="E12" s="79" t="str">
        <x:v>Remodelage physique</x:v>
      </x:c>
      <x:c r="F12" s="79" t="str">
        <x:v>PARTIEL · silhouette SVG originale, proportions non mesurées</x:v>
      </x:c>
      <x:c r="G12" s="79" t="str">
        <x:v>P0</x:v>
      </x:c>
      <x:c r="H12" s="79" t="str">
        <x:v>Contrôle alignement poignet et pièces</x:v>
      </x:c>
      <x:c r="I12" s="79" t="str">
        <x:v>https://propstoreauction.com/lot-details/index/catalog/496/lot/193088/</x:v>
      </x:c>
      <x:c r="J12" s="79" t="str">
        <x:v>Art / QA</x:v>
      </x:c>
      <x:c r="K12" s="79" t="str">
        <x:v>https://github.com/darknigthmare/yautja-la-longue-chasse/pull/42</x:v>
      </x:c>
      <x:c r="L12" s="79" t="n">
        <x:v>25</x:v>
      </x:c>
    </x:row>
    <x:row r="13" ht="35" customHeight="1">
      <x:c r="A13" s="79" t="str">
        <x:v>V136-city-hunter-03</x:v>
      </x:c>
      <x:c r="B13" s="79" t="str">
        <x:v>city-hunter</x:v>
      </x:c>
      <x:c r="C13" s="79" t="str">
        <x:v>City Hunter · 1990</x:v>
      </x:c>
      <x:c r="D13" s="79" t="str">
        <x:v>Textures UV et matériaux</x:v>
      </x:c>
      <x:c r="E13" s="79" t="str">
        <x:v>Matériaux et patine</x:v>
      </x:c>
      <x:c r="F13" s="79" t="str">
        <x:v>OUVERT · textures UV/PNG 1:1 et patine à produire</x:v>
      </x:c>
      <x:c r="G13" s="79" t="str">
        <x:v>P0</x:v>
      </x:c>
      <x:c r="H13" s="79" t="str">
        <x:v>PNG indépendants aux bons détails et reflets</x:v>
      </x:c>
      <x:c r="I13" s="79" t="str">
        <x:v>https://propstoreauction.com/lot-details/index/catalog/496/lot/193088/</x:v>
      </x:c>
      <x:c r="J13" s="79" t="str">
        <x:v>Art / QA</x:v>
      </x:c>
      <x:c r="K13" s="79" t="str">
        <x:v>https://github.com/darknigthmare/yautja-la-longue-chasse/pull/42</x:v>
      </x:c>
      <x:c r="L13" s="79" t="n">
        <x:v>0</x:v>
      </x:c>
    </x:row>
    <x:row r="14" ht="35" customHeight="1">
      <x:c r="A14" s="79" t="str">
        <x:v>V136-city-hunter-04</x:v>
      </x:c>
      <x:c r="B14" s="79" t="str">
        <x:v>city-hunter</x:v>
      </x:c>
      <x:c r="C14" s="79" t="str">
        <x:v>City Hunter · 1990</x:v>
      </x:c>
      <x:c r="D14" s="79" t="str">
        <x:v>Charnière et animations</x:v>
      </x:c>
      <x:c r="E14" s="79" t="str">
        <x:v>Ouverture, gestes, pivot</x:v>
      </x:c>
      <x:c r="F14" s="79" t="str">
        <x:v>PARTIEL · capot CSS ; 3 gestes / rig 1:1 manquants</x:v>
      </x:c>
      <x:c r="G14" s="79" t="str">
        <x:v>P0</x:v>
      </x:c>
      <x:c r="H14" s="79" t="str">
        <x:v>Cohérence rig / armurerie / hologramme</x:v>
      </x:c>
      <x:c r="I14" s="79" t="str">
        <x:v>https://propstoreauction.com/lot-details/index/catalog/496/lot/193088/</x:v>
      </x:c>
      <x:c r="J14" s="79" t="str">
        <x:v>Art / QA</x:v>
      </x:c>
      <x:c r="K14" s="79" t="str">
        <x:v>https://github.com/darknigthmare/yautja-la-longue-chasse/pull/42</x:v>
      </x:c>
      <x:c r="L14" s="79" t="n">
        <x:v>25</x:v>
      </x:c>
    </x:row>
    <x:row r="15" ht="35" customHeight="1">
      <x:c r="A15" s="79" t="str">
        <x:v>V136-city-hunter-05</x:v>
      </x:c>
      <x:c r="B15" s="79" t="str">
        <x:v>city-hunter</x:v>
      </x:c>
      <x:c r="C15" s="79" t="str">
        <x:v>City Hunter · 1990</x:v>
      </x:c>
      <x:c r="D15" s="79" t="str">
        <x:v>Rendu jeu et contrôle</x:v>
      </x:c>
      <x:c r="E15" s="79" t="str">
        <x:v>Clavier, tactile, mobile, SFX</x:v>
      </x:c>
      <x:c r="F15" s="79" t="str">
        <x:v>PARTIEL · rendu React + QA autonome, jeu complet à tester</x:v>
      </x:c>
      <x:c r="G15" s="79" t="str">
        <x:v>P0</x:v>
      </x:c>
      <x:c r="H15" s="79" t="str">
        <x:v>Comparaison toutes vues et modes</x:v>
      </x:c>
      <x:c r="I15" s="79" t="str">
        <x:v>https://propstoreauction.com/lot-details/index/catalog/496/lot/193088/</x:v>
      </x:c>
      <x:c r="J15" s="79" t="str">
        <x:v>Art / QA</x:v>
      </x:c>
      <x:c r="K15" s="79" t="str">
        <x:v>https://github.com/darknigthmare/yautja-la-longue-chasse/pull/42</x:v>
      </x:c>
      <x:c r="L15" s="79" t="n">
        <x:v>45</x:v>
      </x:c>
    </x:row>
    <x:row r="16" ht="35" customHeight="1">
      <x:c r="A16" s="79" t="str">
        <x:v>V136-city-hunter-06</x:v>
      </x:c>
      <x:c r="B16" s="79" t="str">
        <x:v>city-hunter</x:v>
      </x:c>
      <x:c r="C16" s="79" t="str">
        <x:v>City Hunter · 1990</x:v>
      </x:c>
      <x:c r="D16" s="79" t="str">
        <x:v>Revue artistique et droits</x:v>
      </x:c>
      <x:c r="E16" s="79" t="str">
        <x:v>Validation finale 1:1</x:v>
      </x:c>
      <x:c r="F16" s="79" t="str">
        <x:v>OUVERT · revue humaine et autorisation IP nécessaires</x:v>
      </x:c>
      <x:c r="G16" s="79" t="str">
        <x:v>P0</x:v>
      </x:c>
      <x:c r="H16" s="79" t="str">
        <x:v>Ne jamais certifier sans approbation manuelle</x:v>
      </x:c>
      <x:c r="I16" s="79" t="str">
        <x:v>https://propstoreauction.com/lot-details/index/catalog/496/lot/193088/</x:v>
      </x:c>
      <x:c r="J16" s="79" t="str">
        <x:v>Art / QA</x:v>
      </x:c>
      <x:c r="K16" s="79" t="str">
        <x:v>https://github.com/darknigthmare/yautja-la-longue-chasse/pull/42</x:v>
      </x:c>
      <x:c r="L16" s="79" t="n">
        <x:v>0</x:v>
      </x:c>
    </x:row>
    <x:row r="17" ht="35" customHeight="1">
      <x:c r="A17" s="79" t="str">
        <x:v>V136-greyback-01</x:v>
      </x:c>
      <x:c r="B17" s="79" t="str">
        <x:v>greyback</x:v>
      </x:c>
      <x:c r="C17" s="79" t="str">
        <x:v>Greyback / Elder · 1990</x:v>
      </x:c>
      <x:c r="D17" s="79" t="str">
        <x:v>Plan face/dessus/profil</x:v>
      </x:c>
      <x:c r="E17" s="79" t="str">
        <x:v>Preuve photogramme vérifiée</x:v>
      </x:c>
      <x:c r="F17" s="79" t="str">
        <x:v>OUVERT · plusieurs vues source film/jeu non relevées</x:v>
      </x:c>
      <x:c r="G17" s="79" t="str">
        <x:v>P1</x:v>
      </x:c>
      <x:c r="H17" s="79" t="str">
        <x:v>Photo, prop, capture jeu propre au gauntlet</x:v>
      </x:c>
      <x:c r="I17" s="79" t="str">
        <x:v>https://www.20thcenturystudios.com/movies/predator-2</x:v>
      </x:c>
      <x:c r="J17" s="79" t="str">
        <x:v>Art / QA</x:v>
      </x:c>
      <x:c r="K17" s="79" t="str">
        <x:v>https://github.com/darknigthmare/yautja-la-longue-chasse/pull/42</x:v>
      </x:c>
      <x:c r="L17" s="79" t="n">
        <x:v>0</x:v>
      </x:c>
    </x:row>
    <x:row r="18" ht="35" customHeight="1">
      <x:c r="A18" s="79" t="str">
        <x:v>V136-greyback-02</x:v>
      </x:c>
      <x:c r="B18" s="79" t="str">
        <x:v>greyback</x:v>
      </x:c>
      <x:c r="C18" s="79" t="str">
        <x:v>Greyback / Elder · 1990</x:v>
      </x:c>
      <x:c r="D18" s="79" t="str">
        <x:v>Proportions et silhouette</x:v>
      </x:c>
      <x:c r="E18" s="79" t="str">
        <x:v>Remodelage physique</x:v>
      </x:c>
      <x:c r="F18" s="79" t="str">
        <x:v>PARTIEL · silhouette SVG originale, proportions non mesurées</x:v>
      </x:c>
      <x:c r="G18" s="79" t="str">
        <x:v>P1</x:v>
      </x:c>
      <x:c r="H18" s="79" t="str">
        <x:v>Contrôle alignement poignet et pièces</x:v>
      </x:c>
      <x:c r="I18" s="79" t="str">
        <x:v>https://www.20thcenturystudios.com/movies/predator-2</x:v>
      </x:c>
      <x:c r="J18" s="79" t="str">
        <x:v>Art / QA</x:v>
      </x:c>
      <x:c r="K18" s="79" t="str">
        <x:v>https://github.com/darknigthmare/yautja-la-longue-chasse/pull/42</x:v>
      </x:c>
      <x:c r="L18" s="79" t="n">
        <x:v>25</x:v>
      </x:c>
    </x:row>
    <x:row r="19" ht="35" customHeight="1">
      <x:c r="A19" s="79" t="str">
        <x:v>V136-greyback-03</x:v>
      </x:c>
      <x:c r="B19" s="79" t="str">
        <x:v>greyback</x:v>
      </x:c>
      <x:c r="C19" s="79" t="str">
        <x:v>Greyback / Elder · 1990</x:v>
      </x:c>
      <x:c r="D19" s="79" t="str">
        <x:v>Textures UV et matériaux</x:v>
      </x:c>
      <x:c r="E19" s="79" t="str">
        <x:v>Matériaux et patine</x:v>
      </x:c>
      <x:c r="F19" s="79" t="str">
        <x:v>OUVERT · textures UV/PNG 1:1 et patine à produire</x:v>
      </x:c>
      <x:c r="G19" s="79" t="str">
        <x:v>P1</x:v>
      </x:c>
      <x:c r="H19" s="79" t="str">
        <x:v>PNG indépendants aux bons détails et reflets</x:v>
      </x:c>
      <x:c r="I19" s="79" t="str">
        <x:v>https://www.20thcenturystudios.com/movies/predator-2</x:v>
      </x:c>
      <x:c r="J19" s="79" t="str">
        <x:v>Art / QA</x:v>
      </x:c>
      <x:c r="K19" s="79" t="str">
        <x:v>https://github.com/darknigthmare/yautja-la-longue-chasse/pull/42</x:v>
      </x:c>
      <x:c r="L19" s="79" t="n">
        <x:v>0</x:v>
      </x:c>
    </x:row>
    <x:row r="20" ht="35" customHeight="1">
      <x:c r="A20" s="79" t="str">
        <x:v>V136-greyback-04</x:v>
      </x:c>
      <x:c r="B20" s="79" t="str">
        <x:v>greyback</x:v>
      </x:c>
      <x:c r="C20" s="79" t="str">
        <x:v>Greyback / Elder · 1990</x:v>
      </x:c>
      <x:c r="D20" s="79" t="str">
        <x:v>Charnière et animations</x:v>
      </x:c>
      <x:c r="E20" s="79" t="str">
        <x:v>Ouverture, gestes, pivot</x:v>
      </x:c>
      <x:c r="F20" s="79" t="str">
        <x:v>PARTIEL · capot CSS ; 3 gestes / rig 1:1 manquants</x:v>
      </x:c>
      <x:c r="G20" s="79" t="str">
        <x:v>P1</x:v>
      </x:c>
      <x:c r="H20" s="79" t="str">
        <x:v>Cohérence rig / armurerie / hologramme</x:v>
      </x:c>
      <x:c r="I20" s="79" t="str">
        <x:v>https://www.20thcenturystudios.com/movies/predator-2</x:v>
      </x:c>
      <x:c r="J20" s="79" t="str">
        <x:v>Art / QA</x:v>
      </x:c>
      <x:c r="K20" s="79" t="str">
        <x:v>https://github.com/darknigthmare/yautja-la-longue-chasse/pull/42</x:v>
      </x:c>
      <x:c r="L20" s="79" t="n">
        <x:v>25</x:v>
      </x:c>
    </x:row>
    <x:row r="21" ht="35" customHeight="1">
      <x:c r="A21" s="79" t="str">
        <x:v>V136-greyback-05</x:v>
      </x:c>
      <x:c r="B21" s="79" t="str">
        <x:v>greyback</x:v>
      </x:c>
      <x:c r="C21" s="79" t="str">
        <x:v>Greyback / Elder · 1990</x:v>
      </x:c>
      <x:c r="D21" s="79" t="str">
        <x:v>Rendu jeu et contrôle</x:v>
      </x:c>
      <x:c r="E21" s="79" t="str">
        <x:v>Clavier, tactile, mobile, SFX</x:v>
      </x:c>
      <x:c r="F21" s="79" t="str">
        <x:v>PARTIEL · rendu React + QA autonome, jeu complet à tester</x:v>
      </x:c>
      <x:c r="G21" s="79" t="str">
        <x:v>P1</x:v>
      </x:c>
      <x:c r="H21" s="79" t="str">
        <x:v>Comparaison toutes vues et modes</x:v>
      </x:c>
      <x:c r="I21" s="79" t="str">
        <x:v>https://www.20thcenturystudios.com/movies/predator-2</x:v>
      </x:c>
      <x:c r="J21" s="79" t="str">
        <x:v>Art / QA</x:v>
      </x:c>
      <x:c r="K21" s="79" t="str">
        <x:v>https://github.com/darknigthmare/yautja-la-longue-chasse/pull/42</x:v>
      </x:c>
      <x:c r="L21" s="79" t="n">
        <x:v>45</x:v>
      </x:c>
    </x:row>
    <x:row r="22" ht="35" customHeight="1">
      <x:c r="A22" s="79" t="str">
        <x:v>V136-greyback-06</x:v>
      </x:c>
      <x:c r="B22" s="79" t="str">
        <x:v>greyback</x:v>
      </x:c>
      <x:c r="C22" s="79" t="str">
        <x:v>Greyback / Elder · 1990</x:v>
      </x:c>
      <x:c r="D22" s="79" t="str">
        <x:v>Revue artistique et droits</x:v>
      </x:c>
      <x:c r="E22" s="79" t="str">
        <x:v>Validation finale 1:1</x:v>
      </x:c>
      <x:c r="F22" s="79" t="str">
        <x:v>OUVERT · revue humaine et autorisation IP nécessaires</x:v>
      </x:c>
      <x:c r="G22" s="79" t="str">
        <x:v>P1</x:v>
      </x:c>
      <x:c r="H22" s="79" t="str">
        <x:v>Ne jamais certifier sans approbation manuelle</x:v>
      </x:c>
      <x:c r="I22" s="79" t="str">
        <x:v>https://www.20thcenturystudios.com/movies/predator-2</x:v>
      </x:c>
      <x:c r="J22" s="79" t="str">
        <x:v>Art / QA</x:v>
      </x:c>
      <x:c r="K22" s="79" t="str">
        <x:v>https://github.com/darknigthmare/yautja-la-longue-chasse/pull/42</x:v>
      </x:c>
      <x:c r="L22" s="79" t="n">
        <x:v>0</x:v>
      </x:c>
    </x:row>
    <x:row r="23" ht="35" customHeight="1">
      <x:c r="A23" s="79" t="str">
        <x:v>V136-lost-boar-01</x:v>
      </x:c>
      <x:c r="B23" s="79" t="str">
        <x:v>lost-boar</x:v>
      </x:c>
      <x:c r="C23" s="79" t="str">
        <x:v>Boar · Lost Tribe</x:v>
      </x:c>
      <x:c r="D23" s="79" t="str">
        <x:v>Plan face/dessus/profil</x:v>
      </x:c>
      <x:c r="E23" s="79" t="str">
        <x:v>Preuve photogramme vérifiée</x:v>
      </x:c>
      <x:c r="F23" s="79" t="str">
        <x:v>OUVERT · plusieurs vues source film/jeu non relevées</x:v>
      </x:c>
      <x:c r="G23" s="79" t="str">
        <x:v>P1</x:v>
      </x:c>
      <x:c r="H23" s="79" t="str">
        <x:v>Photo, prop, capture jeu propre au gauntlet</x:v>
      </x:c>
      <x:c r="I23" s="79" t="str">
        <x:v>https://store.necaonline.com/blogs/news/predators-introducing-the-lost-tribe-from-our-series-6-action-figures</x:v>
      </x:c>
      <x:c r="J23" s="79" t="str">
        <x:v>Art / QA</x:v>
      </x:c>
      <x:c r="K23" s="79" t="str">
        <x:v>https://github.com/darknigthmare/yautja-la-longue-chasse/pull/42</x:v>
      </x:c>
      <x:c r="L23" s="79" t="n">
        <x:v>0</x:v>
      </x:c>
    </x:row>
    <x:row r="24" ht="35" customHeight="1">
      <x:c r="A24" s="79" t="str">
        <x:v>V136-lost-boar-02</x:v>
      </x:c>
      <x:c r="B24" s="79" t="str">
        <x:v>lost-boar</x:v>
      </x:c>
      <x:c r="C24" s="79" t="str">
        <x:v>Boar · Lost Tribe</x:v>
      </x:c>
      <x:c r="D24" s="79" t="str">
        <x:v>Proportions et silhouette</x:v>
      </x:c>
      <x:c r="E24" s="79" t="str">
        <x:v>Remodelage physique</x:v>
      </x:c>
      <x:c r="F24" s="79" t="str">
        <x:v>PARTIEL · silhouette SVG originale, proportions non mesurées</x:v>
      </x:c>
      <x:c r="G24" s="79" t="str">
        <x:v>P1</x:v>
      </x:c>
      <x:c r="H24" s="79" t="str">
        <x:v>Contrôle alignement poignet et pièces</x:v>
      </x:c>
      <x:c r="I24" s="79" t="str">
        <x:v>https://store.necaonline.com/blogs/news/predators-introducing-the-lost-tribe-from-our-series-6-action-figures</x:v>
      </x:c>
      <x:c r="J24" s="79" t="str">
        <x:v>Art / QA</x:v>
      </x:c>
      <x:c r="K24" s="79" t="str">
        <x:v>https://github.com/darknigthmare/yautja-la-longue-chasse/pull/42</x:v>
      </x:c>
      <x:c r="L24" s="79" t="n">
        <x:v>25</x:v>
      </x:c>
    </x:row>
    <x:row r="25" ht="35" customHeight="1">
      <x:c r="A25" s="79" t="str">
        <x:v>V136-lost-boar-03</x:v>
      </x:c>
      <x:c r="B25" s="79" t="str">
        <x:v>lost-boar</x:v>
      </x:c>
      <x:c r="C25" s="79" t="str">
        <x:v>Boar · Lost Tribe</x:v>
      </x:c>
      <x:c r="D25" s="79" t="str">
        <x:v>Textures UV et matériaux</x:v>
      </x:c>
      <x:c r="E25" s="79" t="str">
        <x:v>Matériaux et patine</x:v>
      </x:c>
      <x:c r="F25" s="79" t="str">
        <x:v>OUVERT · textures UV/PNG 1:1 et patine à produire</x:v>
      </x:c>
      <x:c r="G25" s="79" t="str">
        <x:v>P1</x:v>
      </x:c>
      <x:c r="H25" s="79" t="str">
        <x:v>PNG indépendants aux bons détails et reflets</x:v>
      </x:c>
      <x:c r="I25" s="79" t="str">
        <x:v>https://store.necaonline.com/blogs/news/predators-introducing-the-lost-tribe-from-our-series-6-action-figures</x:v>
      </x:c>
      <x:c r="J25" s="79" t="str">
        <x:v>Art / QA</x:v>
      </x:c>
      <x:c r="K25" s="79" t="str">
        <x:v>https://github.com/darknigthmare/yautja-la-longue-chasse/pull/42</x:v>
      </x:c>
      <x:c r="L25" s="79" t="n">
        <x:v>0</x:v>
      </x:c>
    </x:row>
    <x:row r="26" ht="35" customHeight="1">
      <x:c r="A26" s="79" t="str">
        <x:v>V136-lost-boar-04</x:v>
      </x:c>
      <x:c r="B26" s="79" t="str">
        <x:v>lost-boar</x:v>
      </x:c>
      <x:c r="C26" s="79" t="str">
        <x:v>Boar · Lost Tribe</x:v>
      </x:c>
      <x:c r="D26" s="79" t="str">
        <x:v>Charnière et animations</x:v>
      </x:c>
      <x:c r="E26" s="79" t="str">
        <x:v>Ouverture, gestes, pivot</x:v>
      </x:c>
      <x:c r="F26" s="79" t="str">
        <x:v>PARTIEL · capot CSS ; 3 gestes / rig 1:1 manquants</x:v>
      </x:c>
      <x:c r="G26" s="79" t="str">
        <x:v>P1</x:v>
      </x:c>
      <x:c r="H26" s="79" t="str">
        <x:v>Cohérence rig / armurerie / hologramme</x:v>
      </x:c>
      <x:c r="I26" s="79" t="str">
        <x:v>https://store.necaonline.com/blogs/news/predators-introducing-the-lost-tribe-from-our-series-6-action-figures</x:v>
      </x:c>
      <x:c r="J26" s="79" t="str">
        <x:v>Art / QA</x:v>
      </x:c>
      <x:c r="K26" s="79" t="str">
        <x:v>https://github.com/darknigthmare/yautja-la-longue-chasse/pull/42</x:v>
      </x:c>
      <x:c r="L26" s="79" t="n">
        <x:v>25</x:v>
      </x:c>
    </x:row>
    <x:row r="27" ht="35" customHeight="1">
      <x:c r="A27" s="79" t="str">
        <x:v>V136-lost-boar-05</x:v>
      </x:c>
      <x:c r="B27" s="79" t="str">
        <x:v>lost-boar</x:v>
      </x:c>
      <x:c r="C27" s="79" t="str">
        <x:v>Boar · Lost Tribe</x:v>
      </x:c>
      <x:c r="D27" s="79" t="str">
        <x:v>Rendu jeu et contrôle</x:v>
      </x:c>
      <x:c r="E27" s="79" t="str">
        <x:v>Clavier, tactile, mobile, SFX</x:v>
      </x:c>
      <x:c r="F27" s="79" t="str">
        <x:v>PARTIEL · rendu React + QA autonome, jeu complet à tester</x:v>
      </x:c>
      <x:c r="G27" s="79" t="str">
        <x:v>P1</x:v>
      </x:c>
      <x:c r="H27" s="79" t="str">
        <x:v>Comparaison toutes vues et modes</x:v>
      </x:c>
      <x:c r="I27" s="79" t="str">
        <x:v>https://store.necaonline.com/blogs/news/predators-introducing-the-lost-tribe-from-our-series-6-action-figures</x:v>
      </x:c>
      <x:c r="J27" s="79" t="str">
        <x:v>Art / QA</x:v>
      </x:c>
      <x:c r="K27" s="79" t="str">
        <x:v>https://github.com/darknigthmare/yautja-la-longue-chasse/pull/42</x:v>
      </x:c>
      <x:c r="L27" s="79" t="n">
        <x:v>45</x:v>
      </x:c>
    </x:row>
    <x:row r="28" ht="35" customHeight="1">
      <x:c r="A28" s="79" t="str">
        <x:v>V136-lost-boar-06</x:v>
      </x:c>
      <x:c r="B28" s="79" t="str">
        <x:v>lost-boar</x:v>
      </x:c>
      <x:c r="C28" s="79" t="str">
        <x:v>Boar · Lost Tribe</x:v>
      </x:c>
      <x:c r="D28" s="79" t="str">
        <x:v>Revue artistique et droits</x:v>
      </x:c>
      <x:c r="E28" s="79" t="str">
        <x:v>Validation finale 1:1</x:v>
      </x:c>
      <x:c r="F28" s="79" t="str">
        <x:v>OUVERT · revue humaine et autorisation IP nécessaires</x:v>
      </x:c>
      <x:c r="G28" s="79" t="str">
        <x:v>P1</x:v>
      </x:c>
      <x:c r="H28" s="79" t="str">
        <x:v>Ne jamais certifier sans approbation manuelle</x:v>
      </x:c>
      <x:c r="I28" s="79" t="str">
        <x:v>https://store.necaonline.com/blogs/news/predators-introducing-the-lost-tribe-from-our-series-6-action-figures</x:v>
      </x:c>
      <x:c r="J28" s="79" t="str">
        <x:v>Art / QA</x:v>
      </x:c>
      <x:c r="K28" s="79" t="str">
        <x:v>https://github.com/darknigthmare/yautja-la-longue-chasse/pull/42</x:v>
      </x:c>
      <x:c r="L28" s="79" t="n">
        <x:v>0</x:v>
      </x:c>
    </x:row>
    <x:row r="29" ht="35" customHeight="1">
      <x:c r="A29" s="79" t="str">
        <x:v>V136-lost-shaman-01</x:v>
      </x:c>
      <x:c r="B29" s="79" t="str">
        <x:v>lost-shaman</x:v>
      </x:c>
      <x:c r="C29" s="79" t="str">
        <x:v>Shaman · Lost Tribe</x:v>
      </x:c>
      <x:c r="D29" s="79" t="str">
        <x:v>Plan face/dessus/profil</x:v>
      </x:c>
      <x:c r="E29" s="79" t="str">
        <x:v>Preuve photogramme vérifiée</x:v>
      </x:c>
      <x:c r="F29" s="79" t="str">
        <x:v>OUVERT · plusieurs vues source film/jeu non relevées</x:v>
      </x:c>
      <x:c r="G29" s="79" t="str">
        <x:v>P1</x:v>
      </x:c>
      <x:c r="H29" s="79" t="str">
        <x:v>Photo, prop, capture jeu propre au gauntlet</x:v>
      </x:c>
      <x:c r="I29" s="79" t="str">
        <x:v>https://store.necaonline.com/blogs/news/predators-introducing-the-lost-tribe-from-our-series-6-action-figures</x:v>
      </x:c>
      <x:c r="J29" s="79" t="str">
        <x:v>Art / QA</x:v>
      </x:c>
      <x:c r="K29" s="79" t="str">
        <x:v>https://github.com/darknigthmare/yautja-la-longue-chasse/pull/42</x:v>
      </x:c>
      <x:c r="L29" s="79" t="n">
        <x:v>0</x:v>
      </x:c>
    </x:row>
    <x:row r="30" ht="35" customHeight="1">
      <x:c r="A30" s="79" t="str">
        <x:v>V136-lost-shaman-02</x:v>
      </x:c>
      <x:c r="B30" s="79" t="str">
        <x:v>lost-shaman</x:v>
      </x:c>
      <x:c r="C30" s="79" t="str">
        <x:v>Shaman · Lost Tribe</x:v>
      </x:c>
      <x:c r="D30" s="79" t="str">
        <x:v>Proportions et silhouette</x:v>
      </x:c>
      <x:c r="E30" s="79" t="str">
        <x:v>Remodelage physique</x:v>
      </x:c>
      <x:c r="F30" s="79" t="str">
        <x:v>PARTIEL · silhouette SVG originale, proportions non mesurées</x:v>
      </x:c>
      <x:c r="G30" s="79" t="str">
        <x:v>P1</x:v>
      </x:c>
      <x:c r="H30" s="79" t="str">
        <x:v>Contrôle alignement poignet et pièces</x:v>
      </x:c>
      <x:c r="I30" s="79" t="str">
        <x:v>https://store.necaonline.com/blogs/news/predators-introducing-the-lost-tribe-from-our-series-6-action-figures</x:v>
      </x:c>
      <x:c r="J30" s="79" t="str">
        <x:v>Art / QA</x:v>
      </x:c>
      <x:c r="K30" s="79" t="str">
        <x:v>https://github.com/darknigthmare/yautja-la-longue-chasse/pull/42</x:v>
      </x:c>
      <x:c r="L30" s="79" t="n">
        <x:v>25</x:v>
      </x:c>
    </x:row>
    <x:row r="31" ht="35" customHeight="1">
      <x:c r="A31" s="79" t="str">
        <x:v>V136-lost-shaman-03</x:v>
      </x:c>
      <x:c r="B31" s="79" t="str">
        <x:v>lost-shaman</x:v>
      </x:c>
      <x:c r="C31" s="79" t="str">
        <x:v>Shaman · Lost Tribe</x:v>
      </x:c>
      <x:c r="D31" s="79" t="str">
        <x:v>Textures UV et matériaux</x:v>
      </x:c>
      <x:c r="E31" s="79" t="str">
        <x:v>Matériaux et patine</x:v>
      </x:c>
      <x:c r="F31" s="79" t="str">
        <x:v>OUVERT · textures UV/PNG 1:1 et patine à produire</x:v>
      </x:c>
      <x:c r="G31" s="79" t="str">
        <x:v>P1</x:v>
      </x:c>
      <x:c r="H31" s="79" t="str">
        <x:v>PNG indépendants aux bons détails et reflets</x:v>
      </x:c>
      <x:c r="I31" s="79" t="str">
        <x:v>https://store.necaonline.com/blogs/news/predators-introducing-the-lost-tribe-from-our-series-6-action-figures</x:v>
      </x:c>
      <x:c r="J31" s="79" t="str">
        <x:v>Art / QA</x:v>
      </x:c>
      <x:c r="K31" s="79" t="str">
        <x:v>https://github.com/darknigthmare/yautja-la-longue-chasse/pull/42</x:v>
      </x:c>
      <x:c r="L31" s="79" t="n">
        <x:v>0</x:v>
      </x:c>
    </x:row>
    <x:row r="32" ht="35" customHeight="1">
      <x:c r="A32" s="79" t="str">
        <x:v>V136-lost-shaman-04</x:v>
      </x:c>
      <x:c r="B32" s="79" t="str">
        <x:v>lost-shaman</x:v>
      </x:c>
      <x:c r="C32" s="79" t="str">
        <x:v>Shaman · Lost Tribe</x:v>
      </x:c>
      <x:c r="D32" s="79" t="str">
        <x:v>Charnière et animations</x:v>
      </x:c>
      <x:c r="E32" s="79" t="str">
        <x:v>Ouverture, gestes, pivot</x:v>
      </x:c>
      <x:c r="F32" s="79" t="str">
        <x:v>PARTIEL · capot CSS ; 3 gestes / rig 1:1 manquants</x:v>
      </x:c>
      <x:c r="G32" s="79" t="str">
        <x:v>P1</x:v>
      </x:c>
      <x:c r="H32" s="79" t="str">
        <x:v>Cohérence rig / armurerie / hologramme</x:v>
      </x:c>
      <x:c r="I32" s="79" t="str">
        <x:v>https://store.necaonline.com/blogs/news/predators-introducing-the-lost-tribe-from-our-series-6-action-figures</x:v>
      </x:c>
      <x:c r="J32" s="79" t="str">
        <x:v>Art / QA</x:v>
      </x:c>
      <x:c r="K32" s="79" t="str">
        <x:v>https://github.com/darknigthmare/yautja-la-longue-chasse/pull/42</x:v>
      </x:c>
      <x:c r="L32" s="79" t="n">
        <x:v>25</x:v>
      </x:c>
    </x:row>
    <x:row r="33" ht="35" customHeight="1">
      <x:c r="A33" s="79" t="str">
        <x:v>V136-lost-shaman-05</x:v>
      </x:c>
      <x:c r="B33" s="79" t="str">
        <x:v>lost-shaman</x:v>
      </x:c>
      <x:c r="C33" s="79" t="str">
        <x:v>Shaman · Lost Tribe</x:v>
      </x:c>
      <x:c r="D33" s="79" t="str">
        <x:v>Rendu jeu et contrôle</x:v>
      </x:c>
      <x:c r="E33" s="79" t="str">
        <x:v>Clavier, tactile, mobile, SFX</x:v>
      </x:c>
      <x:c r="F33" s="79" t="str">
        <x:v>PARTIEL · rendu React + QA autonome, jeu complet à tester</x:v>
      </x:c>
      <x:c r="G33" s="79" t="str">
        <x:v>P1</x:v>
      </x:c>
      <x:c r="H33" s="79" t="str">
        <x:v>Comparaison toutes vues et modes</x:v>
      </x:c>
      <x:c r="I33" s="79" t="str">
        <x:v>https://store.necaonline.com/blogs/news/predators-introducing-the-lost-tribe-from-our-series-6-action-figures</x:v>
      </x:c>
      <x:c r="J33" s="79" t="str">
        <x:v>Art / QA</x:v>
      </x:c>
      <x:c r="K33" s="79" t="str">
        <x:v>https://github.com/darknigthmare/yautja-la-longue-chasse/pull/42</x:v>
      </x:c>
      <x:c r="L33" s="79" t="n">
        <x:v>45</x:v>
      </x:c>
    </x:row>
    <x:row r="34" ht="35" customHeight="1">
      <x:c r="A34" s="79" t="str">
        <x:v>V136-lost-shaman-06</x:v>
      </x:c>
      <x:c r="B34" s="79" t="str">
        <x:v>lost-shaman</x:v>
      </x:c>
      <x:c r="C34" s="79" t="str">
        <x:v>Shaman · Lost Tribe</x:v>
      </x:c>
      <x:c r="D34" s="79" t="str">
        <x:v>Revue artistique et droits</x:v>
      </x:c>
      <x:c r="E34" s="79" t="str">
        <x:v>Validation finale 1:1</x:v>
      </x:c>
      <x:c r="F34" s="79" t="str">
        <x:v>OUVERT · revue humaine et autorisation IP nécessaires</x:v>
      </x:c>
      <x:c r="G34" s="79" t="str">
        <x:v>P1</x:v>
      </x:c>
      <x:c r="H34" s="79" t="str">
        <x:v>Ne jamais certifier sans approbation manuelle</x:v>
      </x:c>
      <x:c r="I34" s="79" t="str">
        <x:v>https://store.necaonline.com/blogs/news/predators-introducing-the-lost-tribe-from-our-series-6-action-figures</x:v>
      </x:c>
      <x:c r="J34" s="79" t="str">
        <x:v>Art / QA</x:v>
      </x:c>
      <x:c r="K34" s="79" t="str">
        <x:v>https://github.com/darknigthmare/yautja-la-longue-chasse/pull/42</x:v>
      </x:c>
      <x:c r="L34" s="79" t="n">
        <x:v>0</x:v>
      </x:c>
    </x:row>
    <x:row r="35" ht="35" customHeight="1">
      <x:c r="A35" s="79" t="str">
        <x:v>V136-lost-guardian-01</x:v>
      </x:c>
      <x:c r="B35" s="79" t="str">
        <x:v>lost-guardian</x:v>
      </x:c>
      <x:c r="C35" s="79" t="str">
        <x:v>Guardian · Lost Tribe</x:v>
      </x:c>
      <x:c r="D35" s="79" t="str">
        <x:v>Plan face/dessus/profil</x:v>
      </x:c>
      <x:c r="E35" s="79" t="str">
        <x:v>Preuve photogramme vérifiée</x:v>
      </x:c>
      <x:c r="F35" s="79" t="str">
        <x:v>OUVERT · plusieurs vues source film/jeu non relevées</x:v>
      </x:c>
      <x:c r="G35" s="79" t="str">
        <x:v>P1</x:v>
      </x:c>
      <x:c r="H35" s="79" t="str">
        <x:v>Photo, prop, capture jeu propre au gauntlet</x:v>
      </x:c>
      <x:c r="I35" s="79" t="str">
        <x:v>https://store.necaonline.com/blogs/news/predators-introducing-the-lost-tribe-from-our-series-6-action-figures</x:v>
      </x:c>
      <x:c r="J35" s="79" t="str">
        <x:v>Art / QA</x:v>
      </x:c>
      <x:c r="K35" s="79" t="str">
        <x:v>https://github.com/darknigthmare/yautja-la-longue-chasse/pull/42</x:v>
      </x:c>
      <x:c r="L35" s="79" t="n">
        <x:v>0</x:v>
      </x:c>
    </x:row>
    <x:row r="36" ht="35" customHeight="1">
      <x:c r="A36" s="79" t="str">
        <x:v>V136-lost-guardian-02</x:v>
      </x:c>
      <x:c r="B36" s="79" t="str">
        <x:v>lost-guardian</x:v>
      </x:c>
      <x:c r="C36" s="79" t="str">
        <x:v>Guardian · Lost Tribe</x:v>
      </x:c>
      <x:c r="D36" s="79" t="str">
        <x:v>Proportions et silhouette</x:v>
      </x:c>
      <x:c r="E36" s="79" t="str">
        <x:v>Remodelage physique</x:v>
      </x:c>
      <x:c r="F36" s="79" t="str">
        <x:v>PARTIEL · silhouette SVG originale, proportions non mesurées</x:v>
      </x:c>
      <x:c r="G36" s="79" t="str">
        <x:v>P1</x:v>
      </x:c>
      <x:c r="H36" s="79" t="str">
        <x:v>Contrôle alignement poignet et pièces</x:v>
      </x:c>
      <x:c r="I36" s="79" t="str">
        <x:v>https://store.necaonline.com/blogs/news/predators-introducing-the-lost-tribe-from-our-series-6-action-figures</x:v>
      </x:c>
      <x:c r="J36" s="79" t="str">
        <x:v>Art / QA</x:v>
      </x:c>
      <x:c r="K36" s="79" t="str">
        <x:v>https://github.com/darknigthmare/yautja-la-longue-chasse/pull/42</x:v>
      </x:c>
      <x:c r="L36" s="79" t="n">
        <x:v>25</x:v>
      </x:c>
    </x:row>
    <x:row r="37" ht="35" customHeight="1">
      <x:c r="A37" s="79" t="str">
        <x:v>V136-lost-guardian-03</x:v>
      </x:c>
      <x:c r="B37" s="79" t="str">
        <x:v>lost-guardian</x:v>
      </x:c>
      <x:c r="C37" s="79" t="str">
        <x:v>Guardian · Lost Tribe</x:v>
      </x:c>
      <x:c r="D37" s="79" t="str">
        <x:v>Textures UV et matériaux</x:v>
      </x:c>
      <x:c r="E37" s="79" t="str">
        <x:v>Matériaux et patine</x:v>
      </x:c>
      <x:c r="F37" s="79" t="str">
        <x:v>OUVERT · textures UV/PNG 1:1 et patine à produire</x:v>
      </x:c>
      <x:c r="G37" s="79" t="str">
        <x:v>P1</x:v>
      </x:c>
      <x:c r="H37" s="79" t="str">
        <x:v>PNG indépendants aux bons détails et reflets</x:v>
      </x:c>
      <x:c r="I37" s="79" t="str">
        <x:v>https://store.necaonline.com/blogs/news/predators-introducing-the-lost-tribe-from-our-series-6-action-figures</x:v>
      </x:c>
      <x:c r="J37" s="79" t="str">
        <x:v>Art / QA</x:v>
      </x:c>
      <x:c r="K37" s="79" t="str">
        <x:v>https://github.com/darknigthmare/yautja-la-longue-chasse/pull/42</x:v>
      </x:c>
      <x:c r="L37" s="79" t="n">
        <x:v>0</x:v>
      </x:c>
    </x:row>
    <x:row r="38" ht="35" customHeight="1">
      <x:c r="A38" s="79" t="str">
        <x:v>V136-lost-guardian-04</x:v>
      </x:c>
      <x:c r="B38" s="79" t="str">
        <x:v>lost-guardian</x:v>
      </x:c>
      <x:c r="C38" s="79" t="str">
        <x:v>Guardian · Lost Tribe</x:v>
      </x:c>
      <x:c r="D38" s="79" t="str">
        <x:v>Charnière et animations</x:v>
      </x:c>
      <x:c r="E38" s="79" t="str">
        <x:v>Ouverture, gestes, pivot</x:v>
      </x:c>
      <x:c r="F38" s="79" t="str">
        <x:v>PARTIEL · capot CSS ; 3 gestes / rig 1:1 manquants</x:v>
      </x:c>
      <x:c r="G38" s="79" t="str">
        <x:v>P1</x:v>
      </x:c>
      <x:c r="H38" s="79" t="str">
        <x:v>Cohérence rig / armurerie / hologramme</x:v>
      </x:c>
      <x:c r="I38" s="79" t="str">
        <x:v>https://store.necaonline.com/blogs/news/predators-introducing-the-lost-tribe-from-our-series-6-action-figures</x:v>
      </x:c>
      <x:c r="J38" s="79" t="str">
        <x:v>Art / QA</x:v>
      </x:c>
      <x:c r="K38" s="79" t="str">
        <x:v>https://github.com/darknigthmare/yautja-la-longue-chasse/pull/42</x:v>
      </x:c>
      <x:c r="L38" s="79" t="n">
        <x:v>25</x:v>
      </x:c>
    </x:row>
    <x:row r="39" ht="35" customHeight="1">
      <x:c r="A39" s="79" t="str">
        <x:v>V136-lost-guardian-05</x:v>
      </x:c>
      <x:c r="B39" s="79" t="str">
        <x:v>lost-guardian</x:v>
      </x:c>
      <x:c r="C39" s="79" t="str">
        <x:v>Guardian · Lost Tribe</x:v>
      </x:c>
      <x:c r="D39" s="79" t="str">
        <x:v>Rendu jeu et contrôle</x:v>
      </x:c>
      <x:c r="E39" s="79" t="str">
        <x:v>Clavier, tactile, mobile, SFX</x:v>
      </x:c>
      <x:c r="F39" s="79" t="str">
        <x:v>PARTIEL · rendu React + QA autonome, jeu complet à tester</x:v>
      </x:c>
      <x:c r="G39" s="79" t="str">
        <x:v>P1</x:v>
      </x:c>
      <x:c r="H39" s="79" t="str">
        <x:v>Comparaison toutes vues et modes</x:v>
      </x:c>
      <x:c r="I39" s="79" t="str">
        <x:v>https://store.necaonline.com/blogs/news/predators-introducing-the-lost-tribe-from-our-series-6-action-figures</x:v>
      </x:c>
      <x:c r="J39" s="79" t="str">
        <x:v>Art / QA</x:v>
      </x:c>
      <x:c r="K39" s="79" t="str">
        <x:v>https://github.com/darknigthmare/yautja-la-longue-chasse/pull/42</x:v>
      </x:c>
      <x:c r="L39" s="79" t="n">
        <x:v>45</x:v>
      </x:c>
    </x:row>
    <x:row r="40" ht="35" customHeight="1">
      <x:c r="A40" s="79" t="str">
        <x:v>V136-lost-guardian-06</x:v>
      </x:c>
      <x:c r="B40" s="79" t="str">
        <x:v>lost-guardian</x:v>
      </x:c>
      <x:c r="C40" s="79" t="str">
        <x:v>Guardian · Lost Tribe</x:v>
      </x:c>
      <x:c r="D40" s="79" t="str">
        <x:v>Revue artistique et droits</x:v>
      </x:c>
      <x:c r="E40" s="79" t="str">
        <x:v>Validation finale 1:1</x:v>
      </x:c>
      <x:c r="F40" s="79" t="str">
        <x:v>OUVERT · revue humaine et autorisation IP nécessaires</x:v>
      </x:c>
      <x:c r="G40" s="79" t="str">
        <x:v>P1</x:v>
      </x:c>
      <x:c r="H40" s="79" t="str">
        <x:v>Ne jamais certifier sans approbation manuelle</x:v>
      </x:c>
      <x:c r="I40" s="79" t="str">
        <x:v>https://store.necaonline.com/blogs/news/predators-introducing-the-lost-tribe-from-our-series-6-action-figures</x:v>
      </x:c>
      <x:c r="J40" s="79" t="str">
        <x:v>Art / QA</x:v>
      </x:c>
      <x:c r="K40" s="79" t="str">
        <x:v>https://github.com/darknigthmare/yautja-la-longue-chasse/pull/42</x:v>
      </x:c>
      <x:c r="L40" s="79" t="n">
        <x:v>0</x:v>
      </x:c>
    </x:row>
    <x:row r="41" ht="35" customHeight="1">
      <x:c r="A41" s="79" t="str">
        <x:v>V136-lost-stalker-01</x:v>
      </x:c>
      <x:c r="B41" s="79" t="str">
        <x:v>lost-stalker</x:v>
      </x:c>
      <x:c r="C41" s="79" t="str">
        <x:v>Stalker · Lost Tribe</x:v>
      </x:c>
      <x:c r="D41" s="79" t="str">
        <x:v>Plan face/dessus/profil</x:v>
      </x:c>
      <x:c r="E41" s="79" t="str">
        <x:v>Preuve photogramme vérifiée</x:v>
      </x:c>
      <x:c r="F41" s="79" t="str">
        <x:v>OUVERT · plusieurs vues source film/jeu non relevées</x:v>
      </x:c>
      <x:c r="G41" s="79" t="str">
        <x:v>P1</x:v>
      </x:c>
      <x:c r="H41" s="79" t="str">
        <x:v>Photo, prop, capture jeu propre au gauntlet</x:v>
      </x:c>
      <x:c r="I41" s="79" t="str">
        <x:v>https://store.necaonline.com/blogs/news/predators-introducing-the-lost-tribe-from-our-series-6-action-figures</x:v>
      </x:c>
      <x:c r="J41" s="79" t="str">
        <x:v>Art / QA</x:v>
      </x:c>
      <x:c r="K41" s="79" t="str">
        <x:v>https://github.com/darknigthmare/yautja-la-longue-chasse/pull/42</x:v>
      </x:c>
      <x:c r="L41" s="79" t="n">
        <x:v>0</x:v>
      </x:c>
    </x:row>
    <x:row r="42" ht="35" customHeight="1">
      <x:c r="A42" s="79" t="str">
        <x:v>V136-lost-stalker-02</x:v>
      </x:c>
      <x:c r="B42" s="79" t="str">
        <x:v>lost-stalker</x:v>
      </x:c>
      <x:c r="C42" s="79" t="str">
        <x:v>Stalker · Lost Tribe</x:v>
      </x:c>
      <x:c r="D42" s="79" t="str">
        <x:v>Proportions et silhouette</x:v>
      </x:c>
      <x:c r="E42" s="79" t="str">
        <x:v>Remodelage physique</x:v>
      </x:c>
      <x:c r="F42" s="79" t="str">
        <x:v>PARTIEL · silhouette SVG originale, proportions non mesurées</x:v>
      </x:c>
      <x:c r="G42" s="79" t="str">
        <x:v>P1</x:v>
      </x:c>
      <x:c r="H42" s="79" t="str">
        <x:v>Contrôle alignement poignet et pièces</x:v>
      </x:c>
      <x:c r="I42" s="79" t="str">
        <x:v>https://store.necaonline.com/blogs/news/predators-introducing-the-lost-tribe-from-our-series-6-action-figures</x:v>
      </x:c>
      <x:c r="J42" s="79" t="str">
        <x:v>Art / QA</x:v>
      </x:c>
      <x:c r="K42" s="79" t="str">
        <x:v>https://github.com/darknigthmare/yautja-la-longue-chasse/pull/42</x:v>
      </x:c>
      <x:c r="L42" s="79" t="n">
        <x:v>25</x:v>
      </x:c>
    </x:row>
    <x:row r="43" ht="35" customHeight="1">
      <x:c r="A43" s="79" t="str">
        <x:v>V136-lost-stalker-03</x:v>
      </x:c>
      <x:c r="B43" s="79" t="str">
        <x:v>lost-stalker</x:v>
      </x:c>
      <x:c r="C43" s="79" t="str">
        <x:v>Stalker · Lost Tribe</x:v>
      </x:c>
      <x:c r="D43" s="79" t="str">
        <x:v>Textures UV et matériaux</x:v>
      </x:c>
      <x:c r="E43" s="79" t="str">
        <x:v>Matériaux et patine</x:v>
      </x:c>
      <x:c r="F43" s="79" t="str">
        <x:v>OUVERT · textures UV/PNG 1:1 et patine à produire</x:v>
      </x:c>
      <x:c r="G43" s="79" t="str">
        <x:v>P1</x:v>
      </x:c>
      <x:c r="H43" s="79" t="str">
        <x:v>PNG indépendants aux bons détails et reflets</x:v>
      </x:c>
      <x:c r="I43" s="79" t="str">
        <x:v>https://store.necaonline.com/blogs/news/predators-introducing-the-lost-tribe-from-our-series-6-action-figures</x:v>
      </x:c>
      <x:c r="J43" s="79" t="str">
        <x:v>Art / QA</x:v>
      </x:c>
      <x:c r="K43" s="79" t="str">
        <x:v>https://github.com/darknigthmare/yautja-la-longue-chasse/pull/42</x:v>
      </x:c>
      <x:c r="L43" s="79" t="n">
        <x:v>0</x:v>
      </x:c>
    </x:row>
    <x:row r="44" ht="35" customHeight="1">
      <x:c r="A44" s="79" t="str">
        <x:v>V136-lost-stalker-04</x:v>
      </x:c>
      <x:c r="B44" s="79" t="str">
        <x:v>lost-stalker</x:v>
      </x:c>
      <x:c r="C44" s="79" t="str">
        <x:v>Stalker · Lost Tribe</x:v>
      </x:c>
      <x:c r="D44" s="79" t="str">
        <x:v>Charnière et animations</x:v>
      </x:c>
      <x:c r="E44" s="79" t="str">
        <x:v>Ouverture, gestes, pivot</x:v>
      </x:c>
      <x:c r="F44" s="79" t="str">
        <x:v>PARTIEL · capot CSS ; 3 gestes / rig 1:1 manquants</x:v>
      </x:c>
      <x:c r="G44" s="79" t="str">
        <x:v>P1</x:v>
      </x:c>
      <x:c r="H44" s="79" t="str">
        <x:v>Cohérence rig / armurerie / hologramme</x:v>
      </x:c>
      <x:c r="I44" s="79" t="str">
        <x:v>https://store.necaonline.com/blogs/news/predators-introducing-the-lost-tribe-from-our-series-6-action-figures</x:v>
      </x:c>
      <x:c r="J44" s="79" t="str">
        <x:v>Art / QA</x:v>
      </x:c>
      <x:c r="K44" s="79" t="str">
        <x:v>https://github.com/darknigthmare/yautja-la-longue-chasse/pull/42</x:v>
      </x:c>
      <x:c r="L44" s="79" t="n">
        <x:v>25</x:v>
      </x:c>
    </x:row>
    <x:row r="45" ht="35" customHeight="1">
      <x:c r="A45" s="79" t="str">
        <x:v>V136-lost-stalker-05</x:v>
      </x:c>
      <x:c r="B45" s="79" t="str">
        <x:v>lost-stalker</x:v>
      </x:c>
      <x:c r="C45" s="79" t="str">
        <x:v>Stalker · Lost Tribe</x:v>
      </x:c>
      <x:c r="D45" s="79" t="str">
        <x:v>Rendu jeu et contrôle</x:v>
      </x:c>
      <x:c r="E45" s="79" t="str">
        <x:v>Clavier, tactile, mobile, SFX</x:v>
      </x:c>
      <x:c r="F45" s="79" t="str">
        <x:v>PARTIEL · rendu React + QA autonome, jeu complet à tester</x:v>
      </x:c>
      <x:c r="G45" s="79" t="str">
        <x:v>P1</x:v>
      </x:c>
      <x:c r="H45" s="79" t="str">
        <x:v>Comparaison toutes vues et modes</x:v>
      </x:c>
      <x:c r="I45" s="79" t="str">
        <x:v>https://store.necaonline.com/blogs/news/predators-introducing-the-lost-tribe-from-our-series-6-action-figures</x:v>
      </x:c>
      <x:c r="J45" s="79" t="str">
        <x:v>Art / QA</x:v>
      </x:c>
      <x:c r="K45" s="79" t="str">
        <x:v>https://github.com/darknigthmare/yautja-la-longue-chasse/pull/42</x:v>
      </x:c>
      <x:c r="L45" s="79" t="n">
        <x:v>45</x:v>
      </x:c>
    </x:row>
    <x:row r="46" ht="35" customHeight="1">
      <x:c r="A46" s="79" t="str">
        <x:v>V136-lost-stalker-06</x:v>
      </x:c>
      <x:c r="B46" s="79" t="str">
        <x:v>lost-stalker</x:v>
      </x:c>
      <x:c r="C46" s="79" t="str">
        <x:v>Stalker · Lost Tribe</x:v>
      </x:c>
      <x:c r="D46" s="79" t="str">
        <x:v>Revue artistique et droits</x:v>
      </x:c>
      <x:c r="E46" s="79" t="str">
        <x:v>Validation finale 1:1</x:v>
      </x:c>
      <x:c r="F46" s="79" t="str">
        <x:v>OUVERT · revue humaine et autorisation IP nécessaires</x:v>
      </x:c>
      <x:c r="G46" s="79" t="str">
        <x:v>P1</x:v>
      </x:c>
      <x:c r="H46" s="79" t="str">
        <x:v>Ne jamais certifier sans approbation manuelle</x:v>
      </x:c>
      <x:c r="I46" s="79" t="str">
        <x:v>https://store.necaonline.com/blogs/news/predators-introducing-the-lost-tribe-from-our-series-6-action-figures</x:v>
      </x:c>
      <x:c r="J46" s="79" t="str">
        <x:v>Art / QA</x:v>
      </x:c>
      <x:c r="K46" s="79" t="str">
        <x:v>https://github.com/darknigthmare/yautja-la-longue-chasse/pull/42</x:v>
      </x:c>
      <x:c r="L46" s="79" t="n">
        <x:v>0</x:v>
      </x:c>
    </x:row>
    <x:row r="47" ht="35" customHeight="1">
      <x:c r="A47" s="79" t="str">
        <x:v>V136-lost-snake-01</x:v>
      </x:c>
      <x:c r="B47" s="79" t="str">
        <x:v>lost-snake</x:v>
      </x:c>
      <x:c r="C47" s="79" t="str">
        <x:v>Snake · Lost Tribe</x:v>
      </x:c>
      <x:c r="D47" s="79" t="str">
        <x:v>Plan face/dessus/profil</x:v>
      </x:c>
      <x:c r="E47" s="79" t="str">
        <x:v>Preuve photogramme vérifiée</x:v>
      </x:c>
      <x:c r="F47" s="79" t="str">
        <x:v>OUVERT · plusieurs vues source film/jeu non relevées</x:v>
      </x:c>
      <x:c r="G47" s="79" t="str">
        <x:v>P1</x:v>
      </x:c>
      <x:c r="H47" s="79" t="str">
        <x:v>Photo, prop, capture jeu propre au gauntlet</x:v>
      </x:c>
      <x:c r="I47" s="79" t="str">
        <x:v>https://store.necaonline.com/blogs/news/predators-introducing-the-lost-tribe-from-our-series-6-action-figures</x:v>
      </x:c>
      <x:c r="J47" s="79" t="str">
        <x:v>Art / QA</x:v>
      </x:c>
      <x:c r="K47" s="79" t="str">
        <x:v>https://github.com/darknigthmare/yautja-la-longue-chasse/pull/42</x:v>
      </x:c>
      <x:c r="L47" s="79" t="n">
        <x:v>0</x:v>
      </x:c>
    </x:row>
    <x:row r="48" ht="35" customHeight="1">
      <x:c r="A48" s="79" t="str">
        <x:v>V136-lost-snake-02</x:v>
      </x:c>
      <x:c r="B48" s="79" t="str">
        <x:v>lost-snake</x:v>
      </x:c>
      <x:c r="C48" s="79" t="str">
        <x:v>Snake · Lost Tribe</x:v>
      </x:c>
      <x:c r="D48" s="79" t="str">
        <x:v>Proportions et silhouette</x:v>
      </x:c>
      <x:c r="E48" s="79" t="str">
        <x:v>Remodelage physique</x:v>
      </x:c>
      <x:c r="F48" s="79" t="str">
        <x:v>PARTIEL · silhouette SVG originale, proportions non mesurées</x:v>
      </x:c>
      <x:c r="G48" s="79" t="str">
        <x:v>P1</x:v>
      </x:c>
      <x:c r="H48" s="79" t="str">
        <x:v>Contrôle alignement poignet et pièces</x:v>
      </x:c>
      <x:c r="I48" s="79" t="str">
        <x:v>https://store.necaonline.com/blogs/news/predators-introducing-the-lost-tribe-from-our-series-6-action-figures</x:v>
      </x:c>
      <x:c r="J48" s="79" t="str">
        <x:v>Art / QA</x:v>
      </x:c>
      <x:c r="K48" s="79" t="str">
        <x:v>https://github.com/darknigthmare/yautja-la-longue-chasse/pull/42</x:v>
      </x:c>
      <x:c r="L48" s="79" t="n">
        <x:v>25</x:v>
      </x:c>
    </x:row>
    <x:row r="49" ht="35" customHeight="1">
      <x:c r="A49" s="79" t="str">
        <x:v>V136-lost-snake-03</x:v>
      </x:c>
      <x:c r="B49" s="79" t="str">
        <x:v>lost-snake</x:v>
      </x:c>
      <x:c r="C49" s="79" t="str">
        <x:v>Snake · Lost Tribe</x:v>
      </x:c>
      <x:c r="D49" s="79" t="str">
        <x:v>Textures UV et matériaux</x:v>
      </x:c>
      <x:c r="E49" s="79" t="str">
        <x:v>Matériaux et patine</x:v>
      </x:c>
      <x:c r="F49" s="79" t="str">
        <x:v>OUVERT · textures UV/PNG 1:1 et patine à produire</x:v>
      </x:c>
      <x:c r="G49" s="79" t="str">
        <x:v>P1</x:v>
      </x:c>
      <x:c r="H49" s="79" t="str">
        <x:v>PNG indépendants aux bons détails et reflets</x:v>
      </x:c>
      <x:c r="I49" s="79" t="str">
        <x:v>https://store.necaonline.com/blogs/news/predators-introducing-the-lost-tribe-from-our-series-6-action-figures</x:v>
      </x:c>
      <x:c r="J49" s="79" t="str">
        <x:v>Art / QA</x:v>
      </x:c>
      <x:c r="K49" s="79" t="str">
        <x:v>https://github.com/darknigthmare/yautja-la-longue-chasse/pull/42</x:v>
      </x:c>
      <x:c r="L49" s="79" t="n">
        <x:v>0</x:v>
      </x:c>
    </x:row>
    <x:row r="50" ht="35" customHeight="1">
      <x:c r="A50" s="79" t="str">
        <x:v>V136-lost-snake-04</x:v>
      </x:c>
      <x:c r="B50" s="79" t="str">
        <x:v>lost-snake</x:v>
      </x:c>
      <x:c r="C50" s="79" t="str">
        <x:v>Snake · Lost Tribe</x:v>
      </x:c>
      <x:c r="D50" s="79" t="str">
        <x:v>Charnière et animations</x:v>
      </x:c>
      <x:c r="E50" s="79" t="str">
        <x:v>Ouverture, gestes, pivot</x:v>
      </x:c>
      <x:c r="F50" s="79" t="str">
        <x:v>PARTIEL · capot CSS ; 3 gestes / rig 1:1 manquants</x:v>
      </x:c>
      <x:c r="G50" s="79" t="str">
        <x:v>P1</x:v>
      </x:c>
      <x:c r="H50" s="79" t="str">
        <x:v>Cohérence rig / armurerie / hologramme</x:v>
      </x:c>
      <x:c r="I50" s="79" t="str">
        <x:v>https://store.necaonline.com/blogs/news/predators-introducing-the-lost-tribe-from-our-series-6-action-figures</x:v>
      </x:c>
      <x:c r="J50" s="79" t="str">
        <x:v>Art / QA</x:v>
      </x:c>
      <x:c r="K50" s="79" t="str">
        <x:v>https://github.com/darknigthmare/yautja-la-longue-chasse/pull/42</x:v>
      </x:c>
      <x:c r="L50" s="79" t="n">
        <x:v>25</x:v>
      </x:c>
    </x:row>
    <x:row r="51" ht="35" customHeight="1">
      <x:c r="A51" s="79" t="str">
        <x:v>V136-lost-snake-05</x:v>
      </x:c>
      <x:c r="B51" s="79" t="str">
        <x:v>lost-snake</x:v>
      </x:c>
      <x:c r="C51" s="79" t="str">
        <x:v>Snake · Lost Tribe</x:v>
      </x:c>
      <x:c r="D51" s="79" t="str">
        <x:v>Rendu jeu et contrôle</x:v>
      </x:c>
      <x:c r="E51" s="79" t="str">
        <x:v>Clavier, tactile, mobile, SFX</x:v>
      </x:c>
      <x:c r="F51" s="79" t="str">
        <x:v>PARTIEL · rendu React + QA autonome, jeu complet à tester</x:v>
      </x:c>
      <x:c r="G51" s="79" t="str">
        <x:v>P1</x:v>
      </x:c>
      <x:c r="H51" s="79" t="str">
        <x:v>Comparaison toutes vues et modes</x:v>
      </x:c>
      <x:c r="I51" s="79" t="str">
        <x:v>https://store.necaonline.com/blogs/news/predators-introducing-the-lost-tribe-from-our-series-6-action-figures</x:v>
      </x:c>
      <x:c r="J51" s="79" t="str">
        <x:v>Art / QA</x:v>
      </x:c>
      <x:c r="K51" s="79" t="str">
        <x:v>https://github.com/darknigthmare/yautja-la-longue-chasse/pull/42</x:v>
      </x:c>
      <x:c r="L51" s="79" t="n">
        <x:v>45</x:v>
      </x:c>
    </x:row>
    <x:row r="52" ht="35" customHeight="1">
      <x:c r="A52" s="79" t="str">
        <x:v>V136-lost-snake-06</x:v>
      </x:c>
      <x:c r="B52" s="79" t="str">
        <x:v>lost-snake</x:v>
      </x:c>
      <x:c r="C52" s="79" t="str">
        <x:v>Snake · Lost Tribe</x:v>
      </x:c>
      <x:c r="D52" s="79" t="str">
        <x:v>Revue artistique et droits</x:v>
      </x:c>
      <x:c r="E52" s="79" t="str">
        <x:v>Validation finale 1:1</x:v>
      </x:c>
      <x:c r="F52" s="79" t="str">
        <x:v>OUVERT · revue humaine et autorisation IP nécessaires</x:v>
      </x:c>
      <x:c r="G52" s="79" t="str">
        <x:v>P1</x:v>
      </x:c>
      <x:c r="H52" s="79" t="str">
        <x:v>Ne jamais certifier sans approbation manuelle</x:v>
      </x:c>
      <x:c r="I52" s="79" t="str">
        <x:v>https://store.necaonline.com/blogs/news/predators-introducing-the-lost-tribe-from-our-series-6-action-figures</x:v>
      </x:c>
      <x:c r="J52" s="79" t="str">
        <x:v>Art / QA</x:v>
      </x:c>
      <x:c r="K52" s="79" t="str">
        <x:v>https://github.com/darknigthmare/yautja-la-longue-chasse/pull/42</x:v>
      </x:c>
      <x:c r="L52" s="79" t="n">
        <x:v>0</x:v>
      </x:c>
    </x:row>
    <x:row r="53" ht="35" customHeight="1">
      <x:c r="A53" s="79" t="str">
        <x:v>V136-lost-warrior-01</x:v>
      </x:c>
      <x:c r="B53" s="79" t="str">
        <x:v>lost-warrior</x:v>
      </x:c>
      <x:c r="C53" s="79" t="str">
        <x:v>Warrior · Lost Tribe</x:v>
      </x:c>
      <x:c r="D53" s="79" t="str">
        <x:v>Plan face/dessus/profil</x:v>
      </x:c>
      <x:c r="E53" s="79" t="str">
        <x:v>Preuve photogramme vérifiée</x:v>
      </x:c>
      <x:c r="F53" s="79" t="str">
        <x:v>OUVERT · plusieurs vues source film/jeu non relevées</x:v>
      </x:c>
      <x:c r="G53" s="79" t="str">
        <x:v>P1</x:v>
      </x:c>
      <x:c r="H53" s="79" t="str">
        <x:v>Photo, prop, capture jeu propre au gauntlet</x:v>
      </x:c>
      <x:c r="I53" s="79" t="str">
        <x:v>https://store.necaonline.com/blogs/news/predators-introducing-the-lost-tribe-from-our-series-6-action-figures</x:v>
      </x:c>
      <x:c r="J53" s="79" t="str">
        <x:v>Art / QA</x:v>
      </x:c>
      <x:c r="K53" s="79" t="str">
        <x:v>https://github.com/darknigthmare/yautja-la-longue-chasse/pull/42</x:v>
      </x:c>
      <x:c r="L53" s="79" t="n">
        <x:v>0</x:v>
      </x:c>
    </x:row>
    <x:row r="54" ht="35" customHeight="1">
      <x:c r="A54" s="79" t="str">
        <x:v>V136-lost-warrior-02</x:v>
      </x:c>
      <x:c r="B54" s="79" t="str">
        <x:v>lost-warrior</x:v>
      </x:c>
      <x:c r="C54" s="79" t="str">
        <x:v>Warrior · Lost Tribe</x:v>
      </x:c>
      <x:c r="D54" s="79" t="str">
        <x:v>Proportions et silhouette</x:v>
      </x:c>
      <x:c r="E54" s="79" t="str">
        <x:v>Remodelage physique</x:v>
      </x:c>
      <x:c r="F54" s="79" t="str">
        <x:v>PARTIEL · silhouette SVG originale, proportions non mesurées</x:v>
      </x:c>
      <x:c r="G54" s="79" t="str">
        <x:v>P1</x:v>
      </x:c>
      <x:c r="H54" s="79" t="str">
        <x:v>Contrôle alignement poignet et pièces</x:v>
      </x:c>
      <x:c r="I54" s="79" t="str">
        <x:v>https://store.necaonline.com/blogs/news/predators-introducing-the-lost-tribe-from-our-series-6-action-figures</x:v>
      </x:c>
      <x:c r="J54" s="79" t="str">
        <x:v>Art / QA</x:v>
      </x:c>
      <x:c r="K54" s="79" t="str">
        <x:v>https://github.com/darknigthmare/yautja-la-longue-chasse/pull/42</x:v>
      </x:c>
      <x:c r="L54" s="79" t="n">
        <x:v>25</x:v>
      </x:c>
    </x:row>
    <x:row r="55" ht="35" customHeight="1">
      <x:c r="A55" s="79" t="str">
        <x:v>V136-lost-warrior-03</x:v>
      </x:c>
      <x:c r="B55" s="79" t="str">
        <x:v>lost-warrior</x:v>
      </x:c>
      <x:c r="C55" s="79" t="str">
        <x:v>Warrior · Lost Tribe</x:v>
      </x:c>
      <x:c r="D55" s="79" t="str">
        <x:v>Textures UV et matériaux</x:v>
      </x:c>
      <x:c r="E55" s="79" t="str">
        <x:v>Matériaux et patine</x:v>
      </x:c>
      <x:c r="F55" s="79" t="str">
        <x:v>OUVERT · textures UV/PNG 1:1 et patine à produire</x:v>
      </x:c>
      <x:c r="G55" s="79" t="str">
        <x:v>P1</x:v>
      </x:c>
      <x:c r="H55" s="79" t="str">
        <x:v>PNG indépendants aux bons détails et reflets</x:v>
      </x:c>
      <x:c r="I55" s="79" t="str">
        <x:v>https://store.necaonline.com/blogs/news/predators-introducing-the-lost-tribe-from-our-series-6-action-figures</x:v>
      </x:c>
      <x:c r="J55" s="79" t="str">
        <x:v>Art / QA</x:v>
      </x:c>
      <x:c r="K55" s="79" t="str">
        <x:v>https://github.com/darknigthmare/yautja-la-longue-chasse/pull/42</x:v>
      </x:c>
      <x:c r="L55" s="79" t="n">
        <x:v>0</x:v>
      </x:c>
    </x:row>
    <x:row r="56" ht="35" customHeight="1">
      <x:c r="A56" s="79" t="str">
        <x:v>V136-lost-warrior-04</x:v>
      </x:c>
      <x:c r="B56" s="79" t="str">
        <x:v>lost-warrior</x:v>
      </x:c>
      <x:c r="C56" s="79" t="str">
        <x:v>Warrior · Lost Tribe</x:v>
      </x:c>
      <x:c r="D56" s="79" t="str">
        <x:v>Charnière et animations</x:v>
      </x:c>
      <x:c r="E56" s="79" t="str">
        <x:v>Ouverture, gestes, pivot</x:v>
      </x:c>
      <x:c r="F56" s="79" t="str">
        <x:v>PARTIEL · capot CSS ; 3 gestes / rig 1:1 manquants</x:v>
      </x:c>
      <x:c r="G56" s="79" t="str">
        <x:v>P1</x:v>
      </x:c>
      <x:c r="H56" s="79" t="str">
        <x:v>Cohérence rig / armurerie / hologramme</x:v>
      </x:c>
      <x:c r="I56" s="79" t="str">
        <x:v>https://store.necaonline.com/blogs/news/predators-introducing-the-lost-tribe-from-our-series-6-action-figures</x:v>
      </x:c>
      <x:c r="J56" s="79" t="str">
        <x:v>Art / QA</x:v>
      </x:c>
      <x:c r="K56" s="79" t="str">
        <x:v>https://github.com/darknigthmare/yautja-la-longue-chasse/pull/42</x:v>
      </x:c>
      <x:c r="L56" s="79" t="n">
        <x:v>25</x:v>
      </x:c>
    </x:row>
    <x:row r="57" ht="35" customHeight="1">
      <x:c r="A57" s="79" t="str">
        <x:v>V136-lost-warrior-05</x:v>
      </x:c>
      <x:c r="B57" s="79" t="str">
        <x:v>lost-warrior</x:v>
      </x:c>
      <x:c r="C57" s="79" t="str">
        <x:v>Warrior · Lost Tribe</x:v>
      </x:c>
      <x:c r="D57" s="79" t="str">
        <x:v>Rendu jeu et contrôle</x:v>
      </x:c>
      <x:c r="E57" s="79" t="str">
        <x:v>Clavier, tactile, mobile, SFX</x:v>
      </x:c>
      <x:c r="F57" s="79" t="str">
        <x:v>PARTIEL · rendu React + QA autonome, jeu complet à tester</x:v>
      </x:c>
      <x:c r="G57" s="79" t="str">
        <x:v>P1</x:v>
      </x:c>
      <x:c r="H57" s="79" t="str">
        <x:v>Comparaison toutes vues et modes</x:v>
      </x:c>
      <x:c r="I57" s="79" t="str">
        <x:v>https://store.necaonline.com/blogs/news/predators-introducing-the-lost-tribe-from-our-series-6-action-figures</x:v>
      </x:c>
      <x:c r="J57" s="79" t="str">
        <x:v>Art / QA</x:v>
      </x:c>
      <x:c r="K57" s="79" t="str">
        <x:v>https://github.com/darknigthmare/yautja-la-longue-chasse/pull/42</x:v>
      </x:c>
      <x:c r="L57" s="79" t="n">
        <x:v>45</x:v>
      </x:c>
    </x:row>
    <x:row r="58" ht="35" customHeight="1">
      <x:c r="A58" s="79" t="str">
        <x:v>V136-lost-warrior-06</x:v>
      </x:c>
      <x:c r="B58" s="79" t="str">
        <x:v>lost-warrior</x:v>
      </x:c>
      <x:c r="C58" s="79" t="str">
        <x:v>Warrior · Lost Tribe</x:v>
      </x:c>
      <x:c r="D58" s="79" t="str">
        <x:v>Revue artistique et droits</x:v>
      </x:c>
      <x:c r="E58" s="79" t="str">
        <x:v>Validation finale 1:1</x:v>
      </x:c>
      <x:c r="F58" s="79" t="str">
        <x:v>OUVERT · revue humaine et autorisation IP nécessaires</x:v>
      </x:c>
      <x:c r="G58" s="79" t="str">
        <x:v>P1</x:v>
      </x:c>
      <x:c r="H58" s="79" t="str">
        <x:v>Ne jamais certifier sans approbation manuelle</x:v>
      </x:c>
      <x:c r="I58" s="79" t="str">
        <x:v>https://store.necaonline.com/blogs/news/predators-introducing-the-lost-tribe-from-our-series-6-action-figures</x:v>
      </x:c>
      <x:c r="J58" s="79" t="str">
        <x:v>Art / QA</x:v>
      </x:c>
      <x:c r="K58" s="79" t="str">
        <x:v>https://github.com/darknigthmare/yautja-la-longue-chasse/pull/42</x:v>
      </x:c>
      <x:c r="L58" s="79" t="n">
        <x:v>0</x:v>
      </x:c>
    </x:row>
    <x:row r="59" ht="35" customHeight="1">
      <x:c r="A59" s="79" t="str">
        <x:v>V136-lost-scout-01</x:v>
      </x:c>
      <x:c r="B59" s="79" t="str">
        <x:v>lost-scout</x:v>
      </x:c>
      <x:c r="C59" s="79" t="str">
        <x:v>Scout · Lost Tribe</x:v>
      </x:c>
      <x:c r="D59" s="79" t="str">
        <x:v>Plan face/dessus/profil</x:v>
      </x:c>
      <x:c r="E59" s="79" t="str">
        <x:v>Preuve photogramme vérifiée</x:v>
      </x:c>
      <x:c r="F59" s="79" t="str">
        <x:v>OUVERT · plusieurs vues source film/jeu non relevées</x:v>
      </x:c>
      <x:c r="G59" s="79" t="str">
        <x:v>P1</x:v>
      </x:c>
      <x:c r="H59" s="79" t="str">
        <x:v>Photo, prop, capture jeu propre au gauntlet</x:v>
      </x:c>
      <x:c r="I59" s="79" t="str">
        <x:v>https://store.necaonline.com/blogs/news/predators-introducing-the-lost-tribe-from-our-series-6-action-figures</x:v>
      </x:c>
      <x:c r="J59" s="79" t="str">
        <x:v>Art / QA</x:v>
      </x:c>
      <x:c r="K59" s="79" t="str">
        <x:v>https://github.com/darknigthmare/yautja-la-longue-chasse/pull/42</x:v>
      </x:c>
      <x:c r="L59" s="79" t="n">
        <x:v>0</x:v>
      </x:c>
    </x:row>
    <x:row r="60" ht="35" customHeight="1">
      <x:c r="A60" s="79" t="str">
        <x:v>V136-lost-scout-02</x:v>
      </x:c>
      <x:c r="B60" s="79" t="str">
        <x:v>lost-scout</x:v>
      </x:c>
      <x:c r="C60" s="79" t="str">
        <x:v>Scout · Lost Tribe</x:v>
      </x:c>
      <x:c r="D60" s="79" t="str">
        <x:v>Proportions et silhouette</x:v>
      </x:c>
      <x:c r="E60" s="79" t="str">
        <x:v>Remodelage physique</x:v>
      </x:c>
      <x:c r="F60" s="79" t="str">
        <x:v>PARTIEL · silhouette SVG originale, proportions non mesurées</x:v>
      </x:c>
      <x:c r="G60" s="79" t="str">
        <x:v>P1</x:v>
      </x:c>
      <x:c r="H60" s="79" t="str">
        <x:v>Contrôle alignement poignet et pièces</x:v>
      </x:c>
      <x:c r="I60" s="79" t="str">
        <x:v>https://store.necaonline.com/blogs/news/predators-introducing-the-lost-tribe-from-our-series-6-action-figures</x:v>
      </x:c>
      <x:c r="J60" s="79" t="str">
        <x:v>Art / QA</x:v>
      </x:c>
      <x:c r="K60" s="79" t="str">
        <x:v>https://github.com/darknigthmare/yautja-la-longue-chasse/pull/42</x:v>
      </x:c>
      <x:c r="L60" s="79" t="n">
        <x:v>25</x:v>
      </x:c>
    </x:row>
    <x:row r="61" ht="35" customHeight="1">
      <x:c r="A61" s="79" t="str">
        <x:v>V136-lost-scout-03</x:v>
      </x:c>
      <x:c r="B61" s="79" t="str">
        <x:v>lost-scout</x:v>
      </x:c>
      <x:c r="C61" s="79" t="str">
        <x:v>Scout · Lost Tribe</x:v>
      </x:c>
      <x:c r="D61" s="79" t="str">
        <x:v>Textures UV et matériaux</x:v>
      </x:c>
      <x:c r="E61" s="79" t="str">
        <x:v>Matériaux et patine</x:v>
      </x:c>
      <x:c r="F61" s="79" t="str">
        <x:v>OUVERT · textures UV/PNG 1:1 et patine à produire</x:v>
      </x:c>
      <x:c r="G61" s="79" t="str">
        <x:v>P1</x:v>
      </x:c>
      <x:c r="H61" s="79" t="str">
        <x:v>PNG indépendants aux bons détails et reflets</x:v>
      </x:c>
      <x:c r="I61" s="79" t="str">
        <x:v>https://store.necaonline.com/blogs/news/predators-introducing-the-lost-tribe-from-our-series-6-action-figures</x:v>
      </x:c>
      <x:c r="J61" s="79" t="str">
        <x:v>Art / QA</x:v>
      </x:c>
      <x:c r="K61" s="79" t="str">
        <x:v>https://github.com/darknigthmare/yautja-la-longue-chasse/pull/42</x:v>
      </x:c>
      <x:c r="L61" s="79" t="n">
        <x:v>0</x:v>
      </x:c>
    </x:row>
    <x:row r="62" ht="35" customHeight="1">
      <x:c r="A62" s="79" t="str">
        <x:v>V136-lost-scout-04</x:v>
      </x:c>
      <x:c r="B62" s="79" t="str">
        <x:v>lost-scout</x:v>
      </x:c>
      <x:c r="C62" s="79" t="str">
        <x:v>Scout · Lost Tribe</x:v>
      </x:c>
      <x:c r="D62" s="79" t="str">
        <x:v>Charnière et animations</x:v>
      </x:c>
      <x:c r="E62" s="79" t="str">
        <x:v>Ouverture, gestes, pivot</x:v>
      </x:c>
      <x:c r="F62" s="79" t="str">
        <x:v>PARTIEL · capot CSS ; 3 gestes / rig 1:1 manquants</x:v>
      </x:c>
      <x:c r="G62" s="79" t="str">
        <x:v>P1</x:v>
      </x:c>
      <x:c r="H62" s="79" t="str">
        <x:v>Cohérence rig / armurerie / hologramme</x:v>
      </x:c>
      <x:c r="I62" s="79" t="str">
        <x:v>https://store.necaonline.com/blogs/news/predators-introducing-the-lost-tribe-from-our-series-6-action-figures</x:v>
      </x:c>
      <x:c r="J62" s="79" t="str">
        <x:v>Art / QA</x:v>
      </x:c>
      <x:c r="K62" s="79" t="str">
        <x:v>https://github.com/darknigthmare/yautja-la-longue-chasse/pull/42</x:v>
      </x:c>
      <x:c r="L62" s="79" t="n">
        <x:v>25</x:v>
      </x:c>
    </x:row>
    <x:row r="63" ht="35" customHeight="1">
      <x:c r="A63" s="79" t="str">
        <x:v>V136-lost-scout-05</x:v>
      </x:c>
      <x:c r="B63" s="79" t="str">
        <x:v>lost-scout</x:v>
      </x:c>
      <x:c r="C63" s="79" t="str">
        <x:v>Scout · Lost Tribe</x:v>
      </x:c>
      <x:c r="D63" s="79" t="str">
        <x:v>Rendu jeu et contrôle</x:v>
      </x:c>
      <x:c r="E63" s="79" t="str">
        <x:v>Clavier, tactile, mobile, SFX</x:v>
      </x:c>
      <x:c r="F63" s="79" t="str">
        <x:v>PARTIEL · rendu React + QA autonome, jeu complet à tester</x:v>
      </x:c>
      <x:c r="G63" s="79" t="str">
        <x:v>P1</x:v>
      </x:c>
      <x:c r="H63" s="79" t="str">
        <x:v>Comparaison toutes vues et modes</x:v>
      </x:c>
      <x:c r="I63" s="79" t="str">
        <x:v>https://store.necaonline.com/blogs/news/predators-introducing-the-lost-tribe-from-our-series-6-action-figures</x:v>
      </x:c>
      <x:c r="J63" s="79" t="str">
        <x:v>Art / QA</x:v>
      </x:c>
      <x:c r="K63" s="79" t="str">
        <x:v>https://github.com/darknigthmare/yautja-la-longue-chasse/pull/42</x:v>
      </x:c>
      <x:c r="L63" s="79" t="n">
        <x:v>45</x:v>
      </x:c>
    </x:row>
    <x:row r="64" ht="35" customHeight="1">
      <x:c r="A64" s="79" t="str">
        <x:v>V136-lost-scout-06</x:v>
      </x:c>
      <x:c r="B64" s="79" t="str">
        <x:v>lost-scout</x:v>
      </x:c>
      <x:c r="C64" s="79" t="str">
        <x:v>Scout · Lost Tribe</x:v>
      </x:c>
      <x:c r="D64" s="79" t="str">
        <x:v>Revue artistique et droits</x:v>
      </x:c>
      <x:c r="E64" s="79" t="str">
        <x:v>Validation finale 1:1</x:v>
      </x:c>
      <x:c r="F64" s="79" t="str">
        <x:v>OUVERT · revue humaine et autorisation IP nécessaires</x:v>
      </x:c>
      <x:c r="G64" s="79" t="str">
        <x:v>P1</x:v>
      </x:c>
      <x:c r="H64" s="79" t="str">
        <x:v>Ne jamais certifier sans approbation manuelle</x:v>
      </x:c>
      <x:c r="I64" s="79" t="str">
        <x:v>https://store.necaonline.com/blogs/news/predators-introducing-the-lost-tribe-from-our-series-6-action-figures</x:v>
      </x:c>
      <x:c r="J64" s="79" t="str">
        <x:v>Art / QA</x:v>
      </x:c>
      <x:c r="K64" s="79" t="str">
        <x:v>https://github.com/darknigthmare/yautja-la-longue-chasse/pull/42</x:v>
      </x:c>
      <x:c r="L64" s="79" t="n">
        <x:v>0</x:v>
      </x:c>
    </x:row>
    <x:row r="65" ht="35" customHeight="1">
      <x:c r="A65" s="79" t="str">
        <x:v>V136-lost-borg-01</x:v>
      </x:c>
      <x:c r="B65" s="79" t="str">
        <x:v>lost-borg</x:v>
      </x:c>
      <x:c r="C65" s="79" t="str">
        <x:v>Lost / Borg · Lost Tribe</x:v>
      </x:c>
      <x:c r="D65" s="79" t="str">
        <x:v>Plan face/dessus/profil</x:v>
      </x:c>
      <x:c r="E65" s="79" t="str">
        <x:v>Preuve photogramme vérifiée</x:v>
      </x:c>
      <x:c r="F65" s="79" t="str">
        <x:v>OUVERT · plusieurs vues source film/jeu non relevées</x:v>
      </x:c>
      <x:c r="G65" s="79" t="str">
        <x:v>P1</x:v>
      </x:c>
      <x:c r="H65" s="79" t="str">
        <x:v>Photo, prop, capture jeu propre au gauntlet</x:v>
      </x:c>
      <x:c r="I65" s="79" t="str">
        <x:v>https://store.necaonline.com/blogs/news/predators-introducing-the-lost-tribe-from-our-series-6-action-figures</x:v>
      </x:c>
      <x:c r="J65" s="79" t="str">
        <x:v>Art / QA</x:v>
      </x:c>
      <x:c r="K65" s="79" t="str">
        <x:v>https://github.com/darknigthmare/yautja-la-longue-chasse/pull/42</x:v>
      </x:c>
      <x:c r="L65" s="79" t="n">
        <x:v>0</x:v>
      </x:c>
    </x:row>
    <x:row r="66" ht="35" customHeight="1">
      <x:c r="A66" s="79" t="str">
        <x:v>V136-lost-borg-02</x:v>
      </x:c>
      <x:c r="B66" s="79" t="str">
        <x:v>lost-borg</x:v>
      </x:c>
      <x:c r="C66" s="79" t="str">
        <x:v>Lost / Borg · Lost Tribe</x:v>
      </x:c>
      <x:c r="D66" s="79" t="str">
        <x:v>Proportions et silhouette</x:v>
      </x:c>
      <x:c r="E66" s="79" t="str">
        <x:v>Remodelage physique</x:v>
      </x:c>
      <x:c r="F66" s="79" t="str">
        <x:v>PARTIEL · silhouette SVG originale, proportions non mesurées</x:v>
      </x:c>
      <x:c r="G66" s="79" t="str">
        <x:v>P1</x:v>
      </x:c>
      <x:c r="H66" s="79" t="str">
        <x:v>Contrôle alignement poignet et pièces</x:v>
      </x:c>
      <x:c r="I66" s="79" t="str">
        <x:v>https://store.necaonline.com/blogs/news/predators-introducing-the-lost-tribe-from-our-series-6-action-figures</x:v>
      </x:c>
      <x:c r="J66" s="79" t="str">
        <x:v>Art / QA</x:v>
      </x:c>
      <x:c r="K66" s="79" t="str">
        <x:v>https://github.com/darknigthmare/yautja-la-longue-chasse/pull/42</x:v>
      </x:c>
      <x:c r="L66" s="79" t="n">
        <x:v>25</x:v>
      </x:c>
    </x:row>
    <x:row r="67" ht="35" customHeight="1">
      <x:c r="A67" s="79" t="str">
        <x:v>V136-lost-borg-03</x:v>
      </x:c>
      <x:c r="B67" s="79" t="str">
        <x:v>lost-borg</x:v>
      </x:c>
      <x:c r="C67" s="79" t="str">
        <x:v>Lost / Borg · Lost Tribe</x:v>
      </x:c>
      <x:c r="D67" s="79" t="str">
        <x:v>Textures UV et matériaux</x:v>
      </x:c>
      <x:c r="E67" s="79" t="str">
        <x:v>Matériaux et patine</x:v>
      </x:c>
      <x:c r="F67" s="79" t="str">
        <x:v>OUVERT · textures UV/PNG 1:1 et patine à produire</x:v>
      </x:c>
      <x:c r="G67" s="79" t="str">
        <x:v>P1</x:v>
      </x:c>
      <x:c r="H67" s="79" t="str">
        <x:v>PNG indépendants aux bons détails et reflets</x:v>
      </x:c>
      <x:c r="I67" s="79" t="str">
        <x:v>https://store.necaonline.com/blogs/news/predators-introducing-the-lost-tribe-from-our-series-6-action-figures</x:v>
      </x:c>
      <x:c r="J67" s="79" t="str">
        <x:v>Art / QA</x:v>
      </x:c>
      <x:c r="K67" s="79" t="str">
        <x:v>https://github.com/darknigthmare/yautja-la-longue-chasse/pull/42</x:v>
      </x:c>
      <x:c r="L67" s="79" t="n">
        <x:v>0</x:v>
      </x:c>
    </x:row>
    <x:row r="68" ht="35" customHeight="1">
      <x:c r="A68" s="79" t="str">
        <x:v>V136-lost-borg-04</x:v>
      </x:c>
      <x:c r="B68" s="79" t="str">
        <x:v>lost-borg</x:v>
      </x:c>
      <x:c r="C68" s="79" t="str">
        <x:v>Lost / Borg · Lost Tribe</x:v>
      </x:c>
      <x:c r="D68" s="79" t="str">
        <x:v>Charnière et animations</x:v>
      </x:c>
      <x:c r="E68" s="79" t="str">
        <x:v>Ouverture, gestes, pivot</x:v>
      </x:c>
      <x:c r="F68" s="79" t="str">
        <x:v>PARTIEL · capot CSS ; 3 gestes / rig 1:1 manquants</x:v>
      </x:c>
      <x:c r="G68" s="79" t="str">
        <x:v>P1</x:v>
      </x:c>
      <x:c r="H68" s="79" t="str">
        <x:v>Cohérence rig / armurerie / hologramme</x:v>
      </x:c>
      <x:c r="I68" s="79" t="str">
        <x:v>https://store.necaonline.com/blogs/news/predators-introducing-the-lost-tribe-from-our-series-6-action-figures</x:v>
      </x:c>
      <x:c r="J68" s="79" t="str">
        <x:v>Art / QA</x:v>
      </x:c>
      <x:c r="K68" s="79" t="str">
        <x:v>https://github.com/darknigthmare/yautja-la-longue-chasse/pull/42</x:v>
      </x:c>
      <x:c r="L68" s="79" t="n">
        <x:v>25</x:v>
      </x:c>
    </x:row>
    <x:row r="69" ht="35" customHeight="1">
      <x:c r="A69" s="79" t="str">
        <x:v>V136-lost-borg-05</x:v>
      </x:c>
      <x:c r="B69" s="79" t="str">
        <x:v>lost-borg</x:v>
      </x:c>
      <x:c r="C69" s="79" t="str">
        <x:v>Lost / Borg · Lost Tribe</x:v>
      </x:c>
      <x:c r="D69" s="79" t="str">
        <x:v>Rendu jeu et contrôle</x:v>
      </x:c>
      <x:c r="E69" s="79" t="str">
        <x:v>Clavier, tactile, mobile, SFX</x:v>
      </x:c>
      <x:c r="F69" s="79" t="str">
        <x:v>PARTIEL · rendu React + QA autonome, jeu complet à tester</x:v>
      </x:c>
      <x:c r="G69" s="79" t="str">
        <x:v>P1</x:v>
      </x:c>
      <x:c r="H69" s="79" t="str">
        <x:v>Comparaison toutes vues et modes</x:v>
      </x:c>
      <x:c r="I69" s="79" t="str">
        <x:v>https://store.necaonline.com/blogs/news/predators-introducing-the-lost-tribe-from-our-series-6-action-figures</x:v>
      </x:c>
      <x:c r="J69" s="79" t="str">
        <x:v>Art / QA</x:v>
      </x:c>
      <x:c r="K69" s="79" t="str">
        <x:v>https://github.com/darknigthmare/yautja-la-longue-chasse/pull/42</x:v>
      </x:c>
      <x:c r="L69" s="79" t="n">
        <x:v>45</x:v>
      </x:c>
    </x:row>
    <x:row r="70" ht="35" customHeight="1">
      <x:c r="A70" s="79" t="str">
        <x:v>V136-lost-borg-06</x:v>
      </x:c>
      <x:c r="B70" s="79" t="str">
        <x:v>lost-borg</x:v>
      </x:c>
      <x:c r="C70" s="79" t="str">
        <x:v>Lost / Borg · Lost Tribe</x:v>
      </x:c>
      <x:c r="D70" s="79" t="str">
        <x:v>Revue artistique et droits</x:v>
      </x:c>
      <x:c r="E70" s="79" t="str">
        <x:v>Validation finale 1:1</x:v>
      </x:c>
      <x:c r="F70" s="79" t="str">
        <x:v>OUVERT · revue humaine et autorisation IP nécessaires</x:v>
      </x:c>
      <x:c r="G70" s="79" t="str">
        <x:v>P1</x:v>
      </x:c>
      <x:c r="H70" s="79" t="str">
        <x:v>Ne jamais certifier sans approbation manuelle</x:v>
      </x:c>
      <x:c r="I70" s="79" t="str">
        <x:v>https://store.necaonline.com/blogs/news/predators-introducing-the-lost-tribe-from-our-series-6-action-figures</x:v>
      </x:c>
      <x:c r="J70" s="79" t="str">
        <x:v>Art / QA</x:v>
      </x:c>
      <x:c r="K70" s="79" t="str">
        <x:v>https://github.com/darknigthmare/yautja-la-longue-chasse/pull/42</x:v>
      </x:c>
      <x:c r="L70" s="79" t="n">
        <x:v>0</x:v>
      </x:c>
    </x:row>
    <x:row r="71" ht="35" customHeight="1">
      <x:c r="A71" s="79" t="str">
        <x:v>V136-scar-01</x:v>
      </x:c>
      <x:c r="B71" s="79" t="str">
        <x:v>scar</x:v>
      </x:c>
      <x:c r="C71" s="79" t="str">
        <x:v>Scar · AVP 2004</x:v>
      </x:c>
      <x:c r="D71" s="79" t="str">
        <x:v>Plan face/dessus/profil</x:v>
      </x:c>
      <x:c r="E71" s="79" t="str">
        <x:v>Preuve photogramme vérifiée</x:v>
      </x:c>
      <x:c r="F71" s="79" t="str">
        <x:v>OUVERT · plusieurs vues source film/jeu non relevées</x:v>
      </x:c>
      <x:c r="G71" s="79" t="str">
        <x:v>P1</x:v>
      </x:c>
      <x:c r="H71" s="79" t="str">
        <x:v>Photo, prop, capture jeu propre au gauntlet</x:v>
      </x:c>
      <x:c r="I71" s="79" t="str">
        <x:v>https://predator.illfonic.com/</x:v>
      </x:c>
      <x:c r="J71" s="79" t="str">
        <x:v>Art / QA</x:v>
      </x:c>
      <x:c r="K71" s="79" t="str">
        <x:v>https://github.com/darknigthmare/yautja-la-longue-chasse/pull/42</x:v>
      </x:c>
      <x:c r="L71" s="79" t="n">
        <x:v>0</x:v>
      </x:c>
    </x:row>
    <x:row r="72" ht="35" customHeight="1">
      <x:c r="A72" s="79" t="str">
        <x:v>V136-scar-02</x:v>
      </x:c>
      <x:c r="B72" s="79" t="str">
        <x:v>scar</x:v>
      </x:c>
      <x:c r="C72" s="79" t="str">
        <x:v>Scar · AVP 2004</x:v>
      </x:c>
      <x:c r="D72" s="79" t="str">
        <x:v>Proportions et silhouette</x:v>
      </x:c>
      <x:c r="E72" s="79" t="str">
        <x:v>Remodelage physique</x:v>
      </x:c>
      <x:c r="F72" s="79" t="str">
        <x:v>PARTIEL · silhouette SVG originale, proportions non mesurées</x:v>
      </x:c>
      <x:c r="G72" s="79" t="str">
        <x:v>P1</x:v>
      </x:c>
      <x:c r="H72" s="79" t="str">
        <x:v>Contrôle alignement poignet et pièces</x:v>
      </x:c>
      <x:c r="I72" s="79" t="str">
        <x:v>https://predator.illfonic.com/</x:v>
      </x:c>
      <x:c r="J72" s="79" t="str">
        <x:v>Art / QA</x:v>
      </x:c>
      <x:c r="K72" s="79" t="str">
        <x:v>https://github.com/darknigthmare/yautja-la-longue-chasse/pull/42</x:v>
      </x:c>
      <x:c r="L72" s="79" t="n">
        <x:v>25</x:v>
      </x:c>
    </x:row>
    <x:row r="73" ht="35" customHeight="1">
      <x:c r="A73" s="79" t="str">
        <x:v>V136-scar-03</x:v>
      </x:c>
      <x:c r="B73" s="79" t="str">
        <x:v>scar</x:v>
      </x:c>
      <x:c r="C73" s="79" t="str">
        <x:v>Scar · AVP 2004</x:v>
      </x:c>
      <x:c r="D73" s="79" t="str">
        <x:v>Textures UV et matériaux</x:v>
      </x:c>
      <x:c r="E73" s="79" t="str">
        <x:v>Matériaux et patine</x:v>
      </x:c>
      <x:c r="F73" s="79" t="str">
        <x:v>OUVERT · textures UV/PNG 1:1 et patine à produire</x:v>
      </x:c>
      <x:c r="G73" s="79" t="str">
        <x:v>P1</x:v>
      </x:c>
      <x:c r="H73" s="79" t="str">
        <x:v>PNG indépendants aux bons détails et reflets</x:v>
      </x:c>
      <x:c r="I73" s="79" t="str">
        <x:v>https://predator.illfonic.com/</x:v>
      </x:c>
      <x:c r="J73" s="79" t="str">
        <x:v>Art / QA</x:v>
      </x:c>
      <x:c r="K73" s="79" t="str">
        <x:v>https://github.com/darknigthmare/yautja-la-longue-chasse/pull/42</x:v>
      </x:c>
      <x:c r="L73" s="79" t="n">
        <x:v>0</x:v>
      </x:c>
    </x:row>
    <x:row r="74" ht="35" customHeight="1">
      <x:c r="A74" s="79" t="str">
        <x:v>V136-scar-04</x:v>
      </x:c>
      <x:c r="B74" s="79" t="str">
        <x:v>scar</x:v>
      </x:c>
      <x:c r="C74" s="79" t="str">
        <x:v>Scar · AVP 2004</x:v>
      </x:c>
      <x:c r="D74" s="79" t="str">
        <x:v>Charnière et animations</x:v>
      </x:c>
      <x:c r="E74" s="79" t="str">
        <x:v>Ouverture, gestes, pivot</x:v>
      </x:c>
      <x:c r="F74" s="79" t="str">
        <x:v>PARTIEL · capot CSS ; 3 gestes / rig 1:1 manquants</x:v>
      </x:c>
      <x:c r="G74" s="79" t="str">
        <x:v>P1</x:v>
      </x:c>
      <x:c r="H74" s="79" t="str">
        <x:v>Cohérence rig / armurerie / hologramme</x:v>
      </x:c>
      <x:c r="I74" s="79" t="str">
        <x:v>https://predator.illfonic.com/</x:v>
      </x:c>
      <x:c r="J74" s="79" t="str">
        <x:v>Art / QA</x:v>
      </x:c>
      <x:c r="K74" s="79" t="str">
        <x:v>https://github.com/darknigthmare/yautja-la-longue-chasse/pull/42</x:v>
      </x:c>
      <x:c r="L74" s="79" t="n">
        <x:v>25</x:v>
      </x:c>
    </x:row>
    <x:row r="75" ht="35" customHeight="1">
      <x:c r="A75" s="79" t="str">
        <x:v>V136-scar-05</x:v>
      </x:c>
      <x:c r="B75" s="79" t="str">
        <x:v>scar</x:v>
      </x:c>
      <x:c r="C75" s="79" t="str">
        <x:v>Scar · AVP 2004</x:v>
      </x:c>
      <x:c r="D75" s="79" t="str">
        <x:v>Rendu jeu et contrôle</x:v>
      </x:c>
      <x:c r="E75" s="79" t="str">
        <x:v>Clavier, tactile, mobile, SFX</x:v>
      </x:c>
      <x:c r="F75" s="79" t="str">
        <x:v>PARTIEL · rendu React + QA autonome, jeu complet à tester</x:v>
      </x:c>
      <x:c r="G75" s="79" t="str">
        <x:v>P1</x:v>
      </x:c>
      <x:c r="H75" s="79" t="str">
        <x:v>Comparaison toutes vues et modes</x:v>
      </x:c>
      <x:c r="I75" s="79" t="str">
        <x:v>https://predator.illfonic.com/</x:v>
      </x:c>
      <x:c r="J75" s="79" t="str">
        <x:v>Art / QA</x:v>
      </x:c>
      <x:c r="K75" s="79" t="str">
        <x:v>https://github.com/darknigthmare/yautja-la-longue-chasse/pull/42</x:v>
      </x:c>
      <x:c r="L75" s="79" t="n">
        <x:v>45</x:v>
      </x:c>
    </x:row>
    <x:row r="76" ht="35" customHeight="1">
      <x:c r="A76" s="79" t="str">
        <x:v>V136-scar-06</x:v>
      </x:c>
      <x:c r="B76" s="79" t="str">
        <x:v>scar</x:v>
      </x:c>
      <x:c r="C76" s="79" t="str">
        <x:v>Scar · AVP 2004</x:v>
      </x:c>
      <x:c r="D76" s="79" t="str">
        <x:v>Revue artistique et droits</x:v>
      </x:c>
      <x:c r="E76" s="79" t="str">
        <x:v>Validation finale 1:1</x:v>
      </x:c>
      <x:c r="F76" s="79" t="str">
        <x:v>OUVERT · revue humaine et autorisation IP nécessaires</x:v>
      </x:c>
      <x:c r="G76" s="79" t="str">
        <x:v>P1</x:v>
      </x:c>
      <x:c r="H76" s="79" t="str">
        <x:v>Ne jamais certifier sans approbation manuelle</x:v>
      </x:c>
      <x:c r="I76" s="79" t="str">
        <x:v>https://predator.illfonic.com/</x:v>
      </x:c>
      <x:c r="J76" s="79" t="str">
        <x:v>Art / QA</x:v>
      </x:c>
      <x:c r="K76" s="79" t="str">
        <x:v>https://github.com/darknigthmare/yautja-la-longue-chasse/pull/42</x:v>
      </x:c>
      <x:c r="L76" s="79" t="n">
        <x:v>0</x:v>
      </x:c>
    </x:row>
    <x:row r="77" ht="35" customHeight="1">
      <x:c r="A77" s="79" t="str">
        <x:v>V136-celtic-01</x:v>
      </x:c>
      <x:c r="B77" s="79" t="str">
        <x:v>celtic</x:v>
      </x:c>
      <x:c r="C77" s="79" t="str">
        <x:v>Celtic · AVP 2004</x:v>
      </x:c>
      <x:c r="D77" s="79" t="str">
        <x:v>Plan face/dessus/profil</x:v>
      </x:c>
      <x:c r="E77" s="79" t="str">
        <x:v>Preuve photogramme vérifiée</x:v>
      </x:c>
      <x:c r="F77" s="79" t="str">
        <x:v>OUVERT · plusieurs vues source film/jeu non relevées</x:v>
      </x:c>
      <x:c r="G77" s="79" t="str">
        <x:v>P1</x:v>
      </x:c>
      <x:c r="H77" s="79" t="str">
        <x:v>Photo, prop, capture jeu propre au gauntlet</x:v>
      </x:c>
      <x:c r="I77" s="79" t="str">
        <x:v>https://predator.illfonic.com/</x:v>
      </x:c>
      <x:c r="J77" s="79" t="str">
        <x:v>Art / QA</x:v>
      </x:c>
      <x:c r="K77" s="79" t="str">
        <x:v>https://github.com/darknigthmare/yautja-la-longue-chasse/pull/42</x:v>
      </x:c>
      <x:c r="L77" s="79" t="n">
        <x:v>0</x:v>
      </x:c>
    </x:row>
    <x:row r="78" ht="35" customHeight="1">
      <x:c r="A78" s="79" t="str">
        <x:v>V136-celtic-02</x:v>
      </x:c>
      <x:c r="B78" s="79" t="str">
        <x:v>celtic</x:v>
      </x:c>
      <x:c r="C78" s="79" t="str">
        <x:v>Celtic · AVP 2004</x:v>
      </x:c>
      <x:c r="D78" s="79" t="str">
        <x:v>Proportions et silhouette</x:v>
      </x:c>
      <x:c r="E78" s="79" t="str">
        <x:v>Remodelage physique</x:v>
      </x:c>
      <x:c r="F78" s="79" t="str">
        <x:v>PARTIEL · silhouette SVG originale, proportions non mesurées</x:v>
      </x:c>
      <x:c r="G78" s="79" t="str">
        <x:v>P1</x:v>
      </x:c>
      <x:c r="H78" s="79" t="str">
        <x:v>Contrôle alignement poignet et pièces</x:v>
      </x:c>
      <x:c r="I78" s="79" t="str">
        <x:v>https://predator.illfonic.com/</x:v>
      </x:c>
      <x:c r="J78" s="79" t="str">
        <x:v>Art / QA</x:v>
      </x:c>
      <x:c r="K78" s="79" t="str">
        <x:v>https://github.com/darknigthmare/yautja-la-longue-chasse/pull/42</x:v>
      </x:c>
      <x:c r="L78" s="79" t="n">
        <x:v>25</x:v>
      </x:c>
    </x:row>
    <x:row r="79" ht="35" customHeight="1">
      <x:c r="A79" s="79" t="str">
        <x:v>V136-celtic-03</x:v>
      </x:c>
      <x:c r="B79" s="79" t="str">
        <x:v>celtic</x:v>
      </x:c>
      <x:c r="C79" s="79" t="str">
        <x:v>Celtic · AVP 2004</x:v>
      </x:c>
      <x:c r="D79" s="79" t="str">
        <x:v>Textures UV et matériaux</x:v>
      </x:c>
      <x:c r="E79" s="79" t="str">
        <x:v>Matériaux et patine</x:v>
      </x:c>
      <x:c r="F79" s="79" t="str">
        <x:v>OUVERT · textures UV/PNG 1:1 et patine à produire</x:v>
      </x:c>
      <x:c r="G79" s="79" t="str">
        <x:v>P1</x:v>
      </x:c>
      <x:c r="H79" s="79" t="str">
        <x:v>PNG indépendants aux bons détails et reflets</x:v>
      </x:c>
      <x:c r="I79" s="79" t="str">
        <x:v>https://predator.illfonic.com/</x:v>
      </x:c>
      <x:c r="J79" s="79" t="str">
        <x:v>Art / QA</x:v>
      </x:c>
      <x:c r="K79" s="79" t="str">
        <x:v>https://github.com/darknigthmare/yautja-la-longue-chasse/pull/42</x:v>
      </x:c>
      <x:c r="L79" s="79" t="n">
        <x:v>0</x:v>
      </x:c>
    </x:row>
    <x:row r="80" ht="35" customHeight="1">
      <x:c r="A80" s="79" t="str">
        <x:v>V136-celtic-04</x:v>
      </x:c>
      <x:c r="B80" s="79" t="str">
        <x:v>celtic</x:v>
      </x:c>
      <x:c r="C80" s="79" t="str">
        <x:v>Celtic · AVP 2004</x:v>
      </x:c>
      <x:c r="D80" s="79" t="str">
        <x:v>Charnière et animations</x:v>
      </x:c>
      <x:c r="E80" s="79" t="str">
        <x:v>Ouverture, gestes, pivot</x:v>
      </x:c>
      <x:c r="F80" s="79" t="str">
        <x:v>PARTIEL · capot CSS ; 3 gestes / rig 1:1 manquants</x:v>
      </x:c>
      <x:c r="G80" s="79" t="str">
        <x:v>P1</x:v>
      </x:c>
      <x:c r="H80" s="79" t="str">
        <x:v>Cohérence rig / armurerie / hologramme</x:v>
      </x:c>
      <x:c r="I80" s="79" t="str">
        <x:v>https://predator.illfonic.com/</x:v>
      </x:c>
      <x:c r="J80" s="79" t="str">
        <x:v>Art / QA</x:v>
      </x:c>
      <x:c r="K80" s="79" t="str">
        <x:v>https://github.com/darknigthmare/yautja-la-longue-chasse/pull/42</x:v>
      </x:c>
      <x:c r="L80" s="79" t="n">
        <x:v>25</x:v>
      </x:c>
    </x:row>
    <x:row r="81" ht="35" customHeight="1">
      <x:c r="A81" s="79" t="str">
        <x:v>V136-celtic-05</x:v>
      </x:c>
      <x:c r="B81" s="79" t="str">
        <x:v>celtic</x:v>
      </x:c>
      <x:c r="C81" s="79" t="str">
        <x:v>Celtic · AVP 2004</x:v>
      </x:c>
      <x:c r="D81" s="79" t="str">
        <x:v>Rendu jeu et contrôle</x:v>
      </x:c>
      <x:c r="E81" s="79" t="str">
        <x:v>Clavier, tactile, mobile, SFX</x:v>
      </x:c>
      <x:c r="F81" s="79" t="str">
        <x:v>PARTIEL · rendu React + QA autonome, jeu complet à tester</x:v>
      </x:c>
      <x:c r="G81" s="79" t="str">
        <x:v>P1</x:v>
      </x:c>
      <x:c r="H81" s="79" t="str">
        <x:v>Comparaison toutes vues et modes</x:v>
      </x:c>
      <x:c r="I81" s="79" t="str">
        <x:v>https://predator.illfonic.com/</x:v>
      </x:c>
      <x:c r="J81" s="79" t="str">
        <x:v>Art / QA</x:v>
      </x:c>
      <x:c r="K81" s="79" t="str">
        <x:v>https://github.com/darknigthmare/yautja-la-longue-chasse/pull/42</x:v>
      </x:c>
      <x:c r="L81" s="79" t="n">
        <x:v>45</x:v>
      </x:c>
    </x:row>
    <x:row r="82" ht="35" customHeight="1">
      <x:c r="A82" s="79" t="str">
        <x:v>V136-celtic-06</x:v>
      </x:c>
      <x:c r="B82" s="79" t="str">
        <x:v>celtic</x:v>
      </x:c>
      <x:c r="C82" s="79" t="str">
        <x:v>Celtic · AVP 2004</x:v>
      </x:c>
      <x:c r="D82" s="79" t="str">
        <x:v>Revue artistique et droits</x:v>
      </x:c>
      <x:c r="E82" s="79" t="str">
        <x:v>Validation finale 1:1</x:v>
      </x:c>
      <x:c r="F82" s="79" t="str">
        <x:v>OUVERT · revue humaine et autorisation IP nécessaires</x:v>
      </x:c>
      <x:c r="G82" s="79" t="str">
        <x:v>P1</x:v>
      </x:c>
      <x:c r="H82" s="79" t="str">
        <x:v>Ne jamais certifier sans approbation manuelle</x:v>
      </x:c>
      <x:c r="I82" s="79" t="str">
        <x:v>https://predator.illfonic.com/</x:v>
      </x:c>
      <x:c r="J82" s="79" t="str">
        <x:v>Art / QA</x:v>
      </x:c>
      <x:c r="K82" s="79" t="str">
        <x:v>https://github.com/darknigthmare/yautja-la-longue-chasse/pull/42</x:v>
      </x:c>
      <x:c r="L82" s="79" t="n">
        <x:v>0</x:v>
      </x:c>
    </x:row>
    <x:row r="83" ht="35" customHeight="1">
      <x:c r="A83" s="79" t="str">
        <x:v>V136-chopper-01</x:v>
      </x:c>
      <x:c r="B83" s="79" t="str">
        <x:v>chopper</x:v>
      </x:c>
      <x:c r="C83" s="79" t="str">
        <x:v>Chopper · AVP 2004</x:v>
      </x:c>
      <x:c r="D83" s="79" t="str">
        <x:v>Plan face/dessus/profil</x:v>
      </x:c>
      <x:c r="E83" s="79" t="str">
        <x:v>Preuve photogramme vérifiée</x:v>
      </x:c>
      <x:c r="F83" s="79" t="str">
        <x:v>OUVERT · plusieurs vues source film/jeu non relevées</x:v>
      </x:c>
      <x:c r="G83" s="79" t="str">
        <x:v>P1</x:v>
      </x:c>
      <x:c r="H83" s="79" t="str">
        <x:v>Photo, prop, capture jeu propre au gauntlet</x:v>
      </x:c>
      <x:c r="I83" s="79" t="str">
        <x:v>https://predator.illfonic.com/</x:v>
      </x:c>
      <x:c r="J83" s="79" t="str">
        <x:v>Art / QA</x:v>
      </x:c>
      <x:c r="K83" s="79" t="str">
        <x:v>https://github.com/darknigthmare/yautja-la-longue-chasse/pull/42</x:v>
      </x:c>
      <x:c r="L83" s="79" t="n">
        <x:v>0</x:v>
      </x:c>
    </x:row>
    <x:row r="84" ht="35" customHeight="1">
      <x:c r="A84" s="79" t="str">
        <x:v>V136-chopper-02</x:v>
      </x:c>
      <x:c r="B84" s="79" t="str">
        <x:v>chopper</x:v>
      </x:c>
      <x:c r="C84" s="79" t="str">
        <x:v>Chopper · AVP 2004</x:v>
      </x:c>
      <x:c r="D84" s="79" t="str">
        <x:v>Proportions et silhouette</x:v>
      </x:c>
      <x:c r="E84" s="79" t="str">
        <x:v>Remodelage physique</x:v>
      </x:c>
      <x:c r="F84" s="79" t="str">
        <x:v>PARTIEL · silhouette SVG originale, proportions non mesurées</x:v>
      </x:c>
      <x:c r="G84" s="79" t="str">
        <x:v>P1</x:v>
      </x:c>
      <x:c r="H84" s="79" t="str">
        <x:v>Contrôle alignement poignet et pièces</x:v>
      </x:c>
      <x:c r="I84" s="79" t="str">
        <x:v>https://predator.illfonic.com/</x:v>
      </x:c>
      <x:c r="J84" s="79" t="str">
        <x:v>Art / QA</x:v>
      </x:c>
      <x:c r="K84" s="79" t="str">
        <x:v>https://github.com/darknigthmare/yautja-la-longue-chasse/pull/42</x:v>
      </x:c>
      <x:c r="L84" s="79" t="n">
        <x:v>25</x:v>
      </x:c>
    </x:row>
    <x:row r="85" ht="35" customHeight="1">
      <x:c r="A85" s="79" t="str">
        <x:v>V136-chopper-03</x:v>
      </x:c>
      <x:c r="B85" s="79" t="str">
        <x:v>chopper</x:v>
      </x:c>
      <x:c r="C85" s="79" t="str">
        <x:v>Chopper · AVP 2004</x:v>
      </x:c>
      <x:c r="D85" s="79" t="str">
        <x:v>Textures UV et matériaux</x:v>
      </x:c>
      <x:c r="E85" s="79" t="str">
        <x:v>Matériaux et patine</x:v>
      </x:c>
      <x:c r="F85" s="79" t="str">
        <x:v>OUVERT · textures UV/PNG 1:1 et patine à produire</x:v>
      </x:c>
      <x:c r="G85" s="79" t="str">
        <x:v>P1</x:v>
      </x:c>
      <x:c r="H85" s="79" t="str">
        <x:v>PNG indépendants aux bons détails et reflets</x:v>
      </x:c>
      <x:c r="I85" s="79" t="str">
        <x:v>https://predator.illfonic.com/</x:v>
      </x:c>
      <x:c r="J85" s="79" t="str">
        <x:v>Art / QA</x:v>
      </x:c>
      <x:c r="K85" s="79" t="str">
        <x:v>https://github.com/darknigthmare/yautja-la-longue-chasse/pull/42</x:v>
      </x:c>
      <x:c r="L85" s="79" t="n">
        <x:v>0</x:v>
      </x:c>
    </x:row>
    <x:row r="86" ht="35" customHeight="1">
      <x:c r="A86" s="79" t="str">
        <x:v>V136-chopper-04</x:v>
      </x:c>
      <x:c r="B86" s="79" t="str">
        <x:v>chopper</x:v>
      </x:c>
      <x:c r="C86" s="79" t="str">
        <x:v>Chopper · AVP 2004</x:v>
      </x:c>
      <x:c r="D86" s="79" t="str">
        <x:v>Charnière et animations</x:v>
      </x:c>
      <x:c r="E86" s="79" t="str">
        <x:v>Ouverture, gestes, pivot</x:v>
      </x:c>
      <x:c r="F86" s="79" t="str">
        <x:v>PARTIEL · capot CSS ; 3 gestes / rig 1:1 manquants</x:v>
      </x:c>
      <x:c r="G86" s="79" t="str">
        <x:v>P1</x:v>
      </x:c>
      <x:c r="H86" s="79" t="str">
        <x:v>Cohérence rig / armurerie / hologramme</x:v>
      </x:c>
      <x:c r="I86" s="79" t="str">
        <x:v>https://predator.illfonic.com/</x:v>
      </x:c>
      <x:c r="J86" s="79" t="str">
        <x:v>Art / QA</x:v>
      </x:c>
      <x:c r="K86" s="79" t="str">
        <x:v>https://github.com/darknigthmare/yautja-la-longue-chasse/pull/42</x:v>
      </x:c>
      <x:c r="L86" s="79" t="n">
        <x:v>25</x:v>
      </x:c>
    </x:row>
    <x:row r="87" ht="35" customHeight="1">
      <x:c r="A87" s="79" t="str">
        <x:v>V136-chopper-05</x:v>
      </x:c>
      <x:c r="B87" s="79" t="str">
        <x:v>chopper</x:v>
      </x:c>
      <x:c r="C87" s="79" t="str">
        <x:v>Chopper · AVP 2004</x:v>
      </x:c>
      <x:c r="D87" s="79" t="str">
        <x:v>Rendu jeu et contrôle</x:v>
      </x:c>
      <x:c r="E87" s="79" t="str">
        <x:v>Clavier, tactile, mobile, SFX</x:v>
      </x:c>
      <x:c r="F87" s="79" t="str">
        <x:v>PARTIEL · rendu React + QA autonome, jeu complet à tester</x:v>
      </x:c>
      <x:c r="G87" s="79" t="str">
        <x:v>P1</x:v>
      </x:c>
      <x:c r="H87" s="79" t="str">
        <x:v>Comparaison toutes vues et modes</x:v>
      </x:c>
      <x:c r="I87" s="79" t="str">
        <x:v>https://predator.illfonic.com/</x:v>
      </x:c>
      <x:c r="J87" s="79" t="str">
        <x:v>Art / QA</x:v>
      </x:c>
      <x:c r="K87" s="79" t="str">
        <x:v>https://github.com/darknigthmare/yautja-la-longue-chasse/pull/42</x:v>
      </x:c>
      <x:c r="L87" s="79" t="n">
        <x:v>45</x:v>
      </x:c>
    </x:row>
    <x:row r="88" ht="35" customHeight="1">
      <x:c r="A88" s="79" t="str">
        <x:v>V136-chopper-06</x:v>
      </x:c>
      <x:c r="B88" s="79" t="str">
        <x:v>chopper</x:v>
      </x:c>
      <x:c r="C88" s="79" t="str">
        <x:v>Chopper · AVP 2004</x:v>
      </x:c>
      <x:c r="D88" s="79" t="str">
        <x:v>Revue artistique et droits</x:v>
      </x:c>
      <x:c r="E88" s="79" t="str">
        <x:v>Validation finale 1:1</x:v>
      </x:c>
      <x:c r="F88" s="79" t="str">
        <x:v>OUVERT · revue humaine et autorisation IP nécessaires</x:v>
      </x:c>
      <x:c r="G88" s="79" t="str">
        <x:v>P1</x:v>
      </x:c>
      <x:c r="H88" s="79" t="str">
        <x:v>Ne jamais certifier sans approbation manuelle</x:v>
      </x:c>
      <x:c r="I88" s="79" t="str">
        <x:v>https://predator.illfonic.com/</x:v>
      </x:c>
      <x:c r="J88" s="79" t="str">
        <x:v>Art / QA</x:v>
      </x:c>
      <x:c r="K88" s="79" t="str">
        <x:v>https://github.com/darknigthmare/yautja-la-longue-chasse/pull/42</x:v>
      </x:c>
      <x:c r="L88" s="79" t="n">
        <x:v>0</x:v>
      </x:c>
    </x:row>
    <x:row r="89" ht="35" customHeight="1">
      <x:c r="A89" s="79" t="str">
        <x:v>V136-avp-elder-01</x:v>
      </x:c>
      <x:c r="B89" s="79" t="str">
        <x:v>avp-elder</x:v>
      </x:c>
      <x:c r="C89" s="79" t="str">
        <x:v>Elder · AVP 2004</x:v>
      </x:c>
      <x:c r="D89" s="79" t="str">
        <x:v>Plan face/dessus/profil</x:v>
      </x:c>
      <x:c r="E89" s="79" t="str">
        <x:v>Preuve photogramme vérifiée</x:v>
      </x:c>
      <x:c r="F89" s="79" t="str">
        <x:v>OUVERT · plusieurs vues source film/jeu non relevées</x:v>
      </x:c>
      <x:c r="G89" s="79" t="str">
        <x:v>P1</x:v>
      </x:c>
      <x:c r="H89" s="79" t="str">
        <x:v>Photo, prop, capture jeu propre au gauntlet</x:v>
      </x:c>
      <x:c r="I89" s="79" t="str">
        <x:v>https://www.avpgalaxy.net/merch/neca/predator/series/</x:v>
      </x:c>
      <x:c r="J89" s="79" t="str">
        <x:v>Art / QA</x:v>
      </x:c>
      <x:c r="K89" s="79" t="str">
        <x:v>https://github.com/darknigthmare/yautja-la-longue-chasse/pull/42</x:v>
      </x:c>
      <x:c r="L89" s="79" t="n">
        <x:v>0</x:v>
      </x:c>
    </x:row>
    <x:row r="90" ht="35" customHeight="1">
      <x:c r="A90" s="79" t="str">
        <x:v>V136-avp-elder-02</x:v>
      </x:c>
      <x:c r="B90" s="79" t="str">
        <x:v>avp-elder</x:v>
      </x:c>
      <x:c r="C90" s="79" t="str">
        <x:v>Elder · AVP 2004</x:v>
      </x:c>
      <x:c r="D90" s="79" t="str">
        <x:v>Proportions et silhouette</x:v>
      </x:c>
      <x:c r="E90" s="79" t="str">
        <x:v>Remodelage physique</x:v>
      </x:c>
      <x:c r="F90" s="79" t="str">
        <x:v>PARTIEL · silhouette SVG originale, proportions non mesurées</x:v>
      </x:c>
      <x:c r="G90" s="79" t="str">
        <x:v>P1</x:v>
      </x:c>
      <x:c r="H90" s="79" t="str">
        <x:v>Contrôle alignement poignet et pièces</x:v>
      </x:c>
      <x:c r="I90" s="79" t="str">
        <x:v>https://www.avpgalaxy.net/merch/neca/predator/series/</x:v>
      </x:c>
      <x:c r="J90" s="79" t="str">
        <x:v>Art / QA</x:v>
      </x:c>
      <x:c r="K90" s="79" t="str">
        <x:v>https://github.com/darknigthmare/yautja-la-longue-chasse/pull/42</x:v>
      </x:c>
      <x:c r="L90" s="79" t="n">
        <x:v>25</x:v>
      </x:c>
    </x:row>
    <x:row r="91" ht="35" customHeight="1">
      <x:c r="A91" s="79" t="str">
        <x:v>V136-avp-elder-03</x:v>
      </x:c>
      <x:c r="B91" s="79" t="str">
        <x:v>avp-elder</x:v>
      </x:c>
      <x:c r="C91" s="79" t="str">
        <x:v>Elder · AVP 2004</x:v>
      </x:c>
      <x:c r="D91" s="79" t="str">
        <x:v>Textures UV et matériaux</x:v>
      </x:c>
      <x:c r="E91" s="79" t="str">
        <x:v>Matériaux et patine</x:v>
      </x:c>
      <x:c r="F91" s="79" t="str">
        <x:v>OUVERT · textures UV/PNG 1:1 et patine à produire</x:v>
      </x:c>
      <x:c r="G91" s="79" t="str">
        <x:v>P1</x:v>
      </x:c>
      <x:c r="H91" s="79" t="str">
        <x:v>PNG indépendants aux bons détails et reflets</x:v>
      </x:c>
      <x:c r="I91" s="79" t="str">
        <x:v>https://www.avpgalaxy.net/merch/neca/predator/series/</x:v>
      </x:c>
      <x:c r="J91" s="79" t="str">
        <x:v>Art / QA</x:v>
      </x:c>
      <x:c r="K91" s="79" t="str">
        <x:v>https://github.com/darknigthmare/yautja-la-longue-chasse/pull/42</x:v>
      </x:c>
      <x:c r="L91" s="79" t="n">
        <x:v>0</x:v>
      </x:c>
    </x:row>
    <x:row r="92" ht="35" customHeight="1">
      <x:c r="A92" s="79" t="str">
        <x:v>V136-avp-elder-04</x:v>
      </x:c>
      <x:c r="B92" s="79" t="str">
        <x:v>avp-elder</x:v>
      </x:c>
      <x:c r="C92" s="79" t="str">
        <x:v>Elder · AVP 2004</x:v>
      </x:c>
      <x:c r="D92" s="79" t="str">
        <x:v>Charnière et animations</x:v>
      </x:c>
      <x:c r="E92" s="79" t="str">
        <x:v>Ouverture, gestes, pivot</x:v>
      </x:c>
      <x:c r="F92" s="79" t="str">
        <x:v>PARTIEL · capot CSS ; 3 gestes / rig 1:1 manquants</x:v>
      </x:c>
      <x:c r="G92" s="79" t="str">
        <x:v>P1</x:v>
      </x:c>
      <x:c r="H92" s="79" t="str">
        <x:v>Cohérence rig / armurerie / hologramme</x:v>
      </x:c>
      <x:c r="I92" s="79" t="str">
        <x:v>https://www.avpgalaxy.net/merch/neca/predator/series/</x:v>
      </x:c>
      <x:c r="J92" s="79" t="str">
        <x:v>Art / QA</x:v>
      </x:c>
      <x:c r="K92" s="79" t="str">
        <x:v>https://github.com/darknigthmare/yautja-la-longue-chasse/pull/42</x:v>
      </x:c>
      <x:c r="L92" s="79" t="n">
        <x:v>25</x:v>
      </x:c>
    </x:row>
    <x:row r="93" ht="35" customHeight="1">
      <x:c r="A93" s="79" t="str">
        <x:v>V136-avp-elder-05</x:v>
      </x:c>
      <x:c r="B93" s="79" t="str">
        <x:v>avp-elder</x:v>
      </x:c>
      <x:c r="C93" s="79" t="str">
        <x:v>Elder · AVP 2004</x:v>
      </x:c>
      <x:c r="D93" s="79" t="str">
        <x:v>Rendu jeu et contrôle</x:v>
      </x:c>
      <x:c r="E93" s="79" t="str">
        <x:v>Clavier, tactile, mobile, SFX</x:v>
      </x:c>
      <x:c r="F93" s="79" t="str">
        <x:v>PARTIEL · rendu React + QA autonome, jeu complet à tester</x:v>
      </x:c>
      <x:c r="G93" s="79" t="str">
        <x:v>P1</x:v>
      </x:c>
      <x:c r="H93" s="79" t="str">
        <x:v>Comparaison toutes vues et modes</x:v>
      </x:c>
      <x:c r="I93" s="79" t="str">
        <x:v>https://www.avpgalaxy.net/merch/neca/predator/series/</x:v>
      </x:c>
      <x:c r="J93" s="79" t="str">
        <x:v>Art / QA</x:v>
      </x:c>
      <x:c r="K93" s="79" t="str">
        <x:v>https://github.com/darknigthmare/yautja-la-longue-chasse/pull/42</x:v>
      </x:c>
      <x:c r="L93" s="79" t="n">
        <x:v>45</x:v>
      </x:c>
    </x:row>
    <x:row r="94" ht="35" customHeight="1">
      <x:c r="A94" s="79" t="str">
        <x:v>V136-avp-elder-06</x:v>
      </x:c>
      <x:c r="B94" s="79" t="str">
        <x:v>avp-elder</x:v>
      </x:c>
      <x:c r="C94" s="79" t="str">
        <x:v>Elder · AVP 2004</x:v>
      </x:c>
      <x:c r="D94" s="79" t="str">
        <x:v>Revue artistique et droits</x:v>
      </x:c>
      <x:c r="E94" s="79" t="str">
        <x:v>Validation finale 1:1</x:v>
      </x:c>
      <x:c r="F94" s="79" t="str">
        <x:v>OUVERT · revue humaine et autorisation IP nécessaires</x:v>
      </x:c>
      <x:c r="G94" s="79" t="str">
        <x:v>P1</x:v>
      </x:c>
      <x:c r="H94" s="79" t="str">
        <x:v>Ne jamais certifier sans approbation manuelle</x:v>
      </x:c>
      <x:c r="I94" s="79" t="str">
        <x:v>https://www.avpgalaxy.net/merch/neca/predator/series/</x:v>
      </x:c>
      <x:c r="J94" s="79" t="str">
        <x:v>Art / QA</x:v>
      </x:c>
      <x:c r="K94" s="79" t="str">
        <x:v>https://github.com/darknigthmare/yautja-la-longue-chasse/pull/42</x:v>
      </x:c>
      <x:c r="L94" s="79" t="n">
        <x:v>0</x:v>
      </x:c>
    </x:row>
    <x:row r="95" ht="35" customHeight="1">
      <x:c r="A95" s="79" t="str">
        <x:v>V136-wolf-01</x:v>
      </x:c>
      <x:c r="B95" s="79" t="str">
        <x:v>wolf</x:v>
      </x:c>
      <x:c r="C95" s="79" t="str">
        <x:v>Wolf · AVP-R 2007</x:v>
      </x:c>
      <x:c r="D95" s="79" t="str">
        <x:v>Plan face/dessus/profil</x:v>
      </x:c>
      <x:c r="E95" s="79" t="str">
        <x:v>Preuve photogramme vérifiée</x:v>
      </x:c>
      <x:c r="F95" s="79" t="str">
        <x:v>OUVERT · plusieurs vues source film/jeu non relevées</x:v>
      </x:c>
      <x:c r="G95" s="79" t="str">
        <x:v>P0</x:v>
      </x:c>
      <x:c r="H95" s="79" t="str">
        <x:v>Photo, prop, capture jeu propre au gauntlet</x:v>
      </x:c>
      <x:c r="I95" s="79" t="str">
        <x:v>https://propstoreauction.com/lot-details/index/catalog/347/lot/112704</x:v>
      </x:c>
      <x:c r="J95" s="79" t="str">
        <x:v>Art / QA</x:v>
      </x:c>
      <x:c r="K95" s="79" t="str">
        <x:v>https://github.com/darknigthmare/yautja-la-longue-chasse/pull/42</x:v>
      </x:c>
      <x:c r="L95" s="79" t="n">
        <x:v>0</x:v>
      </x:c>
    </x:row>
    <x:row r="96" ht="35" customHeight="1">
      <x:c r="A96" s="79" t="str">
        <x:v>V136-wolf-02</x:v>
      </x:c>
      <x:c r="B96" s="79" t="str">
        <x:v>wolf</x:v>
      </x:c>
      <x:c r="C96" s="79" t="str">
        <x:v>Wolf · AVP-R 2007</x:v>
      </x:c>
      <x:c r="D96" s="79" t="str">
        <x:v>Proportions et silhouette</x:v>
      </x:c>
      <x:c r="E96" s="79" t="str">
        <x:v>Remodelage physique</x:v>
      </x:c>
      <x:c r="F96" s="79" t="str">
        <x:v>PARTIEL · silhouette SVG originale, proportions non mesurées</x:v>
      </x:c>
      <x:c r="G96" s="79" t="str">
        <x:v>P0</x:v>
      </x:c>
      <x:c r="H96" s="79" t="str">
        <x:v>Contrôle alignement poignet et pièces</x:v>
      </x:c>
      <x:c r="I96" s="79" t="str">
        <x:v>https://propstoreauction.com/lot-details/index/catalog/347/lot/112704</x:v>
      </x:c>
      <x:c r="J96" s="79" t="str">
        <x:v>Art / QA</x:v>
      </x:c>
      <x:c r="K96" s="79" t="str">
        <x:v>https://github.com/darknigthmare/yautja-la-longue-chasse/pull/42</x:v>
      </x:c>
      <x:c r="L96" s="79" t="n">
        <x:v>25</x:v>
      </x:c>
    </x:row>
    <x:row r="97" ht="35" customHeight="1">
      <x:c r="A97" s="79" t="str">
        <x:v>V136-wolf-03</x:v>
      </x:c>
      <x:c r="B97" s="79" t="str">
        <x:v>wolf</x:v>
      </x:c>
      <x:c r="C97" s="79" t="str">
        <x:v>Wolf · AVP-R 2007</x:v>
      </x:c>
      <x:c r="D97" s="79" t="str">
        <x:v>Textures UV et matériaux</x:v>
      </x:c>
      <x:c r="E97" s="79" t="str">
        <x:v>Matériaux et patine</x:v>
      </x:c>
      <x:c r="F97" s="79" t="str">
        <x:v>OUVERT · textures UV/PNG 1:1 et patine à produire</x:v>
      </x:c>
      <x:c r="G97" s="79" t="str">
        <x:v>P0</x:v>
      </x:c>
      <x:c r="H97" s="79" t="str">
        <x:v>PNG indépendants aux bons détails et reflets</x:v>
      </x:c>
      <x:c r="I97" s="79" t="str">
        <x:v>https://propstoreauction.com/lot-details/index/catalog/347/lot/112704</x:v>
      </x:c>
      <x:c r="J97" s="79" t="str">
        <x:v>Art / QA</x:v>
      </x:c>
      <x:c r="K97" s="79" t="str">
        <x:v>https://github.com/darknigthmare/yautja-la-longue-chasse/pull/42</x:v>
      </x:c>
      <x:c r="L97" s="79" t="n">
        <x:v>0</x:v>
      </x:c>
    </x:row>
    <x:row r="98" ht="35" customHeight="1">
      <x:c r="A98" s="79" t="str">
        <x:v>V136-wolf-04</x:v>
      </x:c>
      <x:c r="B98" s="79" t="str">
        <x:v>wolf</x:v>
      </x:c>
      <x:c r="C98" s="79" t="str">
        <x:v>Wolf · AVP-R 2007</x:v>
      </x:c>
      <x:c r="D98" s="79" t="str">
        <x:v>Charnière et animations</x:v>
      </x:c>
      <x:c r="E98" s="79" t="str">
        <x:v>Ouverture, gestes, pivot</x:v>
      </x:c>
      <x:c r="F98" s="79" t="str">
        <x:v>PARTIEL · capot CSS ; 3 gestes / rig 1:1 manquants</x:v>
      </x:c>
      <x:c r="G98" s="79" t="str">
        <x:v>P0</x:v>
      </x:c>
      <x:c r="H98" s="79" t="str">
        <x:v>Cohérence rig / armurerie / hologramme</x:v>
      </x:c>
      <x:c r="I98" s="79" t="str">
        <x:v>https://propstoreauction.com/lot-details/index/catalog/347/lot/112704</x:v>
      </x:c>
      <x:c r="J98" s="79" t="str">
        <x:v>Art / QA</x:v>
      </x:c>
      <x:c r="K98" s="79" t="str">
        <x:v>https://github.com/darknigthmare/yautja-la-longue-chasse/pull/42</x:v>
      </x:c>
      <x:c r="L98" s="79" t="n">
        <x:v>25</x:v>
      </x:c>
    </x:row>
    <x:row r="99" ht="35" customHeight="1">
      <x:c r="A99" s="79" t="str">
        <x:v>V136-wolf-05</x:v>
      </x:c>
      <x:c r="B99" s="79" t="str">
        <x:v>wolf</x:v>
      </x:c>
      <x:c r="C99" s="79" t="str">
        <x:v>Wolf · AVP-R 2007</x:v>
      </x:c>
      <x:c r="D99" s="79" t="str">
        <x:v>Rendu jeu et contrôle</x:v>
      </x:c>
      <x:c r="E99" s="79" t="str">
        <x:v>Clavier, tactile, mobile, SFX</x:v>
      </x:c>
      <x:c r="F99" s="79" t="str">
        <x:v>PARTIEL · rendu React + QA autonome, jeu complet à tester</x:v>
      </x:c>
      <x:c r="G99" s="79" t="str">
        <x:v>P0</x:v>
      </x:c>
      <x:c r="H99" s="79" t="str">
        <x:v>Comparaison toutes vues et modes</x:v>
      </x:c>
      <x:c r="I99" s="79" t="str">
        <x:v>https://propstoreauction.com/lot-details/index/catalog/347/lot/112704</x:v>
      </x:c>
      <x:c r="J99" s="79" t="str">
        <x:v>Art / QA</x:v>
      </x:c>
      <x:c r="K99" s="79" t="str">
        <x:v>https://github.com/darknigthmare/yautja-la-longue-chasse/pull/42</x:v>
      </x:c>
      <x:c r="L99" s="79" t="n">
        <x:v>45</x:v>
      </x:c>
    </x:row>
    <x:row r="100" ht="35" customHeight="1">
      <x:c r="A100" s="79" t="str">
        <x:v>V136-wolf-06</x:v>
      </x:c>
      <x:c r="B100" s="79" t="str">
        <x:v>wolf</x:v>
      </x:c>
      <x:c r="C100" s="79" t="str">
        <x:v>Wolf · AVP-R 2007</x:v>
      </x:c>
      <x:c r="D100" s="79" t="str">
        <x:v>Revue artistique et droits</x:v>
      </x:c>
      <x:c r="E100" s="79" t="str">
        <x:v>Validation finale 1:1</x:v>
      </x:c>
      <x:c r="F100" s="79" t="str">
        <x:v>OUVERT · revue humaine et autorisation IP nécessaires</x:v>
      </x:c>
      <x:c r="G100" s="79" t="str">
        <x:v>P0</x:v>
      </x:c>
      <x:c r="H100" s="79" t="str">
        <x:v>Ne jamais certifier sans approbation manuelle</x:v>
      </x:c>
      <x:c r="I100" s="79" t="str">
        <x:v>https://propstoreauction.com/lot-details/index/catalog/347/lot/112704</x:v>
      </x:c>
      <x:c r="J100" s="79" t="str">
        <x:v>Art / QA</x:v>
      </x:c>
      <x:c r="K100" s="79" t="str">
        <x:v>https://github.com/darknigthmare/yautja-la-longue-chasse/pull/42</x:v>
      </x:c>
      <x:c r="L100" s="79" t="n">
        <x:v>0</x:v>
      </x:c>
    </x:row>
    <x:row r="101" ht="35" customHeight="1">
      <x:c r="A101" s="79" t="str">
        <x:v>V136-captured-classic-01</x:v>
      </x:c>
      <x:c r="B101" s="79" t="str">
        <x:v>captured-classic</x:v>
      </x:c>
      <x:c r="C101" s="79" t="str">
        <x:v>Captured / Classic · Predators 2010</x:v>
      </x:c>
      <x:c r="D101" s="79" t="str">
        <x:v>Plan face/dessus/profil</x:v>
      </x:c>
      <x:c r="E101" s="79" t="str">
        <x:v>Preuve photogramme vérifiée</x:v>
      </x:c>
      <x:c r="F101" s="79" t="str">
        <x:v>OUVERT · plusieurs vues source film/jeu non relevées</x:v>
      </x:c>
      <x:c r="G101" s="79" t="str">
        <x:v>P1</x:v>
      </x:c>
      <x:c r="H101" s="79" t="str">
        <x:v>Photo, prop, capture jeu propre au gauntlet</x:v>
      </x:c>
      <x:c r="I101" s="79" t="str">
        <x:v>https://predator.illfonic.com/</x:v>
      </x:c>
      <x:c r="J101" s="79" t="str">
        <x:v>Art / QA</x:v>
      </x:c>
      <x:c r="K101" s="79" t="str">
        <x:v>https://github.com/darknigthmare/yautja-la-longue-chasse/pull/42</x:v>
      </x:c>
      <x:c r="L101" s="79" t="n">
        <x:v>0</x:v>
      </x:c>
    </x:row>
    <x:row r="102" ht="35" customHeight="1">
      <x:c r="A102" s="79" t="str">
        <x:v>V136-captured-classic-02</x:v>
      </x:c>
      <x:c r="B102" s="79" t="str">
        <x:v>captured-classic</x:v>
      </x:c>
      <x:c r="C102" s="79" t="str">
        <x:v>Captured / Classic · Predators 2010</x:v>
      </x:c>
      <x:c r="D102" s="79" t="str">
        <x:v>Proportions et silhouette</x:v>
      </x:c>
      <x:c r="E102" s="79" t="str">
        <x:v>Remodelage physique</x:v>
      </x:c>
      <x:c r="F102" s="79" t="str">
        <x:v>PARTIEL · silhouette SVG originale, proportions non mesurées</x:v>
      </x:c>
      <x:c r="G102" s="79" t="str">
        <x:v>P1</x:v>
      </x:c>
      <x:c r="H102" s="79" t="str">
        <x:v>Contrôle alignement poignet et pièces</x:v>
      </x:c>
      <x:c r="I102" s="79" t="str">
        <x:v>https://predator.illfonic.com/</x:v>
      </x:c>
      <x:c r="J102" s="79" t="str">
        <x:v>Art / QA</x:v>
      </x:c>
      <x:c r="K102" s="79" t="str">
        <x:v>https://github.com/darknigthmare/yautja-la-longue-chasse/pull/42</x:v>
      </x:c>
      <x:c r="L102" s="79" t="n">
        <x:v>25</x:v>
      </x:c>
    </x:row>
    <x:row r="103" ht="35" customHeight="1">
      <x:c r="A103" s="79" t="str">
        <x:v>V136-captured-classic-03</x:v>
      </x:c>
      <x:c r="B103" s="79" t="str">
        <x:v>captured-classic</x:v>
      </x:c>
      <x:c r="C103" s="79" t="str">
        <x:v>Captured / Classic · Predators 2010</x:v>
      </x:c>
      <x:c r="D103" s="79" t="str">
        <x:v>Textures UV et matériaux</x:v>
      </x:c>
      <x:c r="E103" s="79" t="str">
        <x:v>Matériaux et patine</x:v>
      </x:c>
      <x:c r="F103" s="79" t="str">
        <x:v>OUVERT · textures UV/PNG 1:1 et patine à produire</x:v>
      </x:c>
      <x:c r="G103" s="79" t="str">
        <x:v>P1</x:v>
      </x:c>
      <x:c r="H103" s="79" t="str">
        <x:v>PNG indépendants aux bons détails et reflets</x:v>
      </x:c>
      <x:c r="I103" s="79" t="str">
        <x:v>https://predator.illfonic.com/</x:v>
      </x:c>
      <x:c r="J103" s="79" t="str">
        <x:v>Art / QA</x:v>
      </x:c>
      <x:c r="K103" s="79" t="str">
        <x:v>https://github.com/darknigthmare/yautja-la-longue-chasse/pull/42</x:v>
      </x:c>
      <x:c r="L103" s="79" t="n">
        <x:v>0</x:v>
      </x:c>
    </x:row>
    <x:row r="104" ht="35" customHeight="1">
      <x:c r="A104" s="79" t="str">
        <x:v>V136-captured-classic-04</x:v>
      </x:c>
      <x:c r="B104" s="79" t="str">
        <x:v>captured-classic</x:v>
      </x:c>
      <x:c r="C104" s="79" t="str">
        <x:v>Captured / Classic · Predators 2010</x:v>
      </x:c>
      <x:c r="D104" s="79" t="str">
        <x:v>Charnière et animations</x:v>
      </x:c>
      <x:c r="E104" s="79" t="str">
        <x:v>Ouverture, gestes, pivot</x:v>
      </x:c>
      <x:c r="F104" s="79" t="str">
        <x:v>PARTIEL · capot CSS ; 3 gestes / rig 1:1 manquants</x:v>
      </x:c>
      <x:c r="G104" s="79" t="str">
        <x:v>P1</x:v>
      </x:c>
      <x:c r="H104" s="79" t="str">
        <x:v>Cohérence rig / armurerie / hologramme</x:v>
      </x:c>
      <x:c r="I104" s="79" t="str">
        <x:v>https://predator.illfonic.com/</x:v>
      </x:c>
      <x:c r="J104" s="79" t="str">
        <x:v>Art / QA</x:v>
      </x:c>
      <x:c r="K104" s="79" t="str">
        <x:v>https://github.com/darknigthmare/yautja-la-longue-chasse/pull/42</x:v>
      </x:c>
      <x:c r="L104" s="79" t="n">
        <x:v>25</x:v>
      </x:c>
    </x:row>
    <x:row r="105" ht="35" customHeight="1">
      <x:c r="A105" s="79" t="str">
        <x:v>V136-captured-classic-05</x:v>
      </x:c>
      <x:c r="B105" s="79" t="str">
        <x:v>captured-classic</x:v>
      </x:c>
      <x:c r="C105" s="79" t="str">
        <x:v>Captured / Classic · Predators 2010</x:v>
      </x:c>
      <x:c r="D105" s="79" t="str">
        <x:v>Rendu jeu et contrôle</x:v>
      </x:c>
      <x:c r="E105" s="79" t="str">
        <x:v>Clavier, tactile, mobile, SFX</x:v>
      </x:c>
      <x:c r="F105" s="79" t="str">
        <x:v>PARTIEL · rendu React + QA autonome, jeu complet à tester</x:v>
      </x:c>
      <x:c r="G105" s="79" t="str">
        <x:v>P1</x:v>
      </x:c>
      <x:c r="H105" s="79" t="str">
        <x:v>Comparaison toutes vues et modes</x:v>
      </x:c>
      <x:c r="I105" s="79" t="str">
        <x:v>https://predator.illfonic.com/</x:v>
      </x:c>
      <x:c r="J105" s="79" t="str">
        <x:v>Art / QA</x:v>
      </x:c>
      <x:c r="K105" s="79" t="str">
        <x:v>https://github.com/darknigthmare/yautja-la-longue-chasse/pull/42</x:v>
      </x:c>
      <x:c r="L105" s="79" t="n">
        <x:v>45</x:v>
      </x:c>
    </x:row>
    <x:row r="106" ht="35" customHeight="1">
      <x:c r="A106" s="79" t="str">
        <x:v>V136-captured-classic-06</x:v>
      </x:c>
      <x:c r="B106" s="79" t="str">
        <x:v>captured-classic</x:v>
      </x:c>
      <x:c r="C106" s="79" t="str">
        <x:v>Captured / Classic · Predators 2010</x:v>
      </x:c>
      <x:c r="D106" s="79" t="str">
        <x:v>Revue artistique et droits</x:v>
      </x:c>
      <x:c r="E106" s="79" t="str">
        <x:v>Validation finale 1:1</x:v>
      </x:c>
      <x:c r="F106" s="79" t="str">
        <x:v>OUVERT · revue humaine et autorisation IP nécessaires</x:v>
      </x:c>
      <x:c r="G106" s="79" t="str">
        <x:v>P1</x:v>
      </x:c>
      <x:c r="H106" s="79" t="str">
        <x:v>Ne jamais certifier sans approbation manuelle</x:v>
      </x:c>
      <x:c r="I106" s="79" t="str">
        <x:v>https://predator.illfonic.com/</x:v>
      </x:c>
      <x:c r="J106" s="79" t="str">
        <x:v>Art / QA</x:v>
      </x:c>
      <x:c r="K106" s="79" t="str">
        <x:v>https://github.com/darknigthmare/yautja-la-longue-chasse/pull/42</x:v>
      </x:c>
      <x:c r="L106" s="79" t="n">
        <x:v>0</x:v>
      </x:c>
    </x:row>
    <x:row r="107" ht="35" customHeight="1">
      <x:c r="A107" s="79" t="str">
        <x:v>V136-berserker-2010-01</x:v>
      </x:c>
      <x:c r="B107" s="79" t="str">
        <x:v>berserker-2010</x:v>
      </x:c>
      <x:c r="C107" s="79" t="str">
        <x:v>Mr Black / Berserker · 2010</x:v>
      </x:c>
      <x:c r="D107" s="79" t="str">
        <x:v>Plan face/dessus/profil</x:v>
      </x:c>
      <x:c r="E107" s="79" t="str">
        <x:v>Preuve photogramme vérifiée</x:v>
      </x:c>
      <x:c r="F107" s="79" t="str">
        <x:v>OUVERT · plusieurs vues source film/jeu non relevées</x:v>
      </x:c>
      <x:c r="G107" s="79" t="str">
        <x:v>P1</x:v>
      </x:c>
      <x:c r="H107" s="79" t="str">
        <x:v>Photo, prop, capture jeu propre au gauntlet</x:v>
      </x:c>
      <x:c r="I107" s="79" t="str">
        <x:v>https://predator.illfonic.com/</x:v>
      </x:c>
      <x:c r="J107" s="79" t="str">
        <x:v>Art / QA</x:v>
      </x:c>
      <x:c r="K107" s="79" t="str">
        <x:v>https://github.com/darknigthmare/yautja-la-longue-chasse/pull/42</x:v>
      </x:c>
      <x:c r="L107" s="79" t="n">
        <x:v>0</x:v>
      </x:c>
    </x:row>
    <x:row r="108" ht="35" customHeight="1">
      <x:c r="A108" s="79" t="str">
        <x:v>V136-berserker-2010-02</x:v>
      </x:c>
      <x:c r="B108" s="79" t="str">
        <x:v>berserker-2010</x:v>
      </x:c>
      <x:c r="C108" s="79" t="str">
        <x:v>Mr Black / Berserker · 2010</x:v>
      </x:c>
      <x:c r="D108" s="79" t="str">
        <x:v>Proportions et silhouette</x:v>
      </x:c>
      <x:c r="E108" s="79" t="str">
        <x:v>Remodelage physique</x:v>
      </x:c>
      <x:c r="F108" s="79" t="str">
        <x:v>PARTIEL · silhouette SVG originale, proportions non mesurées</x:v>
      </x:c>
      <x:c r="G108" s="79" t="str">
        <x:v>P1</x:v>
      </x:c>
      <x:c r="H108" s="79" t="str">
        <x:v>Contrôle alignement poignet et pièces</x:v>
      </x:c>
      <x:c r="I108" s="79" t="str">
        <x:v>https://predator.illfonic.com/</x:v>
      </x:c>
      <x:c r="J108" s="79" t="str">
        <x:v>Art / QA</x:v>
      </x:c>
      <x:c r="K108" s="79" t="str">
        <x:v>https://github.com/darknigthmare/yautja-la-longue-chasse/pull/42</x:v>
      </x:c>
      <x:c r="L108" s="79" t="n">
        <x:v>25</x:v>
      </x:c>
    </x:row>
    <x:row r="109" ht="35" customHeight="1">
      <x:c r="A109" s="79" t="str">
        <x:v>V136-berserker-2010-03</x:v>
      </x:c>
      <x:c r="B109" s="79" t="str">
        <x:v>berserker-2010</x:v>
      </x:c>
      <x:c r="C109" s="79" t="str">
        <x:v>Mr Black / Berserker · 2010</x:v>
      </x:c>
      <x:c r="D109" s="79" t="str">
        <x:v>Textures UV et matériaux</x:v>
      </x:c>
      <x:c r="E109" s="79" t="str">
        <x:v>Matériaux et patine</x:v>
      </x:c>
      <x:c r="F109" s="79" t="str">
        <x:v>OUVERT · textures UV/PNG 1:1 et patine à produire</x:v>
      </x:c>
      <x:c r="G109" s="79" t="str">
        <x:v>P1</x:v>
      </x:c>
      <x:c r="H109" s="79" t="str">
        <x:v>PNG indépendants aux bons détails et reflets</x:v>
      </x:c>
      <x:c r="I109" s="79" t="str">
        <x:v>https://predator.illfonic.com/</x:v>
      </x:c>
      <x:c r="J109" s="79" t="str">
        <x:v>Art / QA</x:v>
      </x:c>
      <x:c r="K109" s="79" t="str">
        <x:v>https://github.com/darknigthmare/yautja-la-longue-chasse/pull/42</x:v>
      </x:c>
      <x:c r="L109" s="79" t="n">
        <x:v>0</x:v>
      </x:c>
    </x:row>
    <x:row r="110" ht="35" customHeight="1">
      <x:c r="A110" s="79" t="str">
        <x:v>V136-berserker-2010-04</x:v>
      </x:c>
      <x:c r="B110" s="79" t="str">
        <x:v>berserker-2010</x:v>
      </x:c>
      <x:c r="C110" s="79" t="str">
        <x:v>Mr Black / Berserker · 2010</x:v>
      </x:c>
      <x:c r="D110" s="79" t="str">
        <x:v>Charnière et animations</x:v>
      </x:c>
      <x:c r="E110" s="79" t="str">
        <x:v>Ouverture, gestes, pivot</x:v>
      </x:c>
      <x:c r="F110" s="79" t="str">
        <x:v>PARTIEL · capot CSS ; 3 gestes / rig 1:1 manquants</x:v>
      </x:c>
      <x:c r="G110" s="79" t="str">
        <x:v>P1</x:v>
      </x:c>
      <x:c r="H110" s="79" t="str">
        <x:v>Cohérence rig / armurerie / hologramme</x:v>
      </x:c>
      <x:c r="I110" s="79" t="str">
        <x:v>https://predator.illfonic.com/</x:v>
      </x:c>
      <x:c r="J110" s="79" t="str">
        <x:v>Art / QA</x:v>
      </x:c>
      <x:c r="K110" s="79" t="str">
        <x:v>https://github.com/darknigthmare/yautja-la-longue-chasse/pull/42</x:v>
      </x:c>
      <x:c r="L110" s="79" t="n">
        <x:v>25</x:v>
      </x:c>
    </x:row>
    <x:row r="111" ht="35" customHeight="1">
      <x:c r="A111" s="79" t="str">
        <x:v>V136-berserker-2010-05</x:v>
      </x:c>
      <x:c r="B111" s="79" t="str">
        <x:v>berserker-2010</x:v>
      </x:c>
      <x:c r="C111" s="79" t="str">
        <x:v>Mr Black / Berserker · 2010</x:v>
      </x:c>
      <x:c r="D111" s="79" t="str">
        <x:v>Rendu jeu et contrôle</x:v>
      </x:c>
      <x:c r="E111" s="79" t="str">
        <x:v>Clavier, tactile, mobile, SFX</x:v>
      </x:c>
      <x:c r="F111" s="79" t="str">
        <x:v>PARTIEL · rendu React + QA autonome, jeu complet à tester</x:v>
      </x:c>
      <x:c r="G111" s="79" t="str">
        <x:v>P1</x:v>
      </x:c>
      <x:c r="H111" s="79" t="str">
        <x:v>Comparaison toutes vues et modes</x:v>
      </x:c>
      <x:c r="I111" s="79" t="str">
        <x:v>https://predator.illfonic.com/</x:v>
      </x:c>
      <x:c r="J111" s="79" t="str">
        <x:v>Art / QA</x:v>
      </x:c>
      <x:c r="K111" s="79" t="str">
        <x:v>https://github.com/darknigthmare/yautja-la-longue-chasse/pull/42</x:v>
      </x:c>
      <x:c r="L111" s="79" t="n">
        <x:v>45</x:v>
      </x:c>
    </x:row>
    <x:row r="112" ht="35" customHeight="1">
      <x:c r="A112" s="79" t="str">
        <x:v>V136-berserker-2010-06</x:v>
      </x:c>
      <x:c r="B112" s="79" t="str">
        <x:v>berserker-2010</x:v>
      </x:c>
      <x:c r="C112" s="79" t="str">
        <x:v>Mr Black / Berserker · 2010</x:v>
      </x:c>
      <x:c r="D112" s="79" t="str">
        <x:v>Revue artistique et droits</x:v>
      </x:c>
      <x:c r="E112" s="79" t="str">
        <x:v>Validation finale 1:1</x:v>
      </x:c>
      <x:c r="F112" s="79" t="str">
        <x:v>OUVERT · revue humaine et autorisation IP nécessaires</x:v>
      </x:c>
      <x:c r="G112" s="79" t="str">
        <x:v>P1</x:v>
      </x:c>
      <x:c r="H112" s="79" t="str">
        <x:v>Ne jamais certifier sans approbation manuelle</x:v>
      </x:c>
      <x:c r="I112" s="79" t="str">
        <x:v>https://predator.illfonic.com/</x:v>
      </x:c>
      <x:c r="J112" s="79" t="str">
        <x:v>Art / QA</x:v>
      </x:c>
      <x:c r="K112" s="79" t="str">
        <x:v>https://github.com/darknigthmare/yautja-la-longue-chasse/pull/42</x:v>
      </x:c>
      <x:c r="L112" s="79" t="n">
        <x:v>0</x:v>
      </x:c>
    </x:row>
    <x:row r="113" ht="35" customHeight="1">
      <x:c r="A113" s="79" t="str">
        <x:v>V136-falconer-2010-01</x:v>
      </x:c>
      <x:c r="B113" s="79" t="str">
        <x:v>falconer-2010</x:v>
      </x:c>
      <x:c r="C113" s="79" t="str">
        <x:v>Falconer · 2010</x:v>
      </x:c>
      <x:c r="D113" s="79" t="str">
        <x:v>Plan face/dessus/profil</x:v>
      </x:c>
      <x:c r="E113" s="79" t="str">
        <x:v>Preuve photogramme vérifiée</x:v>
      </x:c>
      <x:c r="F113" s="79" t="str">
        <x:v>OUVERT · plusieurs vues source film/jeu non relevées</x:v>
      </x:c>
      <x:c r="G113" s="79" t="str">
        <x:v>P1</x:v>
      </x:c>
      <x:c r="H113" s="79" t="str">
        <x:v>Photo, prop, capture jeu propre au gauntlet</x:v>
      </x:c>
      <x:c r="I113" s="79" t="str">
        <x:v>https://predator.illfonic.com/</x:v>
      </x:c>
      <x:c r="J113" s="79" t="str">
        <x:v>Art / QA</x:v>
      </x:c>
      <x:c r="K113" s="79" t="str">
        <x:v>https://github.com/darknigthmare/yautja-la-longue-chasse/pull/42</x:v>
      </x:c>
      <x:c r="L113" s="79" t="n">
        <x:v>0</x:v>
      </x:c>
    </x:row>
    <x:row r="114" ht="35" customHeight="1">
      <x:c r="A114" s="79" t="str">
        <x:v>V136-falconer-2010-02</x:v>
      </x:c>
      <x:c r="B114" s="79" t="str">
        <x:v>falconer-2010</x:v>
      </x:c>
      <x:c r="C114" s="79" t="str">
        <x:v>Falconer · 2010</x:v>
      </x:c>
      <x:c r="D114" s="79" t="str">
        <x:v>Proportions et silhouette</x:v>
      </x:c>
      <x:c r="E114" s="79" t="str">
        <x:v>Remodelage physique</x:v>
      </x:c>
      <x:c r="F114" s="79" t="str">
        <x:v>PARTIEL · silhouette SVG originale, proportions non mesurées</x:v>
      </x:c>
      <x:c r="G114" s="79" t="str">
        <x:v>P1</x:v>
      </x:c>
      <x:c r="H114" s="79" t="str">
        <x:v>Contrôle alignement poignet et pièces</x:v>
      </x:c>
      <x:c r="I114" s="79" t="str">
        <x:v>https://predator.illfonic.com/</x:v>
      </x:c>
      <x:c r="J114" s="79" t="str">
        <x:v>Art / QA</x:v>
      </x:c>
      <x:c r="K114" s="79" t="str">
        <x:v>https://github.com/darknigthmare/yautja-la-longue-chasse/pull/42</x:v>
      </x:c>
      <x:c r="L114" s="79" t="n">
        <x:v>25</x:v>
      </x:c>
    </x:row>
    <x:row r="115" ht="35" customHeight="1">
      <x:c r="A115" s="79" t="str">
        <x:v>V136-falconer-2010-03</x:v>
      </x:c>
      <x:c r="B115" s="79" t="str">
        <x:v>falconer-2010</x:v>
      </x:c>
      <x:c r="C115" s="79" t="str">
        <x:v>Falconer · 2010</x:v>
      </x:c>
      <x:c r="D115" s="79" t="str">
        <x:v>Textures UV et matériaux</x:v>
      </x:c>
      <x:c r="E115" s="79" t="str">
        <x:v>Matériaux et patine</x:v>
      </x:c>
      <x:c r="F115" s="79" t="str">
        <x:v>OUVERT · textures UV/PNG 1:1 et patine à produire</x:v>
      </x:c>
      <x:c r="G115" s="79" t="str">
        <x:v>P1</x:v>
      </x:c>
      <x:c r="H115" s="79" t="str">
        <x:v>PNG indépendants aux bons détails et reflets</x:v>
      </x:c>
      <x:c r="I115" s="79" t="str">
        <x:v>https://predator.illfonic.com/</x:v>
      </x:c>
      <x:c r="J115" s="79" t="str">
        <x:v>Art / QA</x:v>
      </x:c>
      <x:c r="K115" s="79" t="str">
        <x:v>https://github.com/darknigthmare/yautja-la-longue-chasse/pull/42</x:v>
      </x:c>
      <x:c r="L115" s="79" t="n">
        <x:v>0</x:v>
      </x:c>
    </x:row>
    <x:row r="116" ht="35" customHeight="1">
      <x:c r="A116" s="79" t="str">
        <x:v>V136-falconer-2010-04</x:v>
      </x:c>
      <x:c r="B116" s="79" t="str">
        <x:v>falconer-2010</x:v>
      </x:c>
      <x:c r="C116" s="79" t="str">
        <x:v>Falconer · 2010</x:v>
      </x:c>
      <x:c r="D116" s="79" t="str">
        <x:v>Charnière et animations</x:v>
      </x:c>
      <x:c r="E116" s="79" t="str">
        <x:v>Ouverture, gestes, pivot</x:v>
      </x:c>
      <x:c r="F116" s="79" t="str">
        <x:v>PARTIEL · capot CSS ; 3 gestes / rig 1:1 manquants</x:v>
      </x:c>
      <x:c r="G116" s="79" t="str">
        <x:v>P1</x:v>
      </x:c>
      <x:c r="H116" s="79" t="str">
        <x:v>Cohérence rig / armurerie / hologramme</x:v>
      </x:c>
      <x:c r="I116" s="79" t="str">
        <x:v>https://predator.illfonic.com/</x:v>
      </x:c>
      <x:c r="J116" s="79" t="str">
        <x:v>Art / QA</x:v>
      </x:c>
      <x:c r="K116" s="79" t="str">
        <x:v>https://github.com/darknigthmare/yautja-la-longue-chasse/pull/42</x:v>
      </x:c>
      <x:c r="L116" s="79" t="n">
        <x:v>25</x:v>
      </x:c>
    </x:row>
    <x:row r="117" ht="35" customHeight="1">
      <x:c r="A117" s="79" t="str">
        <x:v>V136-falconer-2010-05</x:v>
      </x:c>
      <x:c r="B117" s="79" t="str">
        <x:v>falconer-2010</x:v>
      </x:c>
      <x:c r="C117" s="79" t="str">
        <x:v>Falconer · 2010</x:v>
      </x:c>
      <x:c r="D117" s="79" t="str">
        <x:v>Rendu jeu et contrôle</x:v>
      </x:c>
      <x:c r="E117" s="79" t="str">
        <x:v>Clavier, tactile, mobile, SFX</x:v>
      </x:c>
      <x:c r="F117" s="79" t="str">
        <x:v>PARTIEL · rendu React + QA autonome, jeu complet à tester</x:v>
      </x:c>
      <x:c r="G117" s="79" t="str">
        <x:v>P1</x:v>
      </x:c>
      <x:c r="H117" s="79" t="str">
        <x:v>Comparaison toutes vues et modes</x:v>
      </x:c>
      <x:c r="I117" s="79" t="str">
        <x:v>https://predator.illfonic.com/</x:v>
      </x:c>
      <x:c r="J117" s="79" t="str">
        <x:v>Art / QA</x:v>
      </x:c>
      <x:c r="K117" s="79" t="str">
        <x:v>https://github.com/darknigthmare/yautja-la-longue-chasse/pull/42</x:v>
      </x:c>
      <x:c r="L117" s="79" t="n">
        <x:v>45</x:v>
      </x:c>
    </x:row>
    <x:row r="118" ht="35" customHeight="1">
      <x:c r="A118" s="79" t="str">
        <x:v>V136-falconer-2010-06</x:v>
      </x:c>
      <x:c r="B118" s="79" t="str">
        <x:v>falconer-2010</x:v>
      </x:c>
      <x:c r="C118" s="79" t="str">
        <x:v>Falconer · 2010</x:v>
      </x:c>
      <x:c r="D118" s="79" t="str">
        <x:v>Revue artistique et droits</x:v>
      </x:c>
      <x:c r="E118" s="79" t="str">
        <x:v>Validation finale 1:1</x:v>
      </x:c>
      <x:c r="F118" s="79" t="str">
        <x:v>OUVERT · revue humaine et autorisation IP nécessaires</x:v>
      </x:c>
      <x:c r="G118" s="79" t="str">
        <x:v>P1</x:v>
      </x:c>
      <x:c r="H118" s="79" t="str">
        <x:v>Ne jamais certifier sans approbation manuelle</x:v>
      </x:c>
      <x:c r="I118" s="79" t="str">
        <x:v>https://predator.illfonic.com/</x:v>
      </x:c>
      <x:c r="J118" s="79" t="str">
        <x:v>Art / QA</x:v>
      </x:c>
      <x:c r="K118" s="79" t="str">
        <x:v>https://github.com/darknigthmare/yautja-la-longue-chasse/pull/42</x:v>
      </x:c>
      <x:c r="L118" s="79" t="n">
        <x:v>0</x:v>
      </x:c>
    </x:row>
    <x:row r="119" ht="35" customHeight="1">
      <x:c r="A119" s="79" t="str">
        <x:v>V136-tracker-2010-01</x:v>
      </x:c>
      <x:c r="B119" s="79" t="str">
        <x:v>tracker-2010</x:v>
      </x:c>
      <x:c r="C119" s="79" t="str">
        <x:v>Tracker · 2010</x:v>
      </x:c>
      <x:c r="D119" s="79" t="str">
        <x:v>Plan face/dessus/profil</x:v>
      </x:c>
      <x:c r="E119" s="79" t="str">
        <x:v>Preuve photogramme vérifiée</x:v>
      </x:c>
      <x:c r="F119" s="79" t="str">
        <x:v>OUVERT · plusieurs vues source film/jeu non relevées</x:v>
      </x:c>
      <x:c r="G119" s="79" t="str">
        <x:v>P1</x:v>
      </x:c>
      <x:c r="H119" s="79" t="str">
        <x:v>Photo, prop, capture jeu propre au gauntlet</x:v>
      </x:c>
      <x:c r="I119" s="79" t="str">
        <x:v>https://predator.illfonic.com/</x:v>
      </x:c>
      <x:c r="J119" s="79" t="str">
        <x:v>Art / QA</x:v>
      </x:c>
      <x:c r="K119" s="79" t="str">
        <x:v>https://github.com/darknigthmare/yautja-la-longue-chasse/pull/42</x:v>
      </x:c>
      <x:c r="L119" s="79" t="n">
        <x:v>0</x:v>
      </x:c>
    </x:row>
    <x:row r="120" ht="35" customHeight="1">
      <x:c r="A120" s="79" t="str">
        <x:v>V136-tracker-2010-02</x:v>
      </x:c>
      <x:c r="B120" s="79" t="str">
        <x:v>tracker-2010</x:v>
      </x:c>
      <x:c r="C120" s="79" t="str">
        <x:v>Tracker · 2010</x:v>
      </x:c>
      <x:c r="D120" s="79" t="str">
        <x:v>Proportions et silhouette</x:v>
      </x:c>
      <x:c r="E120" s="79" t="str">
        <x:v>Remodelage physique</x:v>
      </x:c>
      <x:c r="F120" s="79" t="str">
        <x:v>PARTIEL · silhouette SVG originale, proportions non mesurées</x:v>
      </x:c>
      <x:c r="G120" s="79" t="str">
        <x:v>P1</x:v>
      </x:c>
      <x:c r="H120" s="79" t="str">
        <x:v>Contrôle alignement poignet et pièces</x:v>
      </x:c>
      <x:c r="I120" s="79" t="str">
        <x:v>https://predator.illfonic.com/</x:v>
      </x:c>
      <x:c r="J120" s="79" t="str">
        <x:v>Art / QA</x:v>
      </x:c>
      <x:c r="K120" s="79" t="str">
        <x:v>https://github.com/darknigthmare/yautja-la-longue-chasse/pull/42</x:v>
      </x:c>
      <x:c r="L120" s="79" t="n">
        <x:v>25</x:v>
      </x:c>
    </x:row>
    <x:row r="121" ht="35" customHeight="1">
      <x:c r="A121" s="79" t="str">
        <x:v>V136-tracker-2010-03</x:v>
      </x:c>
      <x:c r="B121" s="79" t="str">
        <x:v>tracker-2010</x:v>
      </x:c>
      <x:c r="C121" s="79" t="str">
        <x:v>Tracker · 2010</x:v>
      </x:c>
      <x:c r="D121" s="79" t="str">
        <x:v>Textures UV et matériaux</x:v>
      </x:c>
      <x:c r="E121" s="79" t="str">
        <x:v>Matériaux et patine</x:v>
      </x:c>
      <x:c r="F121" s="79" t="str">
        <x:v>OUVERT · textures UV/PNG 1:1 et patine à produire</x:v>
      </x:c>
      <x:c r="G121" s="79" t="str">
        <x:v>P1</x:v>
      </x:c>
      <x:c r="H121" s="79" t="str">
        <x:v>PNG indépendants aux bons détails et reflets</x:v>
      </x:c>
      <x:c r="I121" s="79" t="str">
        <x:v>https://predator.illfonic.com/</x:v>
      </x:c>
      <x:c r="J121" s="79" t="str">
        <x:v>Art / QA</x:v>
      </x:c>
      <x:c r="K121" s="79" t="str">
        <x:v>https://github.com/darknigthmare/yautja-la-longue-chasse/pull/42</x:v>
      </x:c>
      <x:c r="L121" s="79" t="n">
        <x:v>0</x:v>
      </x:c>
    </x:row>
    <x:row r="122" ht="35" customHeight="1">
      <x:c r="A122" s="79" t="str">
        <x:v>V136-tracker-2010-04</x:v>
      </x:c>
      <x:c r="B122" s="79" t="str">
        <x:v>tracker-2010</x:v>
      </x:c>
      <x:c r="C122" s="79" t="str">
        <x:v>Tracker · 2010</x:v>
      </x:c>
      <x:c r="D122" s="79" t="str">
        <x:v>Charnière et animations</x:v>
      </x:c>
      <x:c r="E122" s="79" t="str">
        <x:v>Ouverture, gestes, pivot</x:v>
      </x:c>
      <x:c r="F122" s="79" t="str">
        <x:v>PARTIEL · capot CSS ; 3 gestes / rig 1:1 manquants</x:v>
      </x:c>
      <x:c r="G122" s="79" t="str">
        <x:v>P1</x:v>
      </x:c>
      <x:c r="H122" s="79" t="str">
        <x:v>Cohérence rig / armurerie / hologramme</x:v>
      </x:c>
      <x:c r="I122" s="79" t="str">
        <x:v>https://predator.illfonic.com/</x:v>
      </x:c>
      <x:c r="J122" s="79" t="str">
        <x:v>Art / QA</x:v>
      </x:c>
      <x:c r="K122" s="79" t="str">
        <x:v>https://github.com/darknigthmare/yautja-la-longue-chasse/pull/42</x:v>
      </x:c>
      <x:c r="L122" s="79" t="n">
        <x:v>25</x:v>
      </x:c>
    </x:row>
    <x:row r="123" ht="35" customHeight="1">
      <x:c r="A123" s="79" t="str">
        <x:v>V136-tracker-2010-05</x:v>
      </x:c>
      <x:c r="B123" s="79" t="str">
        <x:v>tracker-2010</x:v>
      </x:c>
      <x:c r="C123" s="79" t="str">
        <x:v>Tracker · 2010</x:v>
      </x:c>
      <x:c r="D123" s="79" t="str">
        <x:v>Rendu jeu et contrôle</x:v>
      </x:c>
      <x:c r="E123" s="79" t="str">
        <x:v>Clavier, tactile, mobile, SFX</x:v>
      </x:c>
      <x:c r="F123" s="79" t="str">
        <x:v>PARTIEL · rendu React + QA autonome, jeu complet à tester</x:v>
      </x:c>
      <x:c r="G123" s="79" t="str">
        <x:v>P1</x:v>
      </x:c>
      <x:c r="H123" s="79" t="str">
        <x:v>Comparaison toutes vues et modes</x:v>
      </x:c>
      <x:c r="I123" s="79" t="str">
        <x:v>https://predator.illfonic.com/</x:v>
      </x:c>
      <x:c r="J123" s="79" t="str">
        <x:v>Art / QA</x:v>
      </x:c>
      <x:c r="K123" s="79" t="str">
        <x:v>https://github.com/darknigthmare/yautja-la-longue-chasse/pull/42</x:v>
      </x:c>
      <x:c r="L123" s="79" t="n">
        <x:v>45</x:v>
      </x:c>
    </x:row>
    <x:row r="124" ht="35" customHeight="1">
      <x:c r="A124" s="79" t="str">
        <x:v>V136-tracker-2010-06</x:v>
      </x:c>
      <x:c r="B124" s="79" t="str">
        <x:v>tracker-2010</x:v>
      </x:c>
      <x:c r="C124" s="79" t="str">
        <x:v>Tracker · 2010</x:v>
      </x:c>
      <x:c r="D124" s="79" t="str">
        <x:v>Revue artistique et droits</x:v>
      </x:c>
      <x:c r="E124" s="79" t="str">
        <x:v>Validation finale 1:1</x:v>
      </x:c>
      <x:c r="F124" s="79" t="str">
        <x:v>OUVERT · revue humaine et autorisation IP nécessaires</x:v>
      </x:c>
      <x:c r="G124" s="79" t="str">
        <x:v>P1</x:v>
      </x:c>
      <x:c r="H124" s="79" t="str">
        <x:v>Ne jamais certifier sans approbation manuelle</x:v>
      </x:c>
      <x:c r="I124" s="79" t="str">
        <x:v>https://predator.illfonic.com/</x:v>
      </x:c>
      <x:c r="J124" s="79" t="str">
        <x:v>Art / QA</x:v>
      </x:c>
      <x:c r="K124" s="79" t="str">
        <x:v>https://github.com/darknigthmare/yautja-la-longue-chasse/pull/42</x:v>
      </x:c>
      <x:c r="L124" s="79" t="n">
        <x:v>0</x:v>
      </x:c>
    </x:row>
    <x:row r="125" ht="35" customHeight="1">
      <x:c r="A125" s="79" t="str">
        <x:v>V136-fugitive-01</x:v>
      </x:c>
      <x:c r="B125" s="79" t="str">
        <x:v>fugitive</x:v>
      </x:c>
      <x:c r="C125" s="79" t="str">
        <x:v>Fugitive · The Predator 2018</x:v>
      </x:c>
      <x:c r="D125" s="79" t="str">
        <x:v>Plan face/dessus/profil</x:v>
      </x:c>
      <x:c r="E125" s="79" t="str">
        <x:v>Preuve photogramme vérifiée</x:v>
      </x:c>
      <x:c r="F125" s="79" t="str">
        <x:v>OUVERT · plusieurs vues source film/jeu non relevées</x:v>
      </x:c>
      <x:c r="G125" s="79" t="str">
        <x:v>P1</x:v>
      </x:c>
      <x:c r="H125" s="79" t="str">
        <x:v>Photo, prop, capture jeu propre au gauntlet</x:v>
      </x:c>
      <x:c r="I125" s="79" t="str">
        <x:v>https://www.avpgalaxy.net/merch/neca/predator/series/</x:v>
      </x:c>
      <x:c r="J125" s="79" t="str">
        <x:v>Art / QA</x:v>
      </x:c>
      <x:c r="K125" s="79" t="str">
        <x:v>https://github.com/darknigthmare/yautja-la-longue-chasse/pull/42</x:v>
      </x:c>
      <x:c r="L125" s="79" t="n">
        <x:v>0</x:v>
      </x:c>
    </x:row>
    <x:row r="126" ht="35" customHeight="1">
      <x:c r="A126" s="79" t="str">
        <x:v>V136-fugitive-02</x:v>
      </x:c>
      <x:c r="B126" s="79" t="str">
        <x:v>fugitive</x:v>
      </x:c>
      <x:c r="C126" s="79" t="str">
        <x:v>Fugitive · The Predator 2018</x:v>
      </x:c>
      <x:c r="D126" s="79" t="str">
        <x:v>Proportions et silhouette</x:v>
      </x:c>
      <x:c r="E126" s="79" t="str">
        <x:v>Remodelage physique</x:v>
      </x:c>
      <x:c r="F126" s="79" t="str">
        <x:v>PARTIEL · silhouette SVG originale, proportions non mesurées</x:v>
      </x:c>
      <x:c r="G126" s="79" t="str">
        <x:v>P1</x:v>
      </x:c>
      <x:c r="H126" s="79" t="str">
        <x:v>Contrôle alignement poignet et pièces</x:v>
      </x:c>
      <x:c r="I126" s="79" t="str">
        <x:v>https://www.avpgalaxy.net/merch/neca/predator/series/</x:v>
      </x:c>
      <x:c r="J126" s="79" t="str">
        <x:v>Art / QA</x:v>
      </x:c>
      <x:c r="K126" s="79" t="str">
        <x:v>https://github.com/darknigthmare/yautja-la-longue-chasse/pull/42</x:v>
      </x:c>
      <x:c r="L126" s="79" t="n">
        <x:v>25</x:v>
      </x:c>
    </x:row>
    <x:row r="127" ht="35" customHeight="1">
      <x:c r="A127" s="79" t="str">
        <x:v>V136-fugitive-03</x:v>
      </x:c>
      <x:c r="B127" s="79" t="str">
        <x:v>fugitive</x:v>
      </x:c>
      <x:c r="C127" s="79" t="str">
        <x:v>Fugitive · The Predator 2018</x:v>
      </x:c>
      <x:c r="D127" s="79" t="str">
        <x:v>Textures UV et matériaux</x:v>
      </x:c>
      <x:c r="E127" s="79" t="str">
        <x:v>Matériaux et patine</x:v>
      </x:c>
      <x:c r="F127" s="79" t="str">
        <x:v>OUVERT · textures UV/PNG 1:1 et patine à produire</x:v>
      </x:c>
      <x:c r="G127" s="79" t="str">
        <x:v>P1</x:v>
      </x:c>
      <x:c r="H127" s="79" t="str">
        <x:v>PNG indépendants aux bons détails et reflets</x:v>
      </x:c>
      <x:c r="I127" s="79" t="str">
        <x:v>https://www.avpgalaxy.net/merch/neca/predator/series/</x:v>
      </x:c>
      <x:c r="J127" s="79" t="str">
        <x:v>Art / QA</x:v>
      </x:c>
      <x:c r="K127" s="79" t="str">
        <x:v>https://github.com/darknigthmare/yautja-la-longue-chasse/pull/42</x:v>
      </x:c>
      <x:c r="L127" s="79" t="n">
        <x:v>0</x:v>
      </x:c>
    </x:row>
    <x:row r="128" ht="35" customHeight="1">
      <x:c r="A128" s="79" t="str">
        <x:v>V136-fugitive-04</x:v>
      </x:c>
      <x:c r="B128" s="79" t="str">
        <x:v>fugitive</x:v>
      </x:c>
      <x:c r="C128" s="79" t="str">
        <x:v>Fugitive · The Predator 2018</x:v>
      </x:c>
      <x:c r="D128" s="79" t="str">
        <x:v>Charnière et animations</x:v>
      </x:c>
      <x:c r="E128" s="79" t="str">
        <x:v>Ouverture, gestes, pivot</x:v>
      </x:c>
      <x:c r="F128" s="79" t="str">
        <x:v>PARTIEL · capot CSS ; 3 gestes / rig 1:1 manquants</x:v>
      </x:c>
      <x:c r="G128" s="79" t="str">
        <x:v>P1</x:v>
      </x:c>
      <x:c r="H128" s="79" t="str">
        <x:v>Cohérence rig / armurerie / hologramme</x:v>
      </x:c>
      <x:c r="I128" s="79" t="str">
        <x:v>https://www.avpgalaxy.net/merch/neca/predator/series/</x:v>
      </x:c>
      <x:c r="J128" s="79" t="str">
        <x:v>Art / QA</x:v>
      </x:c>
      <x:c r="K128" s="79" t="str">
        <x:v>https://github.com/darknigthmare/yautja-la-longue-chasse/pull/42</x:v>
      </x:c>
      <x:c r="L128" s="79" t="n">
        <x:v>25</x:v>
      </x:c>
    </x:row>
    <x:row r="129" ht="35" customHeight="1">
      <x:c r="A129" s="79" t="str">
        <x:v>V136-fugitive-05</x:v>
      </x:c>
      <x:c r="B129" s="79" t="str">
        <x:v>fugitive</x:v>
      </x:c>
      <x:c r="C129" s="79" t="str">
        <x:v>Fugitive · The Predator 2018</x:v>
      </x:c>
      <x:c r="D129" s="79" t="str">
        <x:v>Rendu jeu et contrôle</x:v>
      </x:c>
      <x:c r="E129" s="79" t="str">
        <x:v>Clavier, tactile, mobile, SFX</x:v>
      </x:c>
      <x:c r="F129" s="79" t="str">
        <x:v>PARTIEL · rendu React + QA autonome, jeu complet à tester</x:v>
      </x:c>
      <x:c r="G129" s="79" t="str">
        <x:v>P1</x:v>
      </x:c>
      <x:c r="H129" s="79" t="str">
        <x:v>Comparaison toutes vues et modes</x:v>
      </x:c>
      <x:c r="I129" s="79" t="str">
        <x:v>https://www.avpgalaxy.net/merch/neca/predator/series/</x:v>
      </x:c>
      <x:c r="J129" s="79" t="str">
        <x:v>Art / QA</x:v>
      </x:c>
      <x:c r="K129" s="79" t="str">
        <x:v>https://github.com/darknigthmare/yautja-la-longue-chasse/pull/42</x:v>
      </x:c>
      <x:c r="L129" s="79" t="n">
        <x:v>45</x:v>
      </x:c>
    </x:row>
    <x:row r="130" ht="35" customHeight="1">
      <x:c r="A130" s="79" t="str">
        <x:v>V136-fugitive-06</x:v>
      </x:c>
      <x:c r="B130" s="79" t="str">
        <x:v>fugitive</x:v>
      </x:c>
      <x:c r="C130" s="79" t="str">
        <x:v>Fugitive · The Predator 2018</x:v>
      </x:c>
      <x:c r="D130" s="79" t="str">
        <x:v>Revue artistique et droits</x:v>
      </x:c>
      <x:c r="E130" s="79" t="str">
        <x:v>Validation finale 1:1</x:v>
      </x:c>
      <x:c r="F130" s="79" t="str">
        <x:v>OUVERT · revue humaine et autorisation IP nécessaires</x:v>
      </x:c>
      <x:c r="G130" s="79" t="str">
        <x:v>P1</x:v>
      </x:c>
      <x:c r="H130" s="79" t="str">
        <x:v>Ne jamais certifier sans approbation manuelle</x:v>
      </x:c>
      <x:c r="I130" s="79" t="str">
        <x:v>https://www.avpgalaxy.net/merch/neca/predator/series/</x:v>
      </x:c>
      <x:c r="J130" s="79" t="str">
        <x:v>Art / QA</x:v>
      </x:c>
      <x:c r="K130" s="79" t="str">
        <x:v>https://github.com/darknigthmare/yautja-la-longue-chasse/pull/42</x:v>
      </x:c>
      <x:c r="L130" s="79" t="n">
        <x:v>0</x:v>
      </x:c>
    </x:row>
    <x:row r="131" ht="35" customHeight="1">
      <x:c r="A131" s="79" t="str">
        <x:v>V136-assassin-01</x:v>
      </x:c>
      <x:c r="B131" s="79" t="str">
        <x:v>assassin</x:v>
      </x:c>
      <x:c r="C131" s="79" t="str">
        <x:v>Upgrade / Assassin · The Predator 2018</x:v>
      </x:c>
      <x:c r="D131" s="79" t="str">
        <x:v>Plan face/dessus/profil</x:v>
      </x:c>
      <x:c r="E131" s="79" t="str">
        <x:v>Preuve photogramme vérifiée</x:v>
      </x:c>
      <x:c r="F131" s="79" t="str">
        <x:v>OUVERT · plusieurs vues source film/jeu non relevées</x:v>
      </x:c>
      <x:c r="G131" s="79" t="str">
        <x:v>P1</x:v>
      </x:c>
      <x:c r="H131" s="79" t="str">
        <x:v>Photo, prop, capture jeu propre au gauntlet</x:v>
      </x:c>
      <x:c r="I131" s="79" t="str">
        <x:v>https://www.avpgalaxy.net/merch/neca/predator/series/</x:v>
      </x:c>
      <x:c r="J131" s="79" t="str">
        <x:v>Art / QA</x:v>
      </x:c>
      <x:c r="K131" s="79" t="str">
        <x:v>https://github.com/darknigthmare/yautja-la-longue-chasse/pull/42</x:v>
      </x:c>
      <x:c r="L131" s="79" t="n">
        <x:v>0</x:v>
      </x:c>
    </x:row>
    <x:row r="132" ht="35" customHeight="1">
      <x:c r="A132" s="79" t="str">
        <x:v>V136-assassin-02</x:v>
      </x:c>
      <x:c r="B132" s="79" t="str">
        <x:v>assassin</x:v>
      </x:c>
      <x:c r="C132" s="79" t="str">
        <x:v>Upgrade / Assassin · The Predator 2018</x:v>
      </x:c>
      <x:c r="D132" s="79" t="str">
        <x:v>Proportions et silhouette</x:v>
      </x:c>
      <x:c r="E132" s="79" t="str">
        <x:v>Remodelage physique</x:v>
      </x:c>
      <x:c r="F132" s="79" t="str">
        <x:v>PARTIEL · silhouette SVG originale, proportions non mesurées</x:v>
      </x:c>
      <x:c r="G132" s="79" t="str">
        <x:v>P1</x:v>
      </x:c>
      <x:c r="H132" s="79" t="str">
        <x:v>Contrôle alignement poignet et pièces</x:v>
      </x:c>
      <x:c r="I132" s="79" t="str">
        <x:v>https://www.avpgalaxy.net/merch/neca/predator/series/</x:v>
      </x:c>
      <x:c r="J132" s="79" t="str">
        <x:v>Art / QA</x:v>
      </x:c>
      <x:c r="K132" s="79" t="str">
        <x:v>https://github.com/darknigthmare/yautja-la-longue-chasse/pull/42</x:v>
      </x:c>
      <x:c r="L132" s="79" t="n">
        <x:v>25</x:v>
      </x:c>
    </x:row>
    <x:row r="133" ht="35" customHeight="1">
      <x:c r="A133" s="79" t="str">
        <x:v>V136-assassin-03</x:v>
      </x:c>
      <x:c r="B133" s="79" t="str">
        <x:v>assassin</x:v>
      </x:c>
      <x:c r="C133" s="79" t="str">
        <x:v>Upgrade / Assassin · The Predator 2018</x:v>
      </x:c>
      <x:c r="D133" s="79" t="str">
        <x:v>Textures UV et matériaux</x:v>
      </x:c>
      <x:c r="E133" s="79" t="str">
        <x:v>Matériaux et patine</x:v>
      </x:c>
      <x:c r="F133" s="79" t="str">
        <x:v>OUVERT · textures UV/PNG 1:1 et patine à produire</x:v>
      </x:c>
      <x:c r="G133" s="79" t="str">
        <x:v>P1</x:v>
      </x:c>
      <x:c r="H133" s="79" t="str">
        <x:v>PNG indépendants aux bons détails et reflets</x:v>
      </x:c>
      <x:c r="I133" s="79" t="str">
        <x:v>https://www.avpgalaxy.net/merch/neca/predator/series/</x:v>
      </x:c>
      <x:c r="J133" s="79" t="str">
        <x:v>Art / QA</x:v>
      </x:c>
      <x:c r="K133" s="79" t="str">
        <x:v>https://github.com/darknigthmare/yautja-la-longue-chasse/pull/42</x:v>
      </x:c>
      <x:c r="L133" s="79" t="n">
        <x:v>0</x:v>
      </x:c>
    </x:row>
    <x:row r="134" ht="35" customHeight="1">
      <x:c r="A134" s="79" t="str">
        <x:v>V136-assassin-04</x:v>
      </x:c>
      <x:c r="B134" s="79" t="str">
        <x:v>assassin</x:v>
      </x:c>
      <x:c r="C134" s="79" t="str">
        <x:v>Upgrade / Assassin · The Predator 2018</x:v>
      </x:c>
      <x:c r="D134" s="79" t="str">
        <x:v>Charnière et animations</x:v>
      </x:c>
      <x:c r="E134" s="79" t="str">
        <x:v>Ouverture, gestes, pivot</x:v>
      </x:c>
      <x:c r="F134" s="79" t="str">
        <x:v>PARTIEL · capot CSS ; 3 gestes / rig 1:1 manquants</x:v>
      </x:c>
      <x:c r="G134" s="79" t="str">
        <x:v>P1</x:v>
      </x:c>
      <x:c r="H134" s="79" t="str">
        <x:v>Cohérence rig / armurerie / hologramme</x:v>
      </x:c>
      <x:c r="I134" s="79" t="str">
        <x:v>https://www.avpgalaxy.net/merch/neca/predator/series/</x:v>
      </x:c>
      <x:c r="J134" s="79" t="str">
        <x:v>Art / QA</x:v>
      </x:c>
      <x:c r="K134" s="79" t="str">
        <x:v>https://github.com/darknigthmare/yautja-la-longue-chasse/pull/42</x:v>
      </x:c>
      <x:c r="L134" s="79" t="n">
        <x:v>25</x:v>
      </x:c>
    </x:row>
    <x:row r="135" ht="35" customHeight="1">
      <x:c r="A135" s="79" t="str">
        <x:v>V136-assassin-05</x:v>
      </x:c>
      <x:c r="B135" s="79" t="str">
        <x:v>assassin</x:v>
      </x:c>
      <x:c r="C135" s="79" t="str">
        <x:v>Upgrade / Assassin · The Predator 2018</x:v>
      </x:c>
      <x:c r="D135" s="79" t="str">
        <x:v>Rendu jeu et contrôle</x:v>
      </x:c>
      <x:c r="E135" s="79" t="str">
        <x:v>Clavier, tactile, mobile, SFX</x:v>
      </x:c>
      <x:c r="F135" s="79" t="str">
        <x:v>PARTIEL · rendu React + QA autonome, jeu complet à tester</x:v>
      </x:c>
      <x:c r="G135" s="79" t="str">
        <x:v>P1</x:v>
      </x:c>
      <x:c r="H135" s="79" t="str">
        <x:v>Comparaison toutes vues et modes</x:v>
      </x:c>
      <x:c r="I135" s="79" t="str">
        <x:v>https://www.avpgalaxy.net/merch/neca/predator/series/</x:v>
      </x:c>
      <x:c r="J135" s="79" t="str">
        <x:v>Art / QA</x:v>
      </x:c>
      <x:c r="K135" s="79" t="str">
        <x:v>https://github.com/darknigthmare/yautja-la-longue-chasse/pull/42</x:v>
      </x:c>
      <x:c r="L135" s="79" t="n">
        <x:v>45</x:v>
      </x:c>
    </x:row>
    <x:row r="136" ht="35" customHeight="1">
      <x:c r="A136" s="79" t="str">
        <x:v>V136-assassin-06</x:v>
      </x:c>
      <x:c r="B136" s="79" t="str">
        <x:v>assassin</x:v>
      </x:c>
      <x:c r="C136" s="79" t="str">
        <x:v>Upgrade / Assassin · The Predator 2018</x:v>
      </x:c>
      <x:c r="D136" s="79" t="str">
        <x:v>Revue artistique et droits</x:v>
      </x:c>
      <x:c r="E136" s="79" t="str">
        <x:v>Validation finale 1:1</x:v>
      </x:c>
      <x:c r="F136" s="79" t="str">
        <x:v>OUVERT · revue humaine et autorisation IP nécessaires</x:v>
      </x:c>
      <x:c r="G136" s="79" t="str">
        <x:v>P1</x:v>
      </x:c>
      <x:c r="H136" s="79" t="str">
        <x:v>Ne jamais certifier sans approbation manuelle</x:v>
      </x:c>
      <x:c r="I136" s="79" t="str">
        <x:v>https://www.avpgalaxy.net/merch/neca/predator/series/</x:v>
      </x:c>
      <x:c r="J136" s="79" t="str">
        <x:v>Art / QA</x:v>
      </x:c>
      <x:c r="K136" s="79" t="str">
        <x:v>https://github.com/darknigthmare/yautja-la-longue-chasse/pull/42</x:v>
      </x:c>
      <x:c r="L136" s="79" t="n">
        <x:v>0</x:v>
      </x:c>
    </x:row>
    <x:row r="137" ht="35" customHeight="1">
      <x:c r="A137" s="79" t="str">
        <x:v>V136-feral-01</x:v>
      </x:c>
      <x:c r="B137" s="79" t="str">
        <x:v>feral</x:v>
      </x:c>
      <x:c r="C137" s="79" t="str">
        <x:v>Feral · Prey 2022</x:v>
      </x:c>
      <x:c r="D137" s="79" t="str">
        <x:v>Plan face/dessus/profil</x:v>
      </x:c>
      <x:c r="E137" s="79" t="str">
        <x:v>Preuve photogramme vérifiée</x:v>
      </x:c>
      <x:c r="F137" s="79" t="str">
        <x:v>OUVERT · plusieurs vues source film/jeu non relevées</x:v>
      </x:c>
      <x:c r="G137" s="79" t="str">
        <x:v>P0</x:v>
      </x:c>
      <x:c r="H137" s="79" t="str">
        <x:v>Photo, prop, capture jeu propre au gauntlet</x:v>
      </x:c>
      <x:c r="I137" s="79" t="str">
        <x:v>https://www.avpgalaxy.net/2022/07/31/new-prey-tv-spot-shows-feral-predators-cloak-vision-modes-and-gadgets/</x:v>
      </x:c>
      <x:c r="J137" s="79" t="str">
        <x:v>Art / QA</x:v>
      </x:c>
      <x:c r="K137" s="79" t="str">
        <x:v>https://github.com/darknigthmare/yautja-la-longue-chasse/pull/42</x:v>
      </x:c>
      <x:c r="L137" s="79" t="n">
        <x:v>0</x:v>
      </x:c>
    </x:row>
    <x:row r="138" ht="35" customHeight="1">
      <x:c r="A138" s="79" t="str">
        <x:v>V136-feral-02</x:v>
      </x:c>
      <x:c r="B138" s="79" t="str">
        <x:v>feral</x:v>
      </x:c>
      <x:c r="C138" s="79" t="str">
        <x:v>Feral · Prey 2022</x:v>
      </x:c>
      <x:c r="D138" s="79" t="str">
        <x:v>Proportions et silhouette</x:v>
      </x:c>
      <x:c r="E138" s="79" t="str">
        <x:v>Remodelage physique</x:v>
      </x:c>
      <x:c r="F138" s="79" t="str">
        <x:v>PARTIEL · silhouette SVG originale, proportions non mesurées</x:v>
      </x:c>
      <x:c r="G138" s="79" t="str">
        <x:v>P0</x:v>
      </x:c>
      <x:c r="H138" s="79" t="str">
        <x:v>Contrôle alignement poignet et pièces</x:v>
      </x:c>
      <x:c r="I138" s="79" t="str">
        <x:v>https://www.avpgalaxy.net/2022/07/31/new-prey-tv-spot-shows-feral-predators-cloak-vision-modes-and-gadgets/</x:v>
      </x:c>
      <x:c r="J138" s="79" t="str">
        <x:v>Art / QA</x:v>
      </x:c>
      <x:c r="K138" s="79" t="str">
        <x:v>https://github.com/darknigthmare/yautja-la-longue-chasse/pull/42</x:v>
      </x:c>
      <x:c r="L138" s="79" t="n">
        <x:v>25</x:v>
      </x:c>
    </x:row>
    <x:row r="139" ht="35" customHeight="1">
      <x:c r="A139" s="79" t="str">
        <x:v>V136-feral-03</x:v>
      </x:c>
      <x:c r="B139" s="79" t="str">
        <x:v>feral</x:v>
      </x:c>
      <x:c r="C139" s="79" t="str">
        <x:v>Feral · Prey 2022</x:v>
      </x:c>
      <x:c r="D139" s="79" t="str">
        <x:v>Textures UV et matériaux</x:v>
      </x:c>
      <x:c r="E139" s="79" t="str">
        <x:v>Matériaux et patine</x:v>
      </x:c>
      <x:c r="F139" s="79" t="str">
        <x:v>OUVERT · textures UV/PNG 1:1 et patine à produire</x:v>
      </x:c>
      <x:c r="G139" s="79" t="str">
        <x:v>P0</x:v>
      </x:c>
      <x:c r="H139" s="79" t="str">
        <x:v>PNG indépendants aux bons détails et reflets</x:v>
      </x:c>
      <x:c r="I139" s="79" t="str">
        <x:v>https://www.avpgalaxy.net/2022/07/31/new-prey-tv-spot-shows-feral-predators-cloak-vision-modes-and-gadgets/</x:v>
      </x:c>
      <x:c r="J139" s="79" t="str">
        <x:v>Art / QA</x:v>
      </x:c>
      <x:c r="K139" s="79" t="str">
        <x:v>https://github.com/darknigthmare/yautja-la-longue-chasse/pull/42</x:v>
      </x:c>
      <x:c r="L139" s="79" t="n">
        <x:v>0</x:v>
      </x:c>
    </x:row>
    <x:row r="140" ht="35" customHeight="1">
      <x:c r="A140" s="79" t="str">
        <x:v>V136-feral-04</x:v>
      </x:c>
      <x:c r="B140" s="79" t="str">
        <x:v>feral</x:v>
      </x:c>
      <x:c r="C140" s="79" t="str">
        <x:v>Feral · Prey 2022</x:v>
      </x:c>
      <x:c r="D140" s="79" t="str">
        <x:v>Charnière et animations</x:v>
      </x:c>
      <x:c r="E140" s="79" t="str">
        <x:v>Ouverture, gestes, pivot</x:v>
      </x:c>
      <x:c r="F140" s="79" t="str">
        <x:v>PARTIEL · capot CSS ; 3 gestes / rig 1:1 manquants</x:v>
      </x:c>
      <x:c r="G140" s="79" t="str">
        <x:v>P0</x:v>
      </x:c>
      <x:c r="H140" s="79" t="str">
        <x:v>Cohérence rig / armurerie / hologramme</x:v>
      </x:c>
      <x:c r="I140" s="79" t="str">
        <x:v>https://www.avpgalaxy.net/2022/07/31/new-prey-tv-spot-shows-feral-predators-cloak-vision-modes-and-gadgets/</x:v>
      </x:c>
      <x:c r="J140" s="79" t="str">
        <x:v>Art / QA</x:v>
      </x:c>
      <x:c r="K140" s="79" t="str">
        <x:v>https://github.com/darknigthmare/yautja-la-longue-chasse/pull/42</x:v>
      </x:c>
      <x:c r="L140" s="79" t="n">
        <x:v>25</x:v>
      </x:c>
    </x:row>
    <x:row r="141" ht="35" customHeight="1">
      <x:c r="A141" s="79" t="str">
        <x:v>V136-feral-05</x:v>
      </x:c>
      <x:c r="B141" s="79" t="str">
        <x:v>feral</x:v>
      </x:c>
      <x:c r="C141" s="79" t="str">
        <x:v>Feral · Prey 2022</x:v>
      </x:c>
      <x:c r="D141" s="79" t="str">
        <x:v>Rendu jeu et contrôle</x:v>
      </x:c>
      <x:c r="E141" s="79" t="str">
        <x:v>Clavier, tactile, mobile, SFX</x:v>
      </x:c>
      <x:c r="F141" s="79" t="str">
        <x:v>PARTIEL · rendu React + QA autonome, jeu complet à tester</x:v>
      </x:c>
      <x:c r="G141" s="79" t="str">
        <x:v>P0</x:v>
      </x:c>
      <x:c r="H141" s="79" t="str">
        <x:v>Comparaison toutes vues et modes</x:v>
      </x:c>
      <x:c r="I141" s="79" t="str">
        <x:v>https://www.avpgalaxy.net/2022/07/31/new-prey-tv-spot-shows-feral-predators-cloak-vision-modes-and-gadgets/</x:v>
      </x:c>
      <x:c r="J141" s="79" t="str">
        <x:v>Art / QA</x:v>
      </x:c>
      <x:c r="K141" s="79" t="str">
        <x:v>https://github.com/darknigthmare/yautja-la-longue-chasse/pull/42</x:v>
      </x:c>
      <x:c r="L141" s="79" t="n">
        <x:v>45</x:v>
      </x:c>
    </x:row>
    <x:row r="142" ht="35" customHeight="1">
      <x:c r="A142" s="79" t="str">
        <x:v>V136-feral-06</x:v>
      </x:c>
      <x:c r="B142" s="79" t="str">
        <x:v>feral</x:v>
      </x:c>
      <x:c r="C142" s="79" t="str">
        <x:v>Feral · Prey 2022</x:v>
      </x:c>
      <x:c r="D142" s="79" t="str">
        <x:v>Revue artistique et droits</x:v>
      </x:c>
      <x:c r="E142" s="79" t="str">
        <x:v>Validation finale 1:1</x:v>
      </x:c>
      <x:c r="F142" s="79" t="str">
        <x:v>OUVERT · revue humaine et autorisation IP nécessaires</x:v>
      </x:c>
      <x:c r="G142" s="79" t="str">
        <x:v>P0</x:v>
      </x:c>
      <x:c r="H142" s="79" t="str">
        <x:v>Ne jamais certifier sans approbation manuelle</x:v>
      </x:c>
      <x:c r="I142" s="79" t="str">
        <x:v>https://www.avpgalaxy.net/2022/07/31/new-prey-tv-spot-shows-feral-predators-cloak-vision-modes-and-gadgets/</x:v>
      </x:c>
      <x:c r="J142" s="79" t="str">
        <x:v>Art / QA</x:v>
      </x:c>
      <x:c r="K142" s="79" t="str">
        <x:v>https://github.com/darknigthmare/yautja-la-longue-chasse/pull/42</x:v>
      </x:c>
      <x:c r="L142" s="79" t="n">
        <x:v>0</x:v>
      </x:c>
    </x:row>
    <x:row r="143" ht="35" customHeight="1">
      <x:c r="A143" s="79" t="str">
        <x:v>V136-dek-01</x:v>
      </x:c>
      <x:c r="B143" s="79" t="str">
        <x:v>dek</x:v>
      </x:c>
      <x:c r="C143" s="79" t="str">
        <x:v>Dek · Badlands 2025</x:v>
      </x:c>
      <x:c r="D143" s="79" t="str">
        <x:v>Plan face/dessus/profil</x:v>
      </x:c>
      <x:c r="E143" s="79" t="str">
        <x:v>Preuve photogramme vérifiée</x:v>
      </x:c>
      <x:c r="F143" s="79" t="str">
        <x:v>OUVERT · plusieurs vues source film/jeu non relevées</x:v>
      </x:c>
      <x:c r="G143" s="79" t="str">
        <x:v>P0</x:v>
      </x:c>
      <x:c r="H143" s="79" t="str">
        <x:v>Photo, prop, capture jeu propre au gauntlet</x:v>
      </x:c>
      <x:c r="I143" s="79" t="str">
        <x:v>https://www.wetaworkshop.com/projects/predator-badlands</x:v>
      </x:c>
      <x:c r="J143" s="79" t="str">
        <x:v>Art / QA</x:v>
      </x:c>
      <x:c r="K143" s="79" t="str">
        <x:v>https://github.com/darknigthmare/yautja-la-longue-chasse/pull/42</x:v>
      </x:c>
      <x:c r="L143" s="79" t="n">
        <x:v>0</x:v>
      </x:c>
    </x:row>
    <x:row r="144" ht="35" customHeight="1">
      <x:c r="A144" s="79" t="str">
        <x:v>V136-dek-02</x:v>
      </x:c>
      <x:c r="B144" s="79" t="str">
        <x:v>dek</x:v>
      </x:c>
      <x:c r="C144" s="79" t="str">
        <x:v>Dek · Badlands 2025</x:v>
      </x:c>
      <x:c r="D144" s="79" t="str">
        <x:v>Proportions et silhouette</x:v>
      </x:c>
      <x:c r="E144" s="79" t="str">
        <x:v>Remodelage physique</x:v>
      </x:c>
      <x:c r="F144" s="79" t="str">
        <x:v>PARTIEL · silhouette SVG originale, proportions non mesurées</x:v>
      </x:c>
      <x:c r="G144" s="79" t="str">
        <x:v>P0</x:v>
      </x:c>
      <x:c r="H144" s="79" t="str">
        <x:v>Contrôle alignement poignet et pièces</x:v>
      </x:c>
      <x:c r="I144" s="79" t="str">
        <x:v>https://www.wetaworkshop.com/projects/predator-badlands</x:v>
      </x:c>
      <x:c r="J144" s="79" t="str">
        <x:v>Art / QA</x:v>
      </x:c>
      <x:c r="K144" s="79" t="str">
        <x:v>https://github.com/darknigthmare/yautja-la-longue-chasse/pull/42</x:v>
      </x:c>
      <x:c r="L144" s="79" t="n">
        <x:v>25</x:v>
      </x:c>
    </x:row>
    <x:row r="145" ht="35" customHeight="1">
      <x:c r="A145" s="79" t="str">
        <x:v>V136-dek-03</x:v>
      </x:c>
      <x:c r="B145" s="79" t="str">
        <x:v>dek</x:v>
      </x:c>
      <x:c r="C145" s="79" t="str">
        <x:v>Dek · Badlands 2025</x:v>
      </x:c>
      <x:c r="D145" s="79" t="str">
        <x:v>Textures UV et matériaux</x:v>
      </x:c>
      <x:c r="E145" s="79" t="str">
        <x:v>Matériaux et patine</x:v>
      </x:c>
      <x:c r="F145" s="79" t="str">
        <x:v>OUVERT · textures UV/PNG 1:1 et patine à produire</x:v>
      </x:c>
      <x:c r="G145" s="79" t="str">
        <x:v>P0</x:v>
      </x:c>
      <x:c r="H145" s="79" t="str">
        <x:v>PNG indépendants aux bons détails et reflets</x:v>
      </x:c>
      <x:c r="I145" s="79" t="str">
        <x:v>https://www.wetaworkshop.com/projects/predator-badlands</x:v>
      </x:c>
      <x:c r="J145" s="79" t="str">
        <x:v>Art / QA</x:v>
      </x:c>
      <x:c r="K145" s="79" t="str">
        <x:v>https://github.com/darknigthmare/yautja-la-longue-chasse/pull/42</x:v>
      </x:c>
      <x:c r="L145" s="79" t="n">
        <x:v>0</x:v>
      </x:c>
    </x:row>
    <x:row r="146" ht="35" customHeight="1">
      <x:c r="A146" s="79" t="str">
        <x:v>V136-dek-04</x:v>
      </x:c>
      <x:c r="B146" s="79" t="str">
        <x:v>dek</x:v>
      </x:c>
      <x:c r="C146" s="79" t="str">
        <x:v>Dek · Badlands 2025</x:v>
      </x:c>
      <x:c r="D146" s="79" t="str">
        <x:v>Charnière et animations</x:v>
      </x:c>
      <x:c r="E146" s="79" t="str">
        <x:v>Ouverture, gestes, pivot</x:v>
      </x:c>
      <x:c r="F146" s="79" t="str">
        <x:v>PARTIEL · capot CSS ; 3 gestes / rig 1:1 manquants</x:v>
      </x:c>
      <x:c r="G146" s="79" t="str">
        <x:v>P0</x:v>
      </x:c>
      <x:c r="H146" s="79" t="str">
        <x:v>Cohérence rig / armurerie / hologramme</x:v>
      </x:c>
      <x:c r="I146" s="79" t="str">
        <x:v>https://www.wetaworkshop.com/projects/predator-badlands</x:v>
      </x:c>
      <x:c r="J146" s="79" t="str">
        <x:v>Art / QA</x:v>
      </x:c>
      <x:c r="K146" s="79" t="str">
        <x:v>https://github.com/darknigthmare/yautja-la-longue-chasse/pull/42</x:v>
      </x:c>
      <x:c r="L146" s="79" t="n">
        <x:v>25</x:v>
      </x:c>
    </x:row>
    <x:row r="147" ht="35" customHeight="1">
      <x:c r="A147" s="79" t="str">
        <x:v>V136-dek-05</x:v>
      </x:c>
      <x:c r="B147" s="79" t="str">
        <x:v>dek</x:v>
      </x:c>
      <x:c r="C147" s="79" t="str">
        <x:v>Dek · Badlands 2025</x:v>
      </x:c>
      <x:c r="D147" s="79" t="str">
        <x:v>Rendu jeu et contrôle</x:v>
      </x:c>
      <x:c r="E147" s="79" t="str">
        <x:v>Clavier, tactile, mobile, SFX</x:v>
      </x:c>
      <x:c r="F147" s="79" t="str">
        <x:v>PARTIEL · rendu React + QA autonome, jeu complet à tester</x:v>
      </x:c>
      <x:c r="G147" s="79" t="str">
        <x:v>P0</x:v>
      </x:c>
      <x:c r="H147" s="79" t="str">
        <x:v>Comparaison toutes vues et modes</x:v>
      </x:c>
      <x:c r="I147" s="79" t="str">
        <x:v>https://www.wetaworkshop.com/projects/predator-badlands</x:v>
      </x:c>
      <x:c r="J147" s="79" t="str">
        <x:v>Art / QA</x:v>
      </x:c>
      <x:c r="K147" s="79" t="str">
        <x:v>https://github.com/darknigthmare/yautja-la-longue-chasse/pull/42</x:v>
      </x:c>
      <x:c r="L147" s="79" t="n">
        <x:v>45</x:v>
      </x:c>
    </x:row>
    <x:row r="148" ht="35" customHeight="1">
      <x:c r="A148" s="79" t="str">
        <x:v>V136-dek-06</x:v>
      </x:c>
      <x:c r="B148" s="79" t="str">
        <x:v>dek</x:v>
      </x:c>
      <x:c r="C148" s="79" t="str">
        <x:v>Dek · Badlands 2025</x:v>
      </x:c>
      <x:c r="D148" s="79" t="str">
        <x:v>Revue artistique et droits</x:v>
      </x:c>
      <x:c r="E148" s="79" t="str">
        <x:v>Validation finale 1:1</x:v>
      </x:c>
      <x:c r="F148" s="79" t="str">
        <x:v>OUVERT · revue humaine et autorisation IP nécessaires</x:v>
      </x:c>
      <x:c r="G148" s="79" t="str">
        <x:v>P0</x:v>
      </x:c>
      <x:c r="H148" s="79" t="str">
        <x:v>Ne jamais certifier sans approbation manuelle</x:v>
      </x:c>
      <x:c r="I148" s="79" t="str">
        <x:v>https://www.wetaworkshop.com/projects/predator-badlands</x:v>
      </x:c>
      <x:c r="J148" s="79" t="str">
        <x:v>Art / QA</x:v>
      </x:c>
      <x:c r="K148" s="79" t="str">
        <x:v>https://github.com/darknigthmare/yautja-la-longue-chasse/pull/42</x:v>
      </x:c>
      <x:c r="L148" s="79" t="n">
        <x:v>0</x:v>
      </x:c>
    </x:row>
    <x:row r="149" ht="35" customHeight="1">
      <x:c r="A149" s="79" t="str">
        <x:v>V136-kwei-01</x:v>
      </x:c>
      <x:c r="B149" s="79" t="str">
        <x:v>kwei</x:v>
      </x:c>
      <x:c r="C149" s="79" t="str">
        <x:v>Kwei · Badlands 2025</x:v>
      </x:c>
      <x:c r="D149" s="79" t="str">
        <x:v>Plan face/dessus/profil</x:v>
      </x:c>
      <x:c r="E149" s="79" t="str">
        <x:v>Preuve photogramme vérifiée</x:v>
      </x:c>
      <x:c r="F149" s="79" t="str">
        <x:v>OUVERT · plusieurs vues source film/jeu non relevées</x:v>
      </x:c>
      <x:c r="G149" s="79" t="str">
        <x:v>P1</x:v>
      </x:c>
      <x:c r="H149" s="79" t="str">
        <x:v>Photo, prop, capture jeu propre au gauntlet</x:v>
      </x:c>
      <x:c r="I149" s="79" t="str">
        <x:v>https://wetaworkshopdesignstudio.artstation.com/projects/rlxRPa</x:v>
      </x:c>
      <x:c r="J149" s="79" t="str">
        <x:v>Art / QA</x:v>
      </x:c>
      <x:c r="K149" s="79" t="str">
        <x:v>https://github.com/darknigthmare/yautja-la-longue-chasse/pull/42</x:v>
      </x:c>
      <x:c r="L149" s="79" t="n">
        <x:v>0</x:v>
      </x:c>
    </x:row>
    <x:row r="150" ht="35" customHeight="1">
      <x:c r="A150" s="79" t="str">
        <x:v>V136-kwei-02</x:v>
      </x:c>
      <x:c r="B150" s="79" t="str">
        <x:v>kwei</x:v>
      </x:c>
      <x:c r="C150" s="79" t="str">
        <x:v>Kwei · Badlands 2025</x:v>
      </x:c>
      <x:c r="D150" s="79" t="str">
        <x:v>Proportions et silhouette</x:v>
      </x:c>
      <x:c r="E150" s="79" t="str">
        <x:v>Remodelage physique</x:v>
      </x:c>
      <x:c r="F150" s="79" t="str">
        <x:v>PARTIEL · silhouette SVG originale, proportions non mesurées</x:v>
      </x:c>
      <x:c r="G150" s="79" t="str">
        <x:v>P1</x:v>
      </x:c>
      <x:c r="H150" s="79" t="str">
        <x:v>Contrôle alignement poignet et pièces</x:v>
      </x:c>
      <x:c r="I150" s="79" t="str">
        <x:v>https://wetaworkshopdesignstudio.artstation.com/projects/rlxRPa</x:v>
      </x:c>
      <x:c r="J150" s="79" t="str">
        <x:v>Art / QA</x:v>
      </x:c>
      <x:c r="K150" s="79" t="str">
        <x:v>https://github.com/darknigthmare/yautja-la-longue-chasse/pull/42</x:v>
      </x:c>
      <x:c r="L150" s="79" t="n">
        <x:v>25</x:v>
      </x:c>
    </x:row>
    <x:row r="151" ht="35" customHeight="1">
      <x:c r="A151" s="79" t="str">
        <x:v>V136-kwei-03</x:v>
      </x:c>
      <x:c r="B151" s="79" t="str">
        <x:v>kwei</x:v>
      </x:c>
      <x:c r="C151" s="79" t="str">
        <x:v>Kwei · Badlands 2025</x:v>
      </x:c>
      <x:c r="D151" s="79" t="str">
        <x:v>Textures UV et matériaux</x:v>
      </x:c>
      <x:c r="E151" s="79" t="str">
        <x:v>Matériaux et patine</x:v>
      </x:c>
      <x:c r="F151" s="79" t="str">
        <x:v>OUVERT · textures UV/PNG 1:1 et patine à produire</x:v>
      </x:c>
      <x:c r="G151" s="79" t="str">
        <x:v>P1</x:v>
      </x:c>
      <x:c r="H151" s="79" t="str">
        <x:v>PNG indépendants aux bons détails et reflets</x:v>
      </x:c>
      <x:c r="I151" s="79" t="str">
        <x:v>https://wetaworkshopdesignstudio.artstation.com/projects/rlxRPa</x:v>
      </x:c>
      <x:c r="J151" s="79" t="str">
        <x:v>Art / QA</x:v>
      </x:c>
      <x:c r="K151" s="79" t="str">
        <x:v>https://github.com/darknigthmare/yautja-la-longue-chasse/pull/42</x:v>
      </x:c>
      <x:c r="L151" s="79" t="n">
        <x:v>0</x:v>
      </x:c>
    </x:row>
    <x:row r="152" ht="35" customHeight="1">
      <x:c r="A152" s="79" t="str">
        <x:v>V136-kwei-04</x:v>
      </x:c>
      <x:c r="B152" s="79" t="str">
        <x:v>kwei</x:v>
      </x:c>
      <x:c r="C152" s="79" t="str">
        <x:v>Kwei · Badlands 2025</x:v>
      </x:c>
      <x:c r="D152" s="79" t="str">
        <x:v>Charnière et animations</x:v>
      </x:c>
      <x:c r="E152" s="79" t="str">
        <x:v>Ouverture, gestes, pivot</x:v>
      </x:c>
      <x:c r="F152" s="79" t="str">
        <x:v>PARTIEL · capot CSS ; 3 gestes / rig 1:1 manquants</x:v>
      </x:c>
      <x:c r="G152" s="79" t="str">
        <x:v>P1</x:v>
      </x:c>
      <x:c r="H152" s="79" t="str">
        <x:v>Cohérence rig / armurerie / hologramme</x:v>
      </x:c>
      <x:c r="I152" s="79" t="str">
        <x:v>https://wetaworkshopdesignstudio.artstation.com/projects/rlxRPa</x:v>
      </x:c>
      <x:c r="J152" s="79" t="str">
        <x:v>Art / QA</x:v>
      </x:c>
      <x:c r="K152" s="79" t="str">
        <x:v>https://github.com/darknigthmare/yautja-la-longue-chasse/pull/42</x:v>
      </x:c>
      <x:c r="L152" s="79" t="n">
        <x:v>25</x:v>
      </x:c>
    </x:row>
    <x:row r="153" ht="35" customHeight="1">
      <x:c r="A153" s="79" t="str">
        <x:v>V136-kwei-05</x:v>
      </x:c>
      <x:c r="B153" s="79" t="str">
        <x:v>kwei</x:v>
      </x:c>
      <x:c r="C153" s="79" t="str">
        <x:v>Kwei · Badlands 2025</x:v>
      </x:c>
      <x:c r="D153" s="79" t="str">
        <x:v>Rendu jeu et contrôle</x:v>
      </x:c>
      <x:c r="E153" s="79" t="str">
        <x:v>Clavier, tactile, mobile, SFX</x:v>
      </x:c>
      <x:c r="F153" s="79" t="str">
        <x:v>PARTIEL · rendu React + QA autonome, jeu complet à tester</x:v>
      </x:c>
      <x:c r="G153" s="79" t="str">
        <x:v>P1</x:v>
      </x:c>
      <x:c r="H153" s="79" t="str">
        <x:v>Comparaison toutes vues et modes</x:v>
      </x:c>
      <x:c r="I153" s="79" t="str">
        <x:v>https://wetaworkshopdesignstudio.artstation.com/projects/rlxRPa</x:v>
      </x:c>
      <x:c r="J153" s="79" t="str">
        <x:v>Art / QA</x:v>
      </x:c>
      <x:c r="K153" s="79" t="str">
        <x:v>https://github.com/darknigthmare/yautja-la-longue-chasse/pull/42</x:v>
      </x:c>
      <x:c r="L153" s="79" t="n">
        <x:v>45</x:v>
      </x:c>
    </x:row>
    <x:row r="154" ht="35" customHeight="1">
      <x:c r="A154" s="79" t="str">
        <x:v>V136-kwei-06</x:v>
      </x:c>
      <x:c r="B154" s="79" t="str">
        <x:v>kwei</x:v>
      </x:c>
      <x:c r="C154" s="79" t="str">
        <x:v>Kwei · Badlands 2025</x:v>
      </x:c>
      <x:c r="D154" s="79" t="str">
        <x:v>Revue artistique et droits</x:v>
      </x:c>
      <x:c r="E154" s="79" t="str">
        <x:v>Validation finale 1:1</x:v>
      </x:c>
      <x:c r="F154" s="79" t="str">
        <x:v>OUVERT · revue humaine et autorisation IP nécessaires</x:v>
      </x:c>
      <x:c r="G154" s="79" t="str">
        <x:v>P1</x:v>
      </x:c>
      <x:c r="H154" s="79" t="str">
        <x:v>Ne jamais certifier sans approbation manuelle</x:v>
      </x:c>
      <x:c r="I154" s="79" t="str">
        <x:v>https://wetaworkshopdesignstudio.artstation.com/projects/rlxRPa</x:v>
      </x:c>
      <x:c r="J154" s="79" t="str">
        <x:v>Art / QA</x:v>
      </x:c>
      <x:c r="K154" s="79" t="str">
        <x:v>https://github.com/darknigthmare/yautja-la-longue-chasse/pull/42</x:v>
      </x:c>
      <x:c r="L154" s="79" t="n">
        <x:v>0</x:v>
      </x:c>
    </x:row>
    <x:row r="155" ht="35" customHeight="1">
      <x:c r="A155" s="79" t="str">
        <x:v>V136-njohrr-01</x:v>
      </x:c>
      <x:c r="B155" s="79" t="str">
        <x:v>njohrr</x:v>
      </x:c>
      <x:c r="C155" s="79" t="str">
        <x:v>Njohrr · Badlands 2025</x:v>
      </x:c>
      <x:c r="D155" s="79" t="str">
        <x:v>Plan face/dessus/profil</x:v>
      </x:c>
      <x:c r="E155" s="79" t="str">
        <x:v>Preuve photogramme vérifiée</x:v>
      </x:c>
      <x:c r="F155" s="79" t="str">
        <x:v>OUVERT · plusieurs vues source film/jeu non relevées</x:v>
      </x:c>
      <x:c r="G155" s="79" t="str">
        <x:v>P1</x:v>
      </x:c>
      <x:c r="H155" s="79" t="str">
        <x:v>Photo, prop, capture jeu propre au gauntlet</x:v>
      </x:c>
      <x:c r="I155" s="79" t="str">
        <x:v>https://wetaworkshopdesignstudio.artstation.com/projects/rlxRPa</x:v>
      </x:c>
      <x:c r="J155" s="79" t="str">
        <x:v>Art / QA</x:v>
      </x:c>
      <x:c r="K155" s="79" t="str">
        <x:v>https://github.com/darknigthmare/yautja-la-longue-chasse/pull/42</x:v>
      </x:c>
      <x:c r="L155" s="79" t="n">
        <x:v>0</x:v>
      </x:c>
    </x:row>
    <x:row r="156" ht="35" customHeight="1">
      <x:c r="A156" s="79" t="str">
        <x:v>V136-njohrr-02</x:v>
      </x:c>
      <x:c r="B156" s="79" t="str">
        <x:v>njohrr</x:v>
      </x:c>
      <x:c r="C156" s="79" t="str">
        <x:v>Njohrr · Badlands 2025</x:v>
      </x:c>
      <x:c r="D156" s="79" t="str">
        <x:v>Proportions et silhouette</x:v>
      </x:c>
      <x:c r="E156" s="79" t="str">
        <x:v>Remodelage physique</x:v>
      </x:c>
      <x:c r="F156" s="79" t="str">
        <x:v>PARTIEL · silhouette SVG originale, proportions non mesurées</x:v>
      </x:c>
      <x:c r="G156" s="79" t="str">
        <x:v>P1</x:v>
      </x:c>
      <x:c r="H156" s="79" t="str">
        <x:v>Contrôle alignement poignet et pièces</x:v>
      </x:c>
      <x:c r="I156" s="79" t="str">
        <x:v>https://wetaworkshopdesignstudio.artstation.com/projects/rlxRPa</x:v>
      </x:c>
      <x:c r="J156" s="79" t="str">
        <x:v>Art / QA</x:v>
      </x:c>
      <x:c r="K156" s="79" t="str">
        <x:v>https://github.com/darknigthmare/yautja-la-longue-chasse/pull/42</x:v>
      </x:c>
      <x:c r="L156" s="79" t="n">
        <x:v>25</x:v>
      </x:c>
    </x:row>
    <x:row r="157" ht="35" customHeight="1">
      <x:c r="A157" s="79" t="str">
        <x:v>V136-njohrr-03</x:v>
      </x:c>
      <x:c r="B157" s="79" t="str">
        <x:v>njohrr</x:v>
      </x:c>
      <x:c r="C157" s="79" t="str">
        <x:v>Njohrr · Badlands 2025</x:v>
      </x:c>
      <x:c r="D157" s="79" t="str">
        <x:v>Textures UV et matériaux</x:v>
      </x:c>
      <x:c r="E157" s="79" t="str">
        <x:v>Matériaux et patine</x:v>
      </x:c>
      <x:c r="F157" s="79" t="str">
        <x:v>OUVERT · textures UV/PNG 1:1 et patine à produire</x:v>
      </x:c>
      <x:c r="G157" s="79" t="str">
        <x:v>P1</x:v>
      </x:c>
      <x:c r="H157" s="79" t="str">
        <x:v>PNG indépendants aux bons détails et reflets</x:v>
      </x:c>
      <x:c r="I157" s="79" t="str">
        <x:v>https://wetaworkshopdesignstudio.artstation.com/projects/rlxRPa</x:v>
      </x:c>
      <x:c r="J157" s="79" t="str">
        <x:v>Art / QA</x:v>
      </x:c>
      <x:c r="K157" s="79" t="str">
        <x:v>https://github.com/darknigthmare/yautja-la-longue-chasse/pull/42</x:v>
      </x:c>
      <x:c r="L157" s="79" t="n">
        <x:v>0</x:v>
      </x:c>
    </x:row>
    <x:row r="158" ht="35" customHeight="1">
      <x:c r="A158" s="79" t="str">
        <x:v>V136-njohrr-04</x:v>
      </x:c>
      <x:c r="B158" s="79" t="str">
        <x:v>njohrr</x:v>
      </x:c>
      <x:c r="C158" s="79" t="str">
        <x:v>Njohrr · Badlands 2025</x:v>
      </x:c>
      <x:c r="D158" s="79" t="str">
        <x:v>Charnière et animations</x:v>
      </x:c>
      <x:c r="E158" s="79" t="str">
        <x:v>Ouverture, gestes, pivot</x:v>
      </x:c>
      <x:c r="F158" s="79" t="str">
        <x:v>PARTIEL · capot CSS ; 3 gestes / rig 1:1 manquants</x:v>
      </x:c>
      <x:c r="G158" s="79" t="str">
        <x:v>P1</x:v>
      </x:c>
      <x:c r="H158" s="79" t="str">
        <x:v>Cohérence rig / armurerie / hologramme</x:v>
      </x:c>
      <x:c r="I158" s="79" t="str">
        <x:v>https://wetaworkshopdesignstudio.artstation.com/projects/rlxRPa</x:v>
      </x:c>
      <x:c r="J158" s="79" t="str">
        <x:v>Art / QA</x:v>
      </x:c>
      <x:c r="K158" s="79" t="str">
        <x:v>https://github.com/darknigthmare/yautja-la-longue-chasse/pull/42</x:v>
      </x:c>
      <x:c r="L158" s="79" t="n">
        <x:v>25</x:v>
      </x:c>
    </x:row>
    <x:row r="159" ht="35" customHeight="1">
      <x:c r="A159" s="79" t="str">
        <x:v>V136-njohrr-05</x:v>
      </x:c>
      <x:c r="B159" s="79" t="str">
        <x:v>njohrr</x:v>
      </x:c>
      <x:c r="C159" s="79" t="str">
        <x:v>Njohrr · Badlands 2025</x:v>
      </x:c>
      <x:c r="D159" s="79" t="str">
        <x:v>Rendu jeu et contrôle</x:v>
      </x:c>
      <x:c r="E159" s="79" t="str">
        <x:v>Clavier, tactile, mobile, SFX</x:v>
      </x:c>
      <x:c r="F159" s="79" t="str">
        <x:v>PARTIEL · rendu React + QA autonome, jeu complet à tester</x:v>
      </x:c>
      <x:c r="G159" s="79" t="str">
        <x:v>P1</x:v>
      </x:c>
      <x:c r="H159" s="79" t="str">
        <x:v>Comparaison toutes vues et modes</x:v>
      </x:c>
      <x:c r="I159" s="79" t="str">
        <x:v>https://wetaworkshopdesignstudio.artstation.com/projects/rlxRPa</x:v>
      </x:c>
      <x:c r="J159" s="79" t="str">
        <x:v>Art / QA</x:v>
      </x:c>
      <x:c r="K159" s="79" t="str">
        <x:v>https://github.com/darknigthmare/yautja-la-longue-chasse/pull/42</x:v>
      </x:c>
      <x:c r="L159" s="79" t="n">
        <x:v>45</x:v>
      </x:c>
    </x:row>
    <x:row r="160" ht="35" customHeight="1">
      <x:c r="A160" s="79" t="str">
        <x:v>V136-njohrr-06</x:v>
      </x:c>
      <x:c r="B160" s="79" t="str">
        <x:v>njohrr</x:v>
      </x:c>
      <x:c r="C160" s="79" t="str">
        <x:v>Njohrr · Badlands 2025</x:v>
      </x:c>
      <x:c r="D160" s="79" t="str">
        <x:v>Revue artistique et droits</x:v>
      </x:c>
      <x:c r="E160" s="79" t="str">
        <x:v>Validation finale 1:1</x:v>
      </x:c>
      <x:c r="F160" s="79" t="str">
        <x:v>OUVERT · revue humaine et autorisation IP nécessaires</x:v>
      </x:c>
      <x:c r="G160" s="79" t="str">
        <x:v>P1</x:v>
      </x:c>
      <x:c r="H160" s="79" t="str">
        <x:v>Ne jamais certifier sans approbation manuelle</x:v>
      </x:c>
      <x:c r="I160" s="79" t="str">
        <x:v>https://wetaworkshopdesignstudio.artstation.com/projects/rlxRPa</x:v>
      </x:c>
      <x:c r="J160" s="79" t="str">
        <x:v>Art / QA</x:v>
      </x:c>
      <x:c r="K160" s="79" t="str">
        <x:v>https://github.com/darknigthmare/yautja-la-longue-chasse/pull/42</x:v>
      </x:c>
      <x:c r="L160" s="79" t="n">
        <x:v>0</x:v>
      </x:c>
    </x:row>
    <x:row r="161" ht="35" customHeight="1">
      <x:c r="A161" s="79" t="str">
        <x:v>V136-kok-viking-01</x:v>
      </x:c>
      <x:c r="B161" s="79" t="str">
        <x:v>kok-viking</x:v>
      </x:c>
      <x:c r="C161" s="79" t="str">
        <x:v>Chasseur Viking · Killer of Killers</x:v>
      </x:c>
      <x:c r="D161" s="79" t="str">
        <x:v>Plan face/dessus/profil</x:v>
      </x:c>
      <x:c r="E161" s="79" t="str">
        <x:v>Preuve photogramme vérifiée</x:v>
      </x:c>
      <x:c r="F161" s="79" t="str">
        <x:v>OUVERT · plusieurs vues source film/jeu non relevées</x:v>
      </x:c>
      <x:c r="G161" s="79" t="str">
        <x:v>P1</x:v>
      </x:c>
      <x:c r="H161" s="79" t="str">
        <x:v>Photo, prop, capture jeu propre au gauntlet</x:v>
      </x:c>
      <x:c r="I161" s="79" t="str">
        <x:v>https://www.20thcenturystudios.com/movies/predator-killer-of-killers</x:v>
      </x:c>
      <x:c r="J161" s="79" t="str">
        <x:v>Art / QA</x:v>
      </x:c>
      <x:c r="K161" s="79" t="str">
        <x:v>https://github.com/darknigthmare/yautja-la-longue-chasse/pull/42</x:v>
      </x:c>
      <x:c r="L161" s="79" t="n">
        <x:v>0</x:v>
      </x:c>
    </x:row>
    <x:row r="162" ht="35" customHeight="1">
      <x:c r="A162" s="79" t="str">
        <x:v>V136-kok-viking-02</x:v>
      </x:c>
      <x:c r="B162" s="79" t="str">
        <x:v>kok-viking</x:v>
      </x:c>
      <x:c r="C162" s="79" t="str">
        <x:v>Chasseur Viking · Killer of Killers</x:v>
      </x:c>
      <x:c r="D162" s="79" t="str">
        <x:v>Proportions et silhouette</x:v>
      </x:c>
      <x:c r="E162" s="79" t="str">
        <x:v>Remodelage physique</x:v>
      </x:c>
      <x:c r="F162" s="79" t="str">
        <x:v>PARTIEL · silhouette SVG originale, proportions non mesurées</x:v>
      </x:c>
      <x:c r="G162" s="79" t="str">
        <x:v>P1</x:v>
      </x:c>
      <x:c r="H162" s="79" t="str">
        <x:v>Contrôle alignement poignet et pièces</x:v>
      </x:c>
      <x:c r="I162" s="79" t="str">
        <x:v>https://www.20thcenturystudios.com/movies/predator-killer-of-killers</x:v>
      </x:c>
      <x:c r="J162" s="79" t="str">
        <x:v>Art / QA</x:v>
      </x:c>
      <x:c r="K162" s="79" t="str">
        <x:v>https://github.com/darknigthmare/yautja-la-longue-chasse/pull/42</x:v>
      </x:c>
      <x:c r="L162" s="79" t="n">
        <x:v>25</x:v>
      </x:c>
    </x:row>
    <x:row r="163" ht="35" customHeight="1">
      <x:c r="A163" s="79" t="str">
        <x:v>V136-kok-viking-03</x:v>
      </x:c>
      <x:c r="B163" s="79" t="str">
        <x:v>kok-viking</x:v>
      </x:c>
      <x:c r="C163" s="79" t="str">
        <x:v>Chasseur Viking · Killer of Killers</x:v>
      </x:c>
      <x:c r="D163" s="79" t="str">
        <x:v>Textures UV et matériaux</x:v>
      </x:c>
      <x:c r="E163" s="79" t="str">
        <x:v>Matériaux et patine</x:v>
      </x:c>
      <x:c r="F163" s="79" t="str">
        <x:v>OUVERT · textures UV/PNG 1:1 et patine à produire</x:v>
      </x:c>
      <x:c r="G163" s="79" t="str">
        <x:v>P1</x:v>
      </x:c>
      <x:c r="H163" s="79" t="str">
        <x:v>PNG indépendants aux bons détails et reflets</x:v>
      </x:c>
      <x:c r="I163" s="79" t="str">
        <x:v>https://www.20thcenturystudios.com/movies/predator-killer-of-killers</x:v>
      </x:c>
      <x:c r="J163" s="79" t="str">
        <x:v>Art / QA</x:v>
      </x:c>
      <x:c r="K163" s="79" t="str">
        <x:v>https://github.com/darknigthmare/yautja-la-longue-chasse/pull/42</x:v>
      </x:c>
      <x:c r="L163" s="79" t="n">
        <x:v>0</x:v>
      </x:c>
    </x:row>
    <x:row r="164" ht="35" customHeight="1">
      <x:c r="A164" s="79" t="str">
        <x:v>V136-kok-viking-04</x:v>
      </x:c>
      <x:c r="B164" s="79" t="str">
        <x:v>kok-viking</x:v>
      </x:c>
      <x:c r="C164" s="79" t="str">
        <x:v>Chasseur Viking · Killer of Killers</x:v>
      </x:c>
      <x:c r="D164" s="79" t="str">
        <x:v>Charnière et animations</x:v>
      </x:c>
      <x:c r="E164" s="79" t="str">
        <x:v>Ouverture, gestes, pivot</x:v>
      </x:c>
      <x:c r="F164" s="79" t="str">
        <x:v>PARTIEL · capot CSS ; 3 gestes / rig 1:1 manquants</x:v>
      </x:c>
      <x:c r="G164" s="79" t="str">
        <x:v>P1</x:v>
      </x:c>
      <x:c r="H164" s="79" t="str">
        <x:v>Cohérence rig / armurerie / hologramme</x:v>
      </x:c>
      <x:c r="I164" s="79" t="str">
        <x:v>https://www.20thcenturystudios.com/movies/predator-killer-of-killers</x:v>
      </x:c>
      <x:c r="J164" s="79" t="str">
        <x:v>Art / QA</x:v>
      </x:c>
      <x:c r="K164" s="79" t="str">
        <x:v>https://github.com/darknigthmare/yautja-la-longue-chasse/pull/42</x:v>
      </x:c>
      <x:c r="L164" s="79" t="n">
        <x:v>25</x:v>
      </x:c>
    </x:row>
    <x:row r="165" ht="35" customHeight="1">
      <x:c r="A165" s="79" t="str">
        <x:v>V136-kok-viking-05</x:v>
      </x:c>
      <x:c r="B165" s="79" t="str">
        <x:v>kok-viking</x:v>
      </x:c>
      <x:c r="C165" s="79" t="str">
        <x:v>Chasseur Viking · Killer of Killers</x:v>
      </x:c>
      <x:c r="D165" s="79" t="str">
        <x:v>Rendu jeu et contrôle</x:v>
      </x:c>
      <x:c r="E165" s="79" t="str">
        <x:v>Clavier, tactile, mobile, SFX</x:v>
      </x:c>
      <x:c r="F165" s="79" t="str">
        <x:v>PARTIEL · rendu React + QA autonome, jeu complet à tester</x:v>
      </x:c>
      <x:c r="G165" s="79" t="str">
        <x:v>P1</x:v>
      </x:c>
      <x:c r="H165" s="79" t="str">
        <x:v>Comparaison toutes vues et modes</x:v>
      </x:c>
      <x:c r="I165" s="79" t="str">
        <x:v>https://www.20thcenturystudios.com/movies/predator-killer-of-killers</x:v>
      </x:c>
      <x:c r="J165" s="79" t="str">
        <x:v>Art / QA</x:v>
      </x:c>
      <x:c r="K165" s="79" t="str">
        <x:v>https://github.com/darknigthmare/yautja-la-longue-chasse/pull/42</x:v>
      </x:c>
      <x:c r="L165" s="79" t="n">
        <x:v>45</x:v>
      </x:c>
    </x:row>
    <x:row r="166" ht="35" customHeight="1">
      <x:c r="A166" s="79" t="str">
        <x:v>V136-kok-viking-06</x:v>
      </x:c>
      <x:c r="B166" s="79" t="str">
        <x:v>kok-viking</x:v>
      </x:c>
      <x:c r="C166" s="79" t="str">
        <x:v>Chasseur Viking · Killer of Killers</x:v>
      </x:c>
      <x:c r="D166" s="79" t="str">
        <x:v>Revue artistique et droits</x:v>
      </x:c>
      <x:c r="E166" s="79" t="str">
        <x:v>Validation finale 1:1</x:v>
      </x:c>
      <x:c r="F166" s="79" t="str">
        <x:v>OUVERT · revue humaine et autorisation IP nécessaires</x:v>
      </x:c>
      <x:c r="G166" s="79" t="str">
        <x:v>P1</x:v>
      </x:c>
      <x:c r="H166" s="79" t="str">
        <x:v>Ne jamais certifier sans approbation manuelle</x:v>
      </x:c>
      <x:c r="I166" s="79" t="str">
        <x:v>https://www.20thcenturystudios.com/movies/predator-killer-of-killers</x:v>
      </x:c>
      <x:c r="J166" s="79" t="str">
        <x:v>Art / QA</x:v>
      </x:c>
      <x:c r="K166" s="79" t="str">
        <x:v>https://github.com/darknigthmare/yautja-la-longue-chasse/pull/42</x:v>
      </x:c>
      <x:c r="L166" s="79" t="n">
        <x:v>0</x:v>
      </x:c>
    </x:row>
    <x:row r="167" ht="35" customHeight="1">
      <x:c r="A167" s="79" t="str">
        <x:v>V136-kok-ninja-01</x:v>
      </x:c>
      <x:c r="B167" s="79" t="str">
        <x:v>kok-ninja</x:v>
      </x:c>
      <x:c r="C167" s="79" t="str">
        <x:v>Chasseur Ninja · Killer of Killers</x:v>
      </x:c>
      <x:c r="D167" s="79" t="str">
        <x:v>Plan face/dessus/profil</x:v>
      </x:c>
      <x:c r="E167" s="79" t="str">
        <x:v>Preuve photogramme vérifiée</x:v>
      </x:c>
      <x:c r="F167" s="79" t="str">
        <x:v>OUVERT · plusieurs vues source film/jeu non relevées</x:v>
      </x:c>
      <x:c r="G167" s="79" t="str">
        <x:v>P1</x:v>
      </x:c>
      <x:c r="H167" s="79" t="str">
        <x:v>Photo, prop, capture jeu propre au gauntlet</x:v>
      </x:c>
      <x:c r="I167" s="79" t="str">
        <x:v>https://www.20thcenturystudios.com/movies/predator-killer-of-killers</x:v>
      </x:c>
      <x:c r="J167" s="79" t="str">
        <x:v>Art / QA</x:v>
      </x:c>
      <x:c r="K167" s="79" t="str">
        <x:v>https://github.com/darknigthmare/yautja-la-longue-chasse/pull/42</x:v>
      </x:c>
      <x:c r="L167" s="79" t="n">
        <x:v>0</x:v>
      </x:c>
    </x:row>
    <x:row r="168" ht="35" customHeight="1">
      <x:c r="A168" s="79" t="str">
        <x:v>V136-kok-ninja-02</x:v>
      </x:c>
      <x:c r="B168" s="79" t="str">
        <x:v>kok-ninja</x:v>
      </x:c>
      <x:c r="C168" s="79" t="str">
        <x:v>Chasseur Ninja · Killer of Killers</x:v>
      </x:c>
      <x:c r="D168" s="79" t="str">
        <x:v>Proportions et silhouette</x:v>
      </x:c>
      <x:c r="E168" s="79" t="str">
        <x:v>Remodelage physique</x:v>
      </x:c>
      <x:c r="F168" s="79" t="str">
        <x:v>PARTIEL · silhouette SVG originale, proportions non mesurées</x:v>
      </x:c>
      <x:c r="G168" s="79" t="str">
        <x:v>P1</x:v>
      </x:c>
      <x:c r="H168" s="79" t="str">
        <x:v>Contrôle alignement poignet et pièces</x:v>
      </x:c>
      <x:c r="I168" s="79" t="str">
        <x:v>https://www.20thcenturystudios.com/movies/predator-killer-of-killers</x:v>
      </x:c>
      <x:c r="J168" s="79" t="str">
        <x:v>Art / QA</x:v>
      </x:c>
      <x:c r="K168" s="79" t="str">
        <x:v>https://github.com/darknigthmare/yautja-la-longue-chasse/pull/42</x:v>
      </x:c>
      <x:c r="L168" s="79" t="n">
        <x:v>25</x:v>
      </x:c>
    </x:row>
    <x:row r="169" ht="35" customHeight="1">
      <x:c r="A169" s="79" t="str">
        <x:v>V136-kok-ninja-03</x:v>
      </x:c>
      <x:c r="B169" s="79" t="str">
        <x:v>kok-ninja</x:v>
      </x:c>
      <x:c r="C169" s="79" t="str">
        <x:v>Chasseur Ninja · Killer of Killers</x:v>
      </x:c>
      <x:c r="D169" s="79" t="str">
        <x:v>Textures UV et matériaux</x:v>
      </x:c>
      <x:c r="E169" s="79" t="str">
        <x:v>Matériaux et patine</x:v>
      </x:c>
      <x:c r="F169" s="79" t="str">
        <x:v>OUVERT · textures UV/PNG 1:1 et patine à produire</x:v>
      </x:c>
      <x:c r="G169" s="79" t="str">
        <x:v>P1</x:v>
      </x:c>
      <x:c r="H169" s="79" t="str">
        <x:v>PNG indépendants aux bons détails et reflets</x:v>
      </x:c>
      <x:c r="I169" s="79" t="str">
        <x:v>https://www.20thcenturystudios.com/movies/predator-killer-of-killers</x:v>
      </x:c>
      <x:c r="J169" s="79" t="str">
        <x:v>Art / QA</x:v>
      </x:c>
      <x:c r="K169" s="79" t="str">
        <x:v>https://github.com/darknigthmare/yautja-la-longue-chasse/pull/42</x:v>
      </x:c>
      <x:c r="L169" s="79" t="n">
        <x:v>0</x:v>
      </x:c>
    </x:row>
    <x:row r="170" ht="35" customHeight="1">
      <x:c r="A170" s="79" t="str">
        <x:v>V136-kok-ninja-04</x:v>
      </x:c>
      <x:c r="B170" s="79" t="str">
        <x:v>kok-ninja</x:v>
      </x:c>
      <x:c r="C170" s="79" t="str">
        <x:v>Chasseur Ninja · Killer of Killers</x:v>
      </x:c>
      <x:c r="D170" s="79" t="str">
        <x:v>Charnière et animations</x:v>
      </x:c>
      <x:c r="E170" s="79" t="str">
        <x:v>Ouverture, gestes, pivot</x:v>
      </x:c>
      <x:c r="F170" s="79" t="str">
        <x:v>PARTIEL · capot CSS ; 3 gestes / rig 1:1 manquants</x:v>
      </x:c>
      <x:c r="G170" s="79" t="str">
        <x:v>P1</x:v>
      </x:c>
      <x:c r="H170" s="79" t="str">
        <x:v>Cohérence rig / armurerie / hologramme</x:v>
      </x:c>
      <x:c r="I170" s="79" t="str">
        <x:v>https://www.20thcenturystudios.com/movies/predator-killer-of-killers</x:v>
      </x:c>
      <x:c r="J170" s="79" t="str">
        <x:v>Art / QA</x:v>
      </x:c>
      <x:c r="K170" s="79" t="str">
        <x:v>https://github.com/darknigthmare/yautja-la-longue-chasse/pull/42</x:v>
      </x:c>
      <x:c r="L170" s="79" t="n">
        <x:v>25</x:v>
      </x:c>
    </x:row>
    <x:row r="171" ht="35" customHeight="1">
      <x:c r="A171" s="79" t="str">
        <x:v>V136-kok-ninja-05</x:v>
      </x:c>
      <x:c r="B171" s="79" t="str">
        <x:v>kok-ninja</x:v>
      </x:c>
      <x:c r="C171" s="79" t="str">
        <x:v>Chasseur Ninja · Killer of Killers</x:v>
      </x:c>
      <x:c r="D171" s="79" t="str">
        <x:v>Rendu jeu et contrôle</x:v>
      </x:c>
      <x:c r="E171" s="79" t="str">
        <x:v>Clavier, tactile, mobile, SFX</x:v>
      </x:c>
      <x:c r="F171" s="79" t="str">
        <x:v>PARTIEL · rendu React + QA autonome, jeu complet à tester</x:v>
      </x:c>
      <x:c r="G171" s="79" t="str">
        <x:v>P1</x:v>
      </x:c>
      <x:c r="H171" s="79" t="str">
        <x:v>Comparaison toutes vues et modes</x:v>
      </x:c>
      <x:c r="I171" s="79" t="str">
        <x:v>https://www.20thcenturystudios.com/movies/predator-killer-of-killers</x:v>
      </x:c>
      <x:c r="J171" s="79" t="str">
        <x:v>Art / QA</x:v>
      </x:c>
      <x:c r="K171" s="79" t="str">
        <x:v>https://github.com/darknigthmare/yautja-la-longue-chasse/pull/42</x:v>
      </x:c>
      <x:c r="L171" s="79" t="n">
        <x:v>45</x:v>
      </x:c>
    </x:row>
    <x:row r="172" ht="35" customHeight="1">
      <x:c r="A172" s="79" t="str">
        <x:v>V136-kok-ninja-06</x:v>
      </x:c>
      <x:c r="B172" s="79" t="str">
        <x:v>kok-ninja</x:v>
      </x:c>
      <x:c r="C172" s="79" t="str">
        <x:v>Chasseur Ninja · Killer of Killers</x:v>
      </x:c>
      <x:c r="D172" s="79" t="str">
        <x:v>Revue artistique et droits</x:v>
      </x:c>
      <x:c r="E172" s="79" t="str">
        <x:v>Validation finale 1:1</x:v>
      </x:c>
      <x:c r="F172" s="79" t="str">
        <x:v>OUVERT · revue humaine et autorisation IP nécessaires</x:v>
      </x:c>
      <x:c r="G172" s="79" t="str">
        <x:v>P1</x:v>
      </x:c>
      <x:c r="H172" s="79" t="str">
        <x:v>Ne jamais certifier sans approbation manuelle</x:v>
      </x:c>
      <x:c r="I172" s="79" t="str">
        <x:v>https://www.20thcenturystudios.com/movies/predator-killer-of-killers</x:v>
      </x:c>
      <x:c r="J172" s="79" t="str">
        <x:v>Art / QA</x:v>
      </x:c>
      <x:c r="K172" s="79" t="str">
        <x:v>https://github.com/darknigthmare/yautja-la-longue-chasse/pull/42</x:v>
      </x:c>
      <x:c r="L172" s="79" t="n">
        <x:v>0</x:v>
      </x:c>
    </x:row>
    <x:row r="173" ht="35" customHeight="1">
      <x:c r="A173" s="79" t="str">
        <x:v>V136-kok-pilot-01</x:v>
      </x:c>
      <x:c r="B173" s="79" t="str">
        <x:v>kok-pilot</x:v>
      </x:c>
      <x:c r="C173" s="79" t="str">
        <x:v>Chasseur Pilote · Killer of Killers</x:v>
      </x:c>
      <x:c r="D173" s="79" t="str">
        <x:v>Plan face/dessus/profil</x:v>
      </x:c>
      <x:c r="E173" s="79" t="str">
        <x:v>Preuve photogramme vérifiée</x:v>
      </x:c>
      <x:c r="F173" s="79" t="str">
        <x:v>OUVERT · plusieurs vues source film/jeu non relevées</x:v>
      </x:c>
      <x:c r="G173" s="79" t="str">
        <x:v>P1</x:v>
      </x:c>
      <x:c r="H173" s="79" t="str">
        <x:v>Photo, prop, capture jeu propre au gauntlet</x:v>
      </x:c>
      <x:c r="I173" s="79" t="str">
        <x:v>https://www.20thcenturystudios.com/movies/predator-killer-of-killers</x:v>
      </x:c>
      <x:c r="J173" s="79" t="str">
        <x:v>Art / QA</x:v>
      </x:c>
      <x:c r="K173" s="79" t="str">
        <x:v>https://github.com/darknigthmare/yautja-la-longue-chasse/pull/42</x:v>
      </x:c>
      <x:c r="L173" s="79" t="n">
        <x:v>0</x:v>
      </x:c>
    </x:row>
    <x:row r="174" ht="35" customHeight="1">
      <x:c r="A174" s="79" t="str">
        <x:v>V136-kok-pilot-02</x:v>
      </x:c>
      <x:c r="B174" s="79" t="str">
        <x:v>kok-pilot</x:v>
      </x:c>
      <x:c r="C174" s="79" t="str">
        <x:v>Chasseur Pilote · Killer of Killers</x:v>
      </x:c>
      <x:c r="D174" s="79" t="str">
        <x:v>Proportions et silhouette</x:v>
      </x:c>
      <x:c r="E174" s="79" t="str">
        <x:v>Remodelage physique</x:v>
      </x:c>
      <x:c r="F174" s="79" t="str">
        <x:v>PARTIEL · silhouette SVG originale, proportions non mesurées</x:v>
      </x:c>
      <x:c r="G174" s="79" t="str">
        <x:v>P1</x:v>
      </x:c>
      <x:c r="H174" s="79" t="str">
        <x:v>Contrôle alignement poignet et pièces</x:v>
      </x:c>
      <x:c r="I174" s="79" t="str">
        <x:v>https://www.20thcenturystudios.com/movies/predator-killer-of-killers</x:v>
      </x:c>
      <x:c r="J174" s="79" t="str">
        <x:v>Art / QA</x:v>
      </x:c>
      <x:c r="K174" s="79" t="str">
        <x:v>https://github.com/darknigthmare/yautja-la-longue-chasse/pull/42</x:v>
      </x:c>
      <x:c r="L174" s="79" t="n">
        <x:v>25</x:v>
      </x:c>
    </x:row>
    <x:row r="175" ht="35" customHeight="1">
      <x:c r="A175" s="79" t="str">
        <x:v>V136-kok-pilot-03</x:v>
      </x:c>
      <x:c r="B175" s="79" t="str">
        <x:v>kok-pilot</x:v>
      </x:c>
      <x:c r="C175" s="79" t="str">
        <x:v>Chasseur Pilote · Killer of Killers</x:v>
      </x:c>
      <x:c r="D175" s="79" t="str">
        <x:v>Textures UV et matériaux</x:v>
      </x:c>
      <x:c r="E175" s="79" t="str">
        <x:v>Matériaux et patine</x:v>
      </x:c>
      <x:c r="F175" s="79" t="str">
        <x:v>OUVERT · textures UV/PNG 1:1 et patine à produire</x:v>
      </x:c>
      <x:c r="G175" s="79" t="str">
        <x:v>P1</x:v>
      </x:c>
      <x:c r="H175" s="79" t="str">
        <x:v>PNG indépendants aux bons détails et reflets</x:v>
      </x:c>
      <x:c r="I175" s="79" t="str">
        <x:v>https://www.20thcenturystudios.com/movies/predator-killer-of-killers</x:v>
      </x:c>
      <x:c r="J175" s="79" t="str">
        <x:v>Art / QA</x:v>
      </x:c>
      <x:c r="K175" s="79" t="str">
        <x:v>https://github.com/darknigthmare/yautja-la-longue-chasse/pull/42</x:v>
      </x:c>
      <x:c r="L175" s="79" t="n">
        <x:v>0</x:v>
      </x:c>
    </x:row>
    <x:row r="176" ht="35" customHeight="1">
      <x:c r="A176" s="79" t="str">
        <x:v>V136-kok-pilot-04</x:v>
      </x:c>
      <x:c r="B176" s="79" t="str">
        <x:v>kok-pilot</x:v>
      </x:c>
      <x:c r="C176" s="79" t="str">
        <x:v>Chasseur Pilote · Killer of Killers</x:v>
      </x:c>
      <x:c r="D176" s="79" t="str">
        <x:v>Charnière et animations</x:v>
      </x:c>
      <x:c r="E176" s="79" t="str">
        <x:v>Ouverture, gestes, pivot</x:v>
      </x:c>
      <x:c r="F176" s="79" t="str">
        <x:v>PARTIEL · capot CSS ; 3 gestes / rig 1:1 manquants</x:v>
      </x:c>
      <x:c r="G176" s="79" t="str">
        <x:v>P1</x:v>
      </x:c>
      <x:c r="H176" s="79" t="str">
        <x:v>Cohérence rig / armurerie / hologramme</x:v>
      </x:c>
      <x:c r="I176" s="79" t="str">
        <x:v>https://www.20thcenturystudios.com/movies/predator-killer-of-killers</x:v>
      </x:c>
      <x:c r="J176" s="79" t="str">
        <x:v>Art / QA</x:v>
      </x:c>
      <x:c r="K176" s="79" t="str">
        <x:v>https://github.com/darknigthmare/yautja-la-longue-chasse/pull/42</x:v>
      </x:c>
      <x:c r="L176" s="79" t="n">
        <x:v>25</x:v>
      </x:c>
    </x:row>
    <x:row r="177" ht="35" customHeight="1">
      <x:c r="A177" s="79" t="str">
        <x:v>V136-kok-pilot-05</x:v>
      </x:c>
      <x:c r="B177" s="79" t="str">
        <x:v>kok-pilot</x:v>
      </x:c>
      <x:c r="C177" s="79" t="str">
        <x:v>Chasseur Pilote · Killer of Killers</x:v>
      </x:c>
      <x:c r="D177" s="79" t="str">
        <x:v>Rendu jeu et contrôle</x:v>
      </x:c>
      <x:c r="E177" s="79" t="str">
        <x:v>Clavier, tactile, mobile, SFX</x:v>
      </x:c>
      <x:c r="F177" s="79" t="str">
        <x:v>PARTIEL · rendu React + QA autonome, jeu complet à tester</x:v>
      </x:c>
      <x:c r="G177" s="79" t="str">
        <x:v>P1</x:v>
      </x:c>
      <x:c r="H177" s="79" t="str">
        <x:v>Comparaison toutes vues et modes</x:v>
      </x:c>
      <x:c r="I177" s="79" t="str">
        <x:v>https://www.20thcenturystudios.com/movies/predator-killer-of-killers</x:v>
      </x:c>
      <x:c r="J177" s="79" t="str">
        <x:v>Art / QA</x:v>
      </x:c>
      <x:c r="K177" s="79" t="str">
        <x:v>https://github.com/darknigthmare/yautja-la-longue-chasse/pull/42</x:v>
      </x:c>
      <x:c r="L177" s="79" t="n">
        <x:v>45</x:v>
      </x:c>
    </x:row>
    <x:row r="178" ht="35" customHeight="1">
      <x:c r="A178" s="79" t="str">
        <x:v>V136-kok-pilot-06</x:v>
      </x:c>
      <x:c r="B178" s="79" t="str">
        <x:v>kok-pilot</x:v>
      </x:c>
      <x:c r="C178" s="79" t="str">
        <x:v>Chasseur Pilote · Killer of Killers</x:v>
      </x:c>
      <x:c r="D178" s="79" t="str">
        <x:v>Revue artistique et droits</x:v>
      </x:c>
      <x:c r="E178" s="79" t="str">
        <x:v>Validation finale 1:1</x:v>
      </x:c>
      <x:c r="F178" s="79" t="str">
        <x:v>OUVERT · revue humaine et autorisation IP nécessaires</x:v>
      </x:c>
      <x:c r="G178" s="79" t="str">
        <x:v>P1</x:v>
      </x:c>
      <x:c r="H178" s="79" t="str">
        <x:v>Ne jamais certifier sans approbation manuelle</x:v>
      </x:c>
      <x:c r="I178" s="79" t="str">
        <x:v>https://www.20thcenturystudios.com/movies/predator-killer-of-killers</x:v>
      </x:c>
      <x:c r="J178" s="79" t="str">
        <x:v>Art / QA</x:v>
      </x:c>
      <x:c r="K178" s="79" t="str">
        <x:v>https://github.com/darknigthmare/yautja-la-longue-chasse/pull/42</x:v>
      </x:c>
      <x:c r="L178" s="79" t="n">
        <x:v>0</x:v>
      </x:c>
    </x:row>
    <x:row r="179" ht="35" customHeight="1">
      <x:c r="A179" s="79" t="str">
        <x:v>V136-kok-grendel-01</x:v>
      </x:c>
      <x:c r="B179" s="79" t="str">
        <x:v>kok-grendel</x:v>
      </x:c>
      <x:c r="C179" s="79" t="str">
        <x:v>Grendel King · Killer of Killers</x:v>
      </x:c>
      <x:c r="D179" s="79" t="str">
        <x:v>Plan face/dessus/profil</x:v>
      </x:c>
      <x:c r="E179" s="79" t="str">
        <x:v>Preuve photogramme vérifiée</x:v>
      </x:c>
      <x:c r="F179" s="79" t="str">
        <x:v>OUVERT · plusieurs vues source film/jeu non relevées</x:v>
      </x:c>
      <x:c r="G179" s="79" t="str">
        <x:v>P1</x:v>
      </x:c>
      <x:c r="H179" s="79" t="str">
        <x:v>Photo, prop, capture jeu propre au gauntlet</x:v>
      </x:c>
      <x:c r="I179" s="79" t="str">
        <x:v>https://www.20thcenturystudios.com/movies/predator-killer-of-killers</x:v>
      </x:c>
      <x:c r="J179" s="79" t="str">
        <x:v>Art / QA</x:v>
      </x:c>
      <x:c r="K179" s="79" t="str">
        <x:v>https://github.com/darknigthmare/yautja-la-longue-chasse/pull/42</x:v>
      </x:c>
      <x:c r="L179" s="79" t="n">
        <x:v>0</x:v>
      </x:c>
    </x:row>
    <x:row r="180" ht="35" customHeight="1">
      <x:c r="A180" s="79" t="str">
        <x:v>V136-kok-grendel-02</x:v>
      </x:c>
      <x:c r="B180" s="79" t="str">
        <x:v>kok-grendel</x:v>
      </x:c>
      <x:c r="C180" s="79" t="str">
        <x:v>Grendel King · Killer of Killers</x:v>
      </x:c>
      <x:c r="D180" s="79" t="str">
        <x:v>Proportions et silhouette</x:v>
      </x:c>
      <x:c r="E180" s="79" t="str">
        <x:v>Remodelage physique</x:v>
      </x:c>
      <x:c r="F180" s="79" t="str">
        <x:v>PARTIEL · silhouette SVG originale, proportions non mesurées</x:v>
      </x:c>
      <x:c r="G180" s="79" t="str">
        <x:v>P1</x:v>
      </x:c>
      <x:c r="H180" s="79" t="str">
        <x:v>Contrôle alignement poignet et pièces</x:v>
      </x:c>
      <x:c r="I180" s="79" t="str">
        <x:v>https://www.20thcenturystudios.com/movies/predator-killer-of-killers</x:v>
      </x:c>
      <x:c r="J180" s="79" t="str">
        <x:v>Art / QA</x:v>
      </x:c>
      <x:c r="K180" s="79" t="str">
        <x:v>https://github.com/darknigthmare/yautja-la-longue-chasse/pull/42</x:v>
      </x:c>
      <x:c r="L180" s="79" t="n">
        <x:v>25</x:v>
      </x:c>
    </x:row>
    <x:row r="181" ht="35" customHeight="1">
      <x:c r="A181" s="79" t="str">
        <x:v>V136-kok-grendel-03</x:v>
      </x:c>
      <x:c r="B181" s="79" t="str">
        <x:v>kok-grendel</x:v>
      </x:c>
      <x:c r="C181" s="79" t="str">
        <x:v>Grendel King · Killer of Killers</x:v>
      </x:c>
      <x:c r="D181" s="79" t="str">
        <x:v>Textures UV et matériaux</x:v>
      </x:c>
      <x:c r="E181" s="79" t="str">
        <x:v>Matériaux et patine</x:v>
      </x:c>
      <x:c r="F181" s="79" t="str">
        <x:v>OUVERT · textures UV/PNG 1:1 et patine à produire</x:v>
      </x:c>
      <x:c r="G181" s="79" t="str">
        <x:v>P1</x:v>
      </x:c>
      <x:c r="H181" s="79" t="str">
        <x:v>PNG indépendants aux bons détails et reflets</x:v>
      </x:c>
      <x:c r="I181" s="79" t="str">
        <x:v>https://www.20thcenturystudios.com/movies/predator-killer-of-killers</x:v>
      </x:c>
      <x:c r="J181" s="79" t="str">
        <x:v>Art / QA</x:v>
      </x:c>
      <x:c r="K181" s="79" t="str">
        <x:v>https://github.com/darknigthmare/yautja-la-longue-chasse/pull/42</x:v>
      </x:c>
      <x:c r="L181" s="79" t="n">
        <x:v>0</x:v>
      </x:c>
    </x:row>
    <x:row r="182" ht="35" customHeight="1">
      <x:c r="A182" s="79" t="str">
        <x:v>V136-kok-grendel-04</x:v>
      </x:c>
      <x:c r="B182" s="79" t="str">
        <x:v>kok-grendel</x:v>
      </x:c>
      <x:c r="C182" s="79" t="str">
        <x:v>Grendel King · Killer of Killers</x:v>
      </x:c>
      <x:c r="D182" s="79" t="str">
        <x:v>Charnière et animations</x:v>
      </x:c>
      <x:c r="E182" s="79" t="str">
        <x:v>Ouverture, gestes, pivot</x:v>
      </x:c>
      <x:c r="F182" s="79" t="str">
        <x:v>PARTIEL · capot CSS ; 3 gestes / rig 1:1 manquants</x:v>
      </x:c>
      <x:c r="G182" s="79" t="str">
        <x:v>P1</x:v>
      </x:c>
      <x:c r="H182" s="79" t="str">
        <x:v>Cohérence rig / armurerie / hologramme</x:v>
      </x:c>
      <x:c r="I182" s="79" t="str">
        <x:v>https://www.20thcenturystudios.com/movies/predator-killer-of-killers</x:v>
      </x:c>
      <x:c r="J182" s="79" t="str">
        <x:v>Art / QA</x:v>
      </x:c>
      <x:c r="K182" s="79" t="str">
        <x:v>https://github.com/darknigthmare/yautja-la-longue-chasse/pull/42</x:v>
      </x:c>
      <x:c r="L182" s="79" t="n">
        <x:v>25</x:v>
      </x:c>
    </x:row>
    <x:row r="183" ht="35" customHeight="1">
      <x:c r="A183" s="79" t="str">
        <x:v>V136-kok-grendel-05</x:v>
      </x:c>
      <x:c r="B183" s="79" t="str">
        <x:v>kok-grendel</x:v>
      </x:c>
      <x:c r="C183" s="79" t="str">
        <x:v>Grendel King · Killer of Killers</x:v>
      </x:c>
      <x:c r="D183" s="79" t="str">
        <x:v>Rendu jeu et contrôle</x:v>
      </x:c>
      <x:c r="E183" s="79" t="str">
        <x:v>Clavier, tactile, mobile, SFX</x:v>
      </x:c>
      <x:c r="F183" s="79" t="str">
        <x:v>PARTIEL · rendu React + QA autonome, jeu complet à tester</x:v>
      </x:c>
      <x:c r="G183" s="79" t="str">
        <x:v>P1</x:v>
      </x:c>
      <x:c r="H183" s="79" t="str">
        <x:v>Comparaison toutes vues et modes</x:v>
      </x:c>
      <x:c r="I183" s="79" t="str">
        <x:v>https://www.20thcenturystudios.com/movies/predator-killer-of-killers</x:v>
      </x:c>
      <x:c r="J183" s="79" t="str">
        <x:v>Art / QA</x:v>
      </x:c>
      <x:c r="K183" s="79" t="str">
        <x:v>https://github.com/darknigthmare/yautja-la-longue-chasse/pull/42</x:v>
      </x:c>
      <x:c r="L183" s="79" t="n">
        <x:v>45</x:v>
      </x:c>
    </x:row>
    <x:row r="184" ht="35" customHeight="1">
      <x:c r="A184" s="79" t="str">
        <x:v>V136-kok-grendel-06</x:v>
      </x:c>
      <x:c r="B184" s="79" t="str">
        <x:v>kok-grendel</x:v>
      </x:c>
      <x:c r="C184" s="79" t="str">
        <x:v>Grendel King · Killer of Killers</x:v>
      </x:c>
      <x:c r="D184" s="79" t="str">
        <x:v>Revue artistique et droits</x:v>
      </x:c>
      <x:c r="E184" s="79" t="str">
        <x:v>Validation finale 1:1</x:v>
      </x:c>
      <x:c r="F184" s="79" t="str">
        <x:v>OUVERT · revue humaine et autorisation IP nécessaires</x:v>
      </x:c>
      <x:c r="G184" s="79" t="str">
        <x:v>P1</x:v>
      </x:c>
      <x:c r="H184" s="79" t="str">
        <x:v>Ne jamais certifier sans approbation manuelle</x:v>
      </x:c>
      <x:c r="I184" s="79" t="str">
        <x:v>https://www.20thcenturystudios.com/movies/predator-killer-of-killers</x:v>
      </x:c>
      <x:c r="J184" s="79" t="str">
        <x:v>Art / QA</x:v>
      </x:c>
      <x:c r="K184" s="79" t="str">
        <x:v>https://github.com/darknigthmare/yautja-la-longue-chasse/pull/42</x:v>
      </x:c>
      <x:c r="L184" s="79" t="n">
        <x:v>0</x:v>
      </x:c>
    </x:row>
    <x:row r="185" ht="35" customHeight="1">
      <x:c r="A185" s="79" t="str">
        <x:v>V136-phg-hunter-01</x:v>
      </x:c>
      <x:c r="B185" s="79" t="str">
        <x:v>phg-hunter</x:v>
      </x:c>
      <x:c r="C185" s="79" t="str">
        <x:v>Hunter · PHG</x:v>
      </x:c>
      <x:c r="D185" s="79" t="str">
        <x:v>Plan face/dessus/profil</x:v>
      </x:c>
      <x:c r="E185" s="79" t="str">
        <x:v>Preuve photogramme vérifiée</x:v>
      </x:c>
      <x:c r="F185" s="79" t="str">
        <x:v>OUVERT · plusieurs vues source film/jeu non relevées</x:v>
      </x:c>
      <x:c r="G185" s="79" t="str">
        <x:v>P1</x:v>
      </x:c>
      <x:c r="H185" s="79" t="str">
        <x:v>Photo, prop, capture jeu propre au gauntlet</x:v>
      </x:c>
      <x:c r="I185" s="79" t="str">
        <x:v>https://predator.illfonic.com/</x:v>
      </x:c>
      <x:c r="J185" s="79" t="str">
        <x:v>Art / QA</x:v>
      </x:c>
      <x:c r="K185" s="79" t="str">
        <x:v>https://github.com/darknigthmare/yautja-la-longue-chasse/pull/42</x:v>
      </x:c>
      <x:c r="L185" s="79" t="n">
        <x:v>0</x:v>
      </x:c>
    </x:row>
    <x:row r="186" ht="35" customHeight="1">
      <x:c r="A186" s="79" t="str">
        <x:v>V136-phg-hunter-02</x:v>
      </x:c>
      <x:c r="B186" s="79" t="str">
        <x:v>phg-hunter</x:v>
      </x:c>
      <x:c r="C186" s="79" t="str">
        <x:v>Hunter · PHG</x:v>
      </x:c>
      <x:c r="D186" s="79" t="str">
        <x:v>Proportions et silhouette</x:v>
      </x:c>
      <x:c r="E186" s="79" t="str">
        <x:v>Remodelage physique</x:v>
      </x:c>
      <x:c r="F186" s="79" t="str">
        <x:v>PARTIEL · silhouette SVG originale, proportions non mesurées</x:v>
      </x:c>
      <x:c r="G186" s="79" t="str">
        <x:v>P1</x:v>
      </x:c>
      <x:c r="H186" s="79" t="str">
        <x:v>Contrôle alignement poignet et pièces</x:v>
      </x:c>
      <x:c r="I186" s="79" t="str">
        <x:v>https://predator.illfonic.com/</x:v>
      </x:c>
      <x:c r="J186" s="79" t="str">
        <x:v>Art / QA</x:v>
      </x:c>
      <x:c r="K186" s="79" t="str">
        <x:v>https://github.com/darknigthmare/yautja-la-longue-chasse/pull/42</x:v>
      </x:c>
      <x:c r="L186" s="79" t="n">
        <x:v>25</x:v>
      </x:c>
    </x:row>
    <x:row r="187" ht="35" customHeight="1">
      <x:c r="A187" s="79" t="str">
        <x:v>V136-phg-hunter-03</x:v>
      </x:c>
      <x:c r="B187" s="79" t="str">
        <x:v>phg-hunter</x:v>
      </x:c>
      <x:c r="C187" s="79" t="str">
        <x:v>Hunter · PHG</x:v>
      </x:c>
      <x:c r="D187" s="79" t="str">
        <x:v>Textures UV et matériaux</x:v>
      </x:c>
      <x:c r="E187" s="79" t="str">
        <x:v>Matériaux et patine</x:v>
      </x:c>
      <x:c r="F187" s="79" t="str">
        <x:v>OUVERT · textures UV/PNG 1:1 et patine à produire</x:v>
      </x:c>
      <x:c r="G187" s="79" t="str">
        <x:v>P1</x:v>
      </x:c>
      <x:c r="H187" s="79" t="str">
        <x:v>PNG indépendants aux bons détails et reflets</x:v>
      </x:c>
      <x:c r="I187" s="79" t="str">
        <x:v>https://predator.illfonic.com/</x:v>
      </x:c>
      <x:c r="J187" s="79" t="str">
        <x:v>Art / QA</x:v>
      </x:c>
      <x:c r="K187" s="79" t="str">
        <x:v>https://github.com/darknigthmare/yautja-la-longue-chasse/pull/42</x:v>
      </x:c>
      <x:c r="L187" s="79" t="n">
        <x:v>0</x:v>
      </x:c>
    </x:row>
    <x:row r="188" ht="35" customHeight="1">
      <x:c r="A188" s="79" t="str">
        <x:v>V136-phg-hunter-04</x:v>
      </x:c>
      <x:c r="B188" s="79" t="str">
        <x:v>phg-hunter</x:v>
      </x:c>
      <x:c r="C188" s="79" t="str">
        <x:v>Hunter · PHG</x:v>
      </x:c>
      <x:c r="D188" s="79" t="str">
        <x:v>Charnière et animations</x:v>
      </x:c>
      <x:c r="E188" s="79" t="str">
        <x:v>Ouverture, gestes, pivot</x:v>
      </x:c>
      <x:c r="F188" s="79" t="str">
        <x:v>PARTIEL · capot CSS ; 3 gestes / rig 1:1 manquants</x:v>
      </x:c>
      <x:c r="G188" s="79" t="str">
        <x:v>P1</x:v>
      </x:c>
      <x:c r="H188" s="79" t="str">
        <x:v>Cohérence rig / armurerie / hologramme</x:v>
      </x:c>
      <x:c r="I188" s="79" t="str">
        <x:v>https://predator.illfonic.com/</x:v>
      </x:c>
      <x:c r="J188" s="79" t="str">
        <x:v>Art / QA</x:v>
      </x:c>
      <x:c r="K188" s="79" t="str">
        <x:v>https://github.com/darknigthmare/yautja-la-longue-chasse/pull/42</x:v>
      </x:c>
      <x:c r="L188" s="79" t="n">
        <x:v>25</x:v>
      </x:c>
    </x:row>
    <x:row r="189" ht="35" customHeight="1">
      <x:c r="A189" s="79" t="str">
        <x:v>V136-phg-hunter-05</x:v>
      </x:c>
      <x:c r="B189" s="79" t="str">
        <x:v>phg-hunter</x:v>
      </x:c>
      <x:c r="C189" s="79" t="str">
        <x:v>Hunter · PHG</x:v>
      </x:c>
      <x:c r="D189" s="79" t="str">
        <x:v>Rendu jeu et contrôle</x:v>
      </x:c>
      <x:c r="E189" s="79" t="str">
        <x:v>Clavier, tactile, mobile, SFX</x:v>
      </x:c>
      <x:c r="F189" s="79" t="str">
        <x:v>PARTIEL · rendu React + QA autonome, jeu complet à tester</x:v>
      </x:c>
      <x:c r="G189" s="79" t="str">
        <x:v>P1</x:v>
      </x:c>
      <x:c r="H189" s="79" t="str">
        <x:v>Comparaison toutes vues et modes</x:v>
      </x:c>
      <x:c r="I189" s="79" t="str">
        <x:v>https://predator.illfonic.com/</x:v>
      </x:c>
      <x:c r="J189" s="79" t="str">
        <x:v>Art / QA</x:v>
      </x:c>
      <x:c r="K189" s="79" t="str">
        <x:v>https://github.com/darknigthmare/yautja-la-longue-chasse/pull/42</x:v>
      </x:c>
      <x:c r="L189" s="79" t="n">
        <x:v>45</x:v>
      </x:c>
    </x:row>
    <x:row r="190" ht="35" customHeight="1">
      <x:c r="A190" s="79" t="str">
        <x:v>V136-phg-hunter-06</x:v>
      </x:c>
      <x:c r="B190" s="79" t="str">
        <x:v>phg-hunter</x:v>
      </x:c>
      <x:c r="C190" s="79" t="str">
        <x:v>Hunter · PHG</x:v>
      </x:c>
      <x:c r="D190" s="79" t="str">
        <x:v>Revue artistique et droits</x:v>
      </x:c>
      <x:c r="E190" s="79" t="str">
        <x:v>Validation finale 1:1</x:v>
      </x:c>
      <x:c r="F190" s="79" t="str">
        <x:v>OUVERT · revue humaine et autorisation IP nécessaires</x:v>
      </x:c>
      <x:c r="G190" s="79" t="str">
        <x:v>P1</x:v>
      </x:c>
      <x:c r="H190" s="79" t="str">
        <x:v>Ne jamais certifier sans approbation manuelle</x:v>
      </x:c>
      <x:c r="I190" s="79" t="str">
        <x:v>https://predator.illfonic.com/</x:v>
      </x:c>
      <x:c r="J190" s="79" t="str">
        <x:v>Art / QA</x:v>
      </x:c>
      <x:c r="K190" s="79" t="str">
        <x:v>https://github.com/darknigthmare/yautja-la-longue-chasse/pull/42</x:v>
      </x:c>
      <x:c r="L190" s="79" t="n">
        <x:v>0</x:v>
      </x:c>
    </x:row>
    <x:row r="191" ht="35" customHeight="1">
      <x:c r="A191" s="79" t="str">
        <x:v>V136-phg-scout-01</x:v>
      </x:c>
      <x:c r="B191" s="79" t="str">
        <x:v>phg-scout</x:v>
      </x:c>
      <x:c r="C191" s="79" t="str">
        <x:v>Scout · PHG</x:v>
      </x:c>
      <x:c r="D191" s="79" t="str">
        <x:v>Plan face/dessus/profil</x:v>
      </x:c>
      <x:c r="E191" s="79" t="str">
        <x:v>Preuve photogramme vérifiée</x:v>
      </x:c>
      <x:c r="F191" s="79" t="str">
        <x:v>OUVERT · plusieurs vues source film/jeu non relevées</x:v>
      </x:c>
      <x:c r="G191" s="79" t="str">
        <x:v>P1</x:v>
      </x:c>
      <x:c r="H191" s="79" t="str">
        <x:v>Photo, prop, capture jeu propre au gauntlet</x:v>
      </x:c>
      <x:c r="I191" s="79" t="str">
        <x:v>https://predator.illfonic.com/</x:v>
      </x:c>
      <x:c r="J191" s="79" t="str">
        <x:v>Art / QA</x:v>
      </x:c>
      <x:c r="K191" s="79" t="str">
        <x:v>https://github.com/darknigthmare/yautja-la-longue-chasse/pull/42</x:v>
      </x:c>
      <x:c r="L191" s="79" t="n">
        <x:v>0</x:v>
      </x:c>
    </x:row>
    <x:row r="192" ht="35" customHeight="1">
      <x:c r="A192" s="79" t="str">
        <x:v>V136-phg-scout-02</x:v>
      </x:c>
      <x:c r="B192" s="79" t="str">
        <x:v>phg-scout</x:v>
      </x:c>
      <x:c r="C192" s="79" t="str">
        <x:v>Scout · PHG</x:v>
      </x:c>
      <x:c r="D192" s="79" t="str">
        <x:v>Proportions et silhouette</x:v>
      </x:c>
      <x:c r="E192" s="79" t="str">
        <x:v>Remodelage physique</x:v>
      </x:c>
      <x:c r="F192" s="79" t="str">
        <x:v>PARTIEL · silhouette SVG originale, proportions non mesurées</x:v>
      </x:c>
      <x:c r="G192" s="79" t="str">
        <x:v>P1</x:v>
      </x:c>
      <x:c r="H192" s="79" t="str">
        <x:v>Contrôle alignement poignet et pièces</x:v>
      </x:c>
      <x:c r="I192" s="79" t="str">
        <x:v>https://predator.illfonic.com/</x:v>
      </x:c>
      <x:c r="J192" s="79" t="str">
        <x:v>Art / QA</x:v>
      </x:c>
      <x:c r="K192" s="79" t="str">
        <x:v>https://github.com/darknigthmare/yautja-la-longue-chasse/pull/42</x:v>
      </x:c>
      <x:c r="L192" s="79" t="n">
        <x:v>25</x:v>
      </x:c>
    </x:row>
    <x:row r="193" ht="35" customHeight="1">
      <x:c r="A193" s="79" t="str">
        <x:v>V136-phg-scout-03</x:v>
      </x:c>
      <x:c r="B193" s="79" t="str">
        <x:v>phg-scout</x:v>
      </x:c>
      <x:c r="C193" s="79" t="str">
        <x:v>Scout · PHG</x:v>
      </x:c>
      <x:c r="D193" s="79" t="str">
        <x:v>Textures UV et matériaux</x:v>
      </x:c>
      <x:c r="E193" s="79" t="str">
        <x:v>Matériaux et patine</x:v>
      </x:c>
      <x:c r="F193" s="79" t="str">
        <x:v>OUVERT · textures UV/PNG 1:1 et patine à produire</x:v>
      </x:c>
      <x:c r="G193" s="79" t="str">
        <x:v>P1</x:v>
      </x:c>
      <x:c r="H193" s="79" t="str">
        <x:v>PNG indépendants aux bons détails et reflets</x:v>
      </x:c>
      <x:c r="I193" s="79" t="str">
        <x:v>https://predator.illfonic.com/</x:v>
      </x:c>
      <x:c r="J193" s="79" t="str">
        <x:v>Art / QA</x:v>
      </x:c>
      <x:c r="K193" s="79" t="str">
        <x:v>https://github.com/darknigthmare/yautja-la-longue-chasse/pull/42</x:v>
      </x:c>
      <x:c r="L193" s="79" t="n">
        <x:v>0</x:v>
      </x:c>
    </x:row>
    <x:row r="194" ht="35" customHeight="1">
      <x:c r="A194" s="79" t="str">
        <x:v>V136-phg-scout-04</x:v>
      </x:c>
      <x:c r="B194" s="79" t="str">
        <x:v>phg-scout</x:v>
      </x:c>
      <x:c r="C194" s="79" t="str">
        <x:v>Scout · PHG</x:v>
      </x:c>
      <x:c r="D194" s="79" t="str">
        <x:v>Charnière et animations</x:v>
      </x:c>
      <x:c r="E194" s="79" t="str">
        <x:v>Ouverture, gestes, pivot</x:v>
      </x:c>
      <x:c r="F194" s="79" t="str">
        <x:v>PARTIEL · capot CSS ; 3 gestes / rig 1:1 manquants</x:v>
      </x:c>
      <x:c r="G194" s="79" t="str">
        <x:v>P1</x:v>
      </x:c>
      <x:c r="H194" s="79" t="str">
        <x:v>Cohérence rig / armurerie / hologramme</x:v>
      </x:c>
      <x:c r="I194" s="79" t="str">
        <x:v>https://predator.illfonic.com/</x:v>
      </x:c>
      <x:c r="J194" s="79" t="str">
        <x:v>Art / QA</x:v>
      </x:c>
      <x:c r="K194" s="79" t="str">
        <x:v>https://github.com/darknigthmare/yautja-la-longue-chasse/pull/42</x:v>
      </x:c>
      <x:c r="L194" s="79" t="n">
        <x:v>25</x:v>
      </x:c>
    </x:row>
    <x:row r="195" ht="35" customHeight="1">
      <x:c r="A195" s="79" t="str">
        <x:v>V136-phg-scout-05</x:v>
      </x:c>
      <x:c r="B195" s="79" t="str">
        <x:v>phg-scout</x:v>
      </x:c>
      <x:c r="C195" s="79" t="str">
        <x:v>Scout · PHG</x:v>
      </x:c>
      <x:c r="D195" s="79" t="str">
        <x:v>Rendu jeu et contrôle</x:v>
      </x:c>
      <x:c r="E195" s="79" t="str">
        <x:v>Clavier, tactile, mobile, SFX</x:v>
      </x:c>
      <x:c r="F195" s="79" t="str">
        <x:v>PARTIEL · rendu React + QA autonome, jeu complet à tester</x:v>
      </x:c>
      <x:c r="G195" s="79" t="str">
        <x:v>P1</x:v>
      </x:c>
      <x:c r="H195" s="79" t="str">
        <x:v>Comparaison toutes vues et modes</x:v>
      </x:c>
      <x:c r="I195" s="79" t="str">
        <x:v>https://predator.illfonic.com/</x:v>
      </x:c>
      <x:c r="J195" s="79" t="str">
        <x:v>Art / QA</x:v>
      </x:c>
      <x:c r="K195" s="79" t="str">
        <x:v>https://github.com/darknigthmare/yautja-la-longue-chasse/pull/42</x:v>
      </x:c>
      <x:c r="L195" s="79" t="n">
        <x:v>45</x:v>
      </x:c>
    </x:row>
    <x:row r="196" ht="35" customHeight="1">
      <x:c r="A196" s="79" t="str">
        <x:v>V136-phg-scout-06</x:v>
      </x:c>
      <x:c r="B196" s="79" t="str">
        <x:v>phg-scout</x:v>
      </x:c>
      <x:c r="C196" s="79" t="str">
        <x:v>Scout · PHG</x:v>
      </x:c>
      <x:c r="D196" s="79" t="str">
        <x:v>Revue artistique et droits</x:v>
      </x:c>
      <x:c r="E196" s="79" t="str">
        <x:v>Validation finale 1:1</x:v>
      </x:c>
      <x:c r="F196" s="79" t="str">
        <x:v>OUVERT · revue humaine et autorisation IP nécessaires</x:v>
      </x:c>
      <x:c r="G196" s="79" t="str">
        <x:v>P1</x:v>
      </x:c>
      <x:c r="H196" s="79" t="str">
        <x:v>Ne jamais certifier sans approbation manuelle</x:v>
      </x:c>
      <x:c r="I196" s="79" t="str">
        <x:v>https://predator.illfonic.com/</x:v>
      </x:c>
      <x:c r="J196" s="79" t="str">
        <x:v>Art / QA</x:v>
      </x:c>
      <x:c r="K196" s="79" t="str">
        <x:v>https://github.com/darknigthmare/yautja-la-longue-chasse/pull/42</x:v>
      </x:c>
      <x:c r="L196" s="79" t="n">
        <x:v>0</x:v>
      </x:c>
    </x:row>
    <x:row r="197" ht="35" customHeight="1">
      <x:c r="A197" s="79" t="str">
        <x:v>V136-phg-berserker-01</x:v>
      </x:c>
      <x:c r="B197" s="79" t="str">
        <x:v>phg-berserker</x:v>
      </x:c>
      <x:c r="C197" s="79" t="str">
        <x:v>Berserker · PHG</x:v>
      </x:c>
      <x:c r="D197" s="79" t="str">
        <x:v>Plan face/dessus/profil</x:v>
      </x:c>
      <x:c r="E197" s="79" t="str">
        <x:v>Preuve photogramme vérifiée</x:v>
      </x:c>
      <x:c r="F197" s="79" t="str">
        <x:v>OUVERT · plusieurs vues source film/jeu non relevées</x:v>
      </x:c>
      <x:c r="G197" s="79" t="str">
        <x:v>P1</x:v>
      </x:c>
      <x:c r="H197" s="79" t="str">
        <x:v>Photo, prop, capture jeu propre au gauntlet</x:v>
      </x:c>
      <x:c r="I197" s="79" t="str">
        <x:v>https://predator.illfonic.com/</x:v>
      </x:c>
      <x:c r="J197" s="79" t="str">
        <x:v>Art / QA</x:v>
      </x:c>
      <x:c r="K197" s="79" t="str">
        <x:v>https://github.com/darknigthmare/yautja-la-longue-chasse/pull/42</x:v>
      </x:c>
      <x:c r="L197" s="79" t="n">
        <x:v>0</x:v>
      </x:c>
    </x:row>
    <x:row r="198" ht="35" customHeight="1">
      <x:c r="A198" s="79" t="str">
        <x:v>V136-phg-berserker-02</x:v>
      </x:c>
      <x:c r="B198" s="79" t="str">
        <x:v>phg-berserker</x:v>
      </x:c>
      <x:c r="C198" s="79" t="str">
        <x:v>Berserker · PHG</x:v>
      </x:c>
      <x:c r="D198" s="79" t="str">
        <x:v>Proportions et silhouette</x:v>
      </x:c>
      <x:c r="E198" s="79" t="str">
        <x:v>Remodelage physique</x:v>
      </x:c>
      <x:c r="F198" s="79" t="str">
        <x:v>PARTIEL · silhouette SVG originale, proportions non mesurées</x:v>
      </x:c>
      <x:c r="G198" s="79" t="str">
        <x:v>P1</x:v>
      </x:c>
      <x:c r="H198" s="79" t="str">
        <x:v>Contrôle alignement poignet et pièces</x:v>
      </x:c>
      <x:c r="I198" s="79" t="str">
        <x:v>https://predator.illfonic.com/</x:v>
      </x:c>
      <x:c r="J198" s="79" t="str">
        <x:v>Art / QA</x:v>
      </x:c>
      <x:c r="K198" s="79" t="str">
        <x:v>https://github.com/darknigthmare/yautja-la-longue-chasse/pull/42</x:v>
      </x:c>
      <x:c r="L198" s="79" t="n">
        <x:v>25</x:v>
      </x:c>
    </x:row>
    <x:row r="199" ht="35" customHeight="1">
      <x:c r="A199" s="79" t="str">
        <x:v>V136-phg-berserker-03</x:v>
      </x:c>
      <x:c r="B199" s="79" t="str">
        <x:v>phg-berserker</x:v>
      </x:c>
      <x:c r="C199" s="79" t="str">
        <x:v>Berserker · PHG</x:v>
      </x:c>
      <x:c r="D199" s="79" t="str">
        <x:v>Textures UV et matériaux</x:v>
      </x:c>
      <x:c r="E199" s="79" t="str">
        <x:v>Matériaux et patine</x:v>
      </x:c>
      <x:c r="F199" s="79" t="str">
        <x:v>OUVERT · textures UV/PNG 1:1 et patine à produire</x:v>
      </x:c>
      <x:c r="G199" s="79" t="str">
        <x:v>P1</x:v>
      </x:c>
      <x:c r="H199" s="79" t="str">
        <x:v>PNG indépendants aux bons détails et reflets</x:v>
      </x:c>
      <x:c r="I199" s="79" t="str">
        <x:v>https://predator.illfonic.com/</x:v>
      </x:c>
      <x:c r="J199" s="79" t="str">
        <x:v>Art / QA</x:v>
      </x:c>
      <x:c r="K199" s="79" t="str">
        <x:v>https://github.com/darknigthmare/yautja-la-longue-chasse/pull/42</x:v>
      </x:c>
      <x:c r="L199" s="79" t="n">
        <x:v>0</x:v>
      </x:c>
    </x:row>
    <x:row r="200" ht="35" customHeight="1">
      <x:c r="A200" s="79" t="str">
        <x:v>V136-phg-berserker-04</x:v>
      </x:c>
      <x:c r="B200" s="79" t="str">
        <x:v>phg-berserker</x:v>
      </x:c>
      <x:c r="C200" s="79" t="str">
        <x:v>Berserker · PHG</x:v>
      </x:c>
      <x:c r="D200" s="79" t="str">
        <x:v>Charnière et animations</x:v>
      </x:c>
      <x:c r="E200" s="79" t="str">
        <x:v>Ouverture, gestes, pivot</x:v>
      </x:c>
      <x:c r="F200" s="79" t="str">
        <x:v>PARTIEL · capot CSS ; 3 gestes / rig 1:1 manquants</x:v>
      </x:c>
      <x:c r="G200" s="79" t="str">
        <x:v>P1</x:v>
      </x:c>
      <x:c r="H200" s="79" t="str">
        <x:v>Cohérence rig / armurerie / hologramme</x:v>
      </x:c>
      <x:c r="I200" s="79" t="str">
        <x:v>https://predator.illfonic.com/</x:v>
      </x:c>
      <x:c r="J200" s="79" t="str">
        <x:v>Art / QA</x:v>
      </x:c>
      <x:c r="K200" s="79" t="str">
        <x:v>https://github.com/darknigthmare/yautja-la-longue-chasse/pull/42</x:v>
      </x:c>
      <x:c r="L200" s="79" t="n">
        <x:v>25</x:v>
      </x:c>
    </x:row>
    <x:row r="201" ht="35" customHeight="1">
      <x:c r="A201" s="79" t="str">
        <x:v>V136-phg-berserker-05</x:v>
      </x:c>
      <x:c r="B201" s="79" t="str">
        <x:v>phg-berserker</x:v>
      </x:c>
      <x:c r="C201" s="79" t="str">
        <x:v>Berserker · PHG</x:v>
      </x:c>
      <x:c r="D201" s="79" t="str">
        <x:v>Rendu jeu et contrôle</x:v>
      </x:c>
      <x:c r="E201" s="79" t="str">
        <x:v>Clavier, tactile, mobile, SFX</x:v>
      </x:c>
      <x:c r="F201" s="79" t="str">
        <x:v>PARTIEL · rendu React + QA autonome, jeu complet à tester</x:v>
      </x:c>
      <x:c r="G201" s="79" t="str">
        <x:v>P1</x:v>
      </x:c>
      <x:c r="H201" s="79" t="str">
        <x:v>Comparaison toutes vues et modes</x:v>
      </x:c>
      <x:c r="I201" s="79" t="str">
        <x:v>https://predator.illfonic.com/</x:v>
      </x:c>
      <x:c r="J201" s="79" t="str">
        <x:v>Art / QA</x:v>
      </x:c>
      <x:c r="K201" s="79" t="str">
        <x:v>https://github.com/darknigthmare/yautja-la-longue-chasse/pull/42</x:v>
      </x:c>
      <x:c r="L201" s="79" t="n">
        <x:v>45</x:v>
      </x:c>
    </x:row>
    <x:row r="202" ht="35" customHeight="1">
      <x:c r="A202" s="79" t="str">
        <x:v>V136-phg-berserker-06</x:v>
      </x:c>
      <x:c r="B202" s="79" t="str">
        <x:v>phg-berserker</x:v>
      </x:c>
      <x:c r="C202" s="79" t="str">
        <x:v>Berserker · PHG</x:v>
      </x:c>
      <x:c r="D202" s="79" t="str">
        <x:v>Revue artistique et droits</x:v>
      </x:c>
      <x:c r="E202" s="79" t="str">
        <x:v>Validation finale 1:1</x:v>
      </x:c>
      <x:c r="F202" s="79" t="str">
        <x:v>OUVERT · revue humaine et autorisation IP nécessaires</x:v>
      </x:c>
      <x:c r="G202" s="79" t="str">
        <x:v>P1</x:v>
      </x:c>
      <x:c r="H202" s="79" t="str">
        <x:v>Ne jamais certifier sans approbation manuelle</x:v>
      </x:c>
      <x:c r="I202" s="79" t="str">
        <x:v>https://predator.illfonic.com/</x:v>
      </x:c>
      <x:c r="J202" s="79" t="str">
        <x:v>Art / QA</x:v>
      </x:c>
      <x:c r="K202" s="79" t="str">
        <x:v>https://github.com/darknigthmare/yautja-la-longue-chasse/pull/42</x:v>
      </x:c>
      <x:c r="L202" s="79" t="n">
        <x:v>0</x:v>
      </x:c>
    </x:row>
    <x:row r="203" ht="35" customHeight="1">
      <x:c r="A203" s="79" t="str">
        <x:v>V136-phg-alpha-01</x:v>
      </x:c>
      <x:c r="B203" s="79" t="str">
        <x:v>phg-alpha</x:v>
      </x:c>
      <x:c r="C203" s="79" t="str">
        <x:v>Alpha · PHG</x:v>
      </x:c>
      <x:c r="D203" s="79" t="str">
        <x:v>Plan face/dessus/profil</x:v>
      </x:c>
      <x:c r="E203" s="79" t="str">
        <x:v>Preuve photogramme vérifiée</x:v>
      </x:c>
      <x:c r="F203" s="79" t="str">
        <x:v>OUVERT · plusieurs vues source film/jeu non relevées</x:v>
      </x:c>
      <x:c r="G203" s="79" t="str">
        <x:v>P1</x:v>
      </x:c>
      <x:c r="H203" s="79" t="str">
        <x:v>Photo, prop, capture jeu propre au gauntlet</x:v>
      </x:c>
      <x:c r="I203" s="79" t="str">
        <x:v>https://predator.illfonic.com/</x:v>
      </x:c>
      <x:c r="J203" s="79" t="str">
        <x:v>Art / QA</x:v>
      </x:c>
      <x:c r="K203" s="79" t="str">
        <x:v>https://github.com/darknigthmare/yautja-la-longue-chasse/pull/42</x:v>
      </x:c>
      <x:c r="L203" s="79" t="n">
        <x:v>0</x:v>
      </x:c>
    </x:row>
    <x:row r="204" ht="35" customHeight="1">
      <x:c r="A204" s="79" t="str">
        <x:v>V136-phg-alpha-02</x:v>
      </x:c>
      <x:c r="B204" s="79" t="str">
        <x:v>phg-alpha</x:v>
      </x:c>
      <x:c r="C204" s="79" t="str">
        <x:v>Alpha · PHG</x:v>
      </x:c>
      <x:c r="D204" s="79" t="str">
        <x:v>Proportions et silhouette</x:v>
      </x:c>
      <x:c r="E204" s="79" t="str">
        <x:v>Remodelage physique</x:v>
      </x:c>
      <x:c r="F204" s="79" t="str">
        <x:v>PARTIEL · silhouette SVG originale, proportions non mesurées</x:v>
      </x:c>
      <x:c r="G204" s="79" t="str">
        <x:v>P1</x:v>
      </x:c>
      <x:c r="H204" s="79" t="str">
        <x:v>Contrôle alignement poignet et pièces</x:v>
      </x:c>
      <x:c r="I204" s="79" t="str">
        <x:v>https://predator.illfonic.com/</x:v>
      </x:c>
      <x:c r="J204" s="79" t="str">
        <x:v>Art / QA</x:v>
      </x:c>
      <x:c r="K204" s="79" t="str">
        <x:v>https://github.com/darknigthmare/yautja-la-longue-chasse/pull/42</x:v>
      </x:c>
      <x:c r="L204" s="79" t="n">
        <x:v>25</x:v>
      </x:c>
    </x:row>
    <x:row r="205" ht="35" customHeight="1">
      <x:c r="A205" s="79" t="str">
        <x:v>V136-phg-alpha-03</x:v>
      </x:c>
      <x:c r="B205" s="79" t="str">
        <x:v>phg-alpha</x:v>
      </x:c>
      <x:c r="C205" s="79" t="str">
        <x:v>Alpha · PHG</x:v>
      </x:c>
      <x:c r="D205" s="79" t="str">
        <x:v>Textures UV et matériaux</x:v>
      </x:c>
      <x:c r="E205" s="79" t="str">
        <x:v>Matériaux et patine</x:v>
      </x:c>
      <x:c r="F205" s="79" t="str">
        <x:v>OUVERT · textures UV/PNG 1:1 et patine à produire</x:v>
      </x:c>
      <x:c r="G205" s="79" t="str">
        <x:v>P1</x:v>
      </x:c>
      <x:c r="H205" s="79" t="str">
        <x:v>PNG indépendants aux bons détails et reflets</x:v>
      </x:c>
      <x:c r="I205" s="79" t="str">
        <x:v>https://predator.illfonic.com/</x:v>
      </x:c>
      <x:c r="J205" s="79" t="str">
        <x:v>Art / QA</x:v>
      </x:c>
      <x:c r="K205" s="79" t="str">
        <x:v>https://github.com/darknigthmare/yautja-la-longue-chasse/pull/42</x:v>
      </x:c>
      <x:c r="L205" s="79" t="n">
        <x:v>0</x:v>
      </x:c>
    </x:row>
    <x:row r="206" ht="35" customHeight="1">
      <x:c r="A206" s="79" t="str">
        <x:v>V136-phg-alpha-04</x:v>
      </x:c>
      <x:c r="B206" s="79" t="str">
        <x:v>phg-alpha</x:v>
      </x:c>
      <x:c r="C206" s="79" t="str">
        <x:v>Alpha · PHG</x:v>
      </x:c>
      <x:c r="D206" s="79" t="str">
        <x:v>Charnière et animations</x:v>
      </x:c>
      <x:c r="E206" s="79" t="str">
        <x:v>Ouverture, gestes, pivot</x:v>
      </x:c>
      <x:c r="F206" s="79" t="str">
        <x:v>PARTIEL · capot CSS ; 3 gestes / rig 1:1 manquants</x:v>
      </x:c>
      <x:c r="G206" s="79" t="str">
        <x:v>P1</x:v>
      </x:c>
      <x:c r="H206" s="79" t="str">
        <x:v>Cohérence rig / armurerie / hologramme</x:v>
      </x:c>
      <x:c r="I206" s="79" t="str">
        <x:v>https://predator.illfonic.com/</x:v>
      </x:c>
      <x:c r="J206" s="79" t="str">
        <x:v>Art / QA</x:v>
      </x:c>
      <x:c r="K206" s="79" t="str">
        <x:v>https://github.com/darknigthmare/yautja-la-longue-chasse/pull/42</x:v>
      </x:c>
      <x:c r="L206" s="79" t="n">
        <x:v>25</x:v>
      </x:c>
    </x:row>
    <x:row r="207" ht="35" customHeight="1">
      <x:c r="A207" s="79" t="str">
        <x:v>V136-phg-alpha-05</x:v>
      </x:c>
      <x:c r="B207" s="79" t="str">
        <x:v>phg-alpha</x:v>
      </x:c>
      <x:c r="C207" s="79" t="str">
        <x:v>Alpha · PHG</x:v>
      </x:c>
      <x:c r="D207" s="79" t="str">
        <x:v>Rendu jeu et contrôle</x:v>
      </x:c>
      <x:c r="E207" s="79" t="str">
        <x:v>Clavier, tactile, mobile, SFX</x:v>
      </x:c>
      <x:c r="F207" s="79" t="str">
        <x:v>PARTIEL · rendu React + QA autonome, jeu complet à tester</x:v>
      </x:c>
      <x:c r="G207" s="79" t="str">
        <x:v>P1</x:v>
      </x:c>
      <x:c r="H207" s="79" t="str">
        <x:v>Comparaison toutes vues et modes</x:v>
      </x:c>
      <x:c r="I207" s="79" t="str">
        <x:v>https://predator.illfonic.com/</x:v>
      </x:c>
      <x:c r="J207" s="79" t="str">
        <x:v>Art / QA</x:v>
      </x:c>
      <x:c r="K207" s="79" t="str">
        <x:v>https://github.com/darknigthmare/yautja-la-longue-chasse/pull/42</x:v>
      </x:c>
      <x:c r="L207" s="79" t="n">
        <x:v>45</x:v>
      </x:c>
    </x:row>
    <x:row r="208" ht="35" customHeight="1">
      <x:c r="A208" s="79" t="str">
        <x:v>V136-phg-alpha-06</x:v>
      </x:c>
      <x:c r="B208" s="79" t="str">
        <x:v>phg-alpha</x:v>
      </x:c>
      <x:c r="C208" s="79" t="str">
        <x:v>Alpha · PHG</x:v>
      </x:c>
      <x:c r="D208" s="79" t="str">
        <x:v>Revue artistique et droits</x:v>
      </x:c>
      <x:c r="E208" s="79" t="str">
        <x:v>Validation finale 1:1</x:v>
      </x:c>
      <x:c r="F208" s="79" t="str">
        <x:v>OUVERT · revue humaine et autorisation IP nécessaires</x:v>
      </x:c>
      <x:c r="G208" s="79" t="str">
        <x:v>P1</x:v>
      </x:c>
      <x:c r="H208" s="79" t="str">
        <x:v>Ne jamais certifier sans approbation manuelle</x:v>
      </x:c>
      <x:c r="I208" s="79" t="str">
        <x:v>https://predator.illfonic.com/</x:v>
      </x:c>
      <x:c r="J208" s="79" t="str">
        <x:v>Art / QA</x:v>
      </x:c>
      <x:c r="K208" s="79" t="str">
        <x:v>https://github.com/darknigthmare/yautja-la-longue-chasse/pull/42</x:v>
      </x:c>
      <x:c r="L208" s="79" t="n">
        <x:v>0</x:v>
      </x:c>
    </x:row>
    <x:row r="209" ht="35" customHeight="1">
      <x:c r="A209" s="79" t="str">
        <x:v>V136-phg-samurai-01</x:v>
      </x:c>
      <x:c r="B209" s="79" t="str">
        <x:v>phg-samurai</x:v>
      </x:c>
      <x:c r="C209" s="79" t="str">
        <x:v>Samurai · PHG</x:v>
      </x:c>
      <x:c r="D209" s="79" t="str">
        <x:v>Plan face/dessus/profil</x:v>
      </x:c>
      <x:c r="E209" s="79" t="str">
        <x:v>Preuve photogramme vérifiée</x:v>
      </x:c>
      <x:c r="F209" s="79" t="str">
        <x:v>OUVERT · plusieurs vues source film/jeu non relevées</x:v>
      </x:c>
      <x:c r="G209" s="79" t="str">
        <x:v>P1</x:v>
      </x:c>
      <x:c r="H209" s="79" t="str">
        <x:v>Photo, prop, capture jeu propre au gauntlet</x:v>
      </x:c>
      <x:c r="I209" s="79" t="str">
        <x:v>https://predator.illfonic.com/</x:v>
      </x:c>
      <x:c r="J209" s="79" t="str">
        <x:v>Art / QA</x:v>
      </x:c>
      <x:c r="K209" s="79" t="str">
        <x:v>https://github.com/darknigthmare/yautja-la-longue-chasse/pull/42</x:v>
      </x:c>
      <x:c r="L209" s="79" t="n">
        <x:v>0</x:v>
      </x:c>
    </x:row>
    <x:row r="210" ht="35" customHeight="1">
      <x:c r="A210" s="79" t="str">
        <x:v>V136-phg-samurai-02</x:v>
      </x:c>
      <x:c r="B210" s="79" t="str">
        <x:v>phg-samurai</x:v>
      </x:c>
      <x:c r="C210" s="79" t="str">
        <x:v>Samurai · PHG</x:v>
      </x:c>
      <x:c r="D210" s="79" t="str">
        <x:v>Proportions et silhouette</x:v>
      </x:c>
      <x:c r="E210" s="79" t="str">
        <x:v>Remodelage physique</x:v>
      </x:c>
      <x:c r="F210" s="79" t="str">
        <x:v>PARTIEL · silhouette SVG originale, proportions non mesurées</x:v>
      </x:c>
      <x:c r="G210" s="79" t="str">
        <x:v>P1</x:v>
      </x:c>
      <x:c r="H210" s="79" t="str">
        <x:v>Contrôle alignement poignet et pièces</x:v>
      </x:c>
      <x:c r="I210" s="79" t="str">
        <x:v>https://predator.illfonic.com/</x:v>
      </x:c>
      <x:c r="J210" s="79" t="str">
        <x:v>Art / QA</x:v>
      </x:c>
      <x:c r="K210" s="79" t="str">
        <x:v>https://github.com/darknigthmare/yautja-la-longue-chasse/pull/42</x:v>
      </x:c>
      <x:c r="L210" s="79" t="n">
        <x:v>25</x:v>
      </x:c>
    </x:row>
    <x:row r="211" ht="35" customHeight="1">
      <x:c r="A211" s="79" t="str">
        <x:v>V136-phg-samurai-03</x:v>
      </x:c>
      <x:c r="B211" s="79" t="str">
        <x:v>phg-samurai</x:v>
      </x:c>
      <x:c r="C211" s="79" t="str">
        <x:v>Samurai · PHG</x:v>
      </x:c>
      <x:c r="D211" s="79" t="str">
        <x:v>Textures UV et matériaux</x:v>
      </x:c>
      <x:c r="E211" s="79" t="str">
        <x:v>Matériaux et patine</x:v>
      </x:c>
      <x:c r="F211" s="79" t="str">
        <x:v>OUVERT · textures UV/PNG 1:1 et patine à produire</x:v>
      </x:c>
      <x:c r="G211" s="79" t="str">
        <x:v>P1</x:v>
      </x:c>
      <x:c r="H211" s="79" t="str">
        <x:v>PNG indépendants aux bons détails et reflets</x:v>
      </x:c>
      <x:c r="I211" s="79" t="str">
        <x:v>https://predator.illfonic.com/</x:v>
      </x:c>
      <x:c r="J211" s="79" t="str">
        <x:v>Art / QA</x:v>
      </x:c>
      <x:c r="K211" s="79" t="str">
        <x:v>https://github.com/darknigthmare/yautja-la-longue-chasse/pull/42</x:v>
      </x:c>
      <x:c r="L211" s="79" t="n">
        <x:v>0</x:v>
      </x:c>
    </x:row>
    <x:row r="212" ht="35" customHeight="1">
      <x:c r="A212" s="79" t="str">
        <x:v>V136-phg-samurai-04</x:v>
      </x:c>
      <x:c r="B212" s="79" t="str">
        <x:v>phg-samurai</x:v>
      </x:c>
      <x:c r="C212" s="79" t="str">
        <x:v>Samurai · PHG</x:v>
      </x:c>
      <x:c r="D212" s="79" t="str">
        <x:v>Charnière et animations</x:v>
      </x:c>
      <x:c r="E212" s="79" t="str">
        <x:v>Ouverture, gestes, pivot</x:v>
      </x:c>
      <x:c r="F212" s="79" t="str">
        <x:v>PARTIEL · capot CSS ; 3 gestes / rig 1:1 manquants</x:v>
      </x:c>
      <x:c r="G212" s="79" t="str">
        <x:v>P1</x:v>
      </x:c>
      <x:c r="H212" s="79" t="str">
        <x:v>Cohérence rig / armurerie / hologramme</x:v>
      </x:c>
      <x:c r="I212" s="79" t="str">
        <x:v>https://predator.illfonic.com/</x:v>
      </x:c>
      <x:c r="J212" s="79" t="str">
        <x:v>Art / QA</x:v>
      </x:c>
      <x:c r="K212" s="79" t="str">
        <x:v>https://github.com/darknigthmare/yautja-la-longue-chasse/pull/42</x:v>
      </x:c>
      <x:c r="L212" s="79" t="n">
        <x:v>25</x:v>
      </x:c>
    </x:row>
    <x:row r="213" ht="35" customHeight="1">
      <x:c r="A213" s="79" t="str">
        <x:v>V136-phg-samurai-05</x:v>
      </x:c>
      <x:c r="B213" s="79" t="str">
        <x:v>phg-samurai</x:v>
      </x:c>
      <x:c r="C213" s="79" t="str">
        <x:v>Samurai · PHG</x:v>
      </x:c>
      <x:c r="D213" s="79" t="str">
        <x:v>Rendu jeu et contrôle</x:v>
      </x:c>
      <x:c r="E213" s="79" t="str">
        <x:v>Clavier, tactile, mobile, SFX</x:v>
      </x:c>
      <x:c r="F213" s="79" t="str">
        <x:v>PARTIEL · rendu React + QA autonome, jeu complet à tester</x:v>
      </x:c>
      <x:c r="G213" s="79" t="str">
        <x:v>P1</x:v>
      </x:c>
      <x:c r="H213" s="79" t="str">
        <x:v>Comparaison toutes vues et modes</x:v>
      </x:c>
      <x:c r="I213" s="79" t="str">
        <x:v>https://predator.illfonic.com/</x:v>
      </x:c>
      <x:c r="J213" s="79" t="str">
        <x:v>Art / QA</x:v>
      </x:c>
      <x:c r="K213" s="79" t="str">
        <x:v>https://github.com/darknigthmare/yautja-la-longue-chasse/pull/42</x:v>
      </x:c>
      <x:c r="L213" s="79" t="n">
        <x:v>45</x:v>
      </x:c>
    </x:row>
    <x:row r="214" ht="35" customHeight="1">
      <x:c r="A214" s="79" t="str">
        <x:v>V136-phg-samurai-06</x:v>
      </x:c>
      <x:c r="B214" s="79" t="str">
        <x:v>phg-samurai</x:v>
      </x:c>
      <x:c r="C214" s="79" t="str">
        <x:v>Samurai · PHG</x:v>
      </x:c>
      <x:c r="D214" s="79" t="str">
        <x:v>Revue artistique et droits</x:v>
      </x:c>
      <x:c r="E214" s="79" t="str">
        <x:v>Validation finale 1:1</x:v>
      </x:c>
      <x:c r="F214" s="79" t="str">
        <x:v>OUVERT · revue humaine et autorisation IP nécessaires</x:v>
      </x:c>
      <x:c r="G214" s="79" t="str">
        <x:v>P1</x:v>
      </x:c>
      <x:c r="H214" s="79" t="str">
        <x:v>Ne jamais certifier sans approbation manuelle</x:v>
      </x:c>
      <x:c r="I214" s="79" t="str">
        <x:v>https://predator.illfonic.com/</x:v>
      </x:c>
      <x:c r="J214" s="79" t="str">
        <x:v>Art / QA</x:v>
      </x:c>
      <x:c r="K214" s="79" t="str">
        <x:v>https://github.com/darknigthmare/yautja-la-longue-chasse/pull/42</x:v>
      </x:c>
      <x:c r="L214" s="79" t="n">
        <x:v>0</x:v>
      </x:c>
    </x:row>
    <x:row r="215" ht="35" customHeight="1">
      <x:c r="A215" s="79" t="str">
        <x:v>V136-phg-viking-01</x:v>
      </x:c>
      <x:c r="B215" s="79" t="str">
        <x:v>phg-viking</x:v>
      </x:c>
      <x:c r="C215" s="79" t="str">
        <x:v>Viking · PHG</x:v>
      </x:c>
      <x:c r="D215" s="79" t="str">
        <x:v>Plan face/dessus/profil</x:v>
      </x:c>
      <x:c r="E215" s="79" t="str">
        <x:v>Preuve photogramme vérifiée</x:v>
      </x:c>
      <x:c r="F215" s="79" t="str">
        <x:v>OUVERT · plusieurs vues source film/jeu non relevées</x:v>
      </x:c>
      <x:c r="G215" s="79" t="str">
        <x:v>P1</x:v>
      </x:c>
      <x:c r="H215" s="79" t="str">
        <x:v>Photo, prop, capture jeu propre au gauntlet</x:v>
      </x:c>
      <x:c r="I215" s="79" t="str">
        <x:v>https://predator.illfonic.com/</x:v>
      </x:c>
      <x:c r="J215" s="79" t="str">
        <x:v>Art / QA</x:v>
      </x:c>
      <x:c r="K215" s="79" t="str">
        <x:v>https://github.com/darknigthmare/yautja-la-longue-chasse/pull/42</x:v>
      </x:c>
      <x:c r="L215" s="79" t="n">
        <x:v>0</x:v>
      </x:c>
    </x:row>
    <x:row r="216" ht="35" customHeight="1">
      <x:c r="A216" s="79" t="str">
        <x:v>V136-phg-viking-02</x:v>
      </x:c>
      <x:c r="B216" s="79" t="str">
        <x:v>phg-viking</x:v>
      </x:c>
      <x:c r="C216" s="79" t="str">
        <x:v>Viking · PHG</x:v>
      </x:c>
      <x:c r="D216" s="79" t="str">
        <x:v>Proportions et silhouette</x:v>
      </x:c>
      <x:c r="E216" s="79" t="str">
        <x:v>Remodelage physique</x:v>
      </x:c>
      <x:c r="F216" s="79" t="str">
        <x:v>PARTIEL · silhouette SVG originale, proportions non mesurées</x:v>
      </x:c>
      <x:c r="G216" s="79" t="str">
        <x:v>P1</x:v>
      </x:c>
      <x:c r="H216" s="79" t="str">
        <x:v>Contrôle alignement poignet et pièces</x:v>
      </x:c>
      <x:c r="I216" s="79" t="str">
        <x:v>https://predator.illfonic.com/</x:v>
      </x:c>
      <x:c r="J216" s="79" t="str">
        <x:v>Art / QA</x:v>
      </x:c>
      <x:c r="K216" s="79" t="str">
        <x:v>https://github.com/darknigthmare/yautja-la-longue-chasse/pull/42</x:v>
      </x:c>
      <x:c r="L216" s="79" t="n">
        <x:v>25</x:v>
      </x:c>
    </x:row>
    <x:row r="217" ht="35" customHeight="1">
      <x:c r="A217" s="79" t="str">
        <x:v>V136-phg-viking-03</x:v>
      </x:c>
      <x:c r="B217" s="79" t="str">
        <x:v>phg-viking</x:v>
      </x:c>
      <x:c r="C217" s="79" t="str">
        <x:v>Viking · PHG</x:v>
      </x:c>
      <x:c r="D217" s="79" t="str">
        <x:v>Textures UV et matériaux</x:v>
      </x:c>
      <x:c r="E217" s="79" t="str">
        <x:v>Matériaux et patine</x:v>
      </x:c>
      <x:c r="F217" s="79" t="str">
        <x:v>OUVERT · textures UV/PNG 1:1 et patine à produire</x:v>
      </x:c>
      <x:c r="G217" s="79" t="str">
        <x:v>P1</x:v>
      </x:c>
      <x:c r="H217" s="79" t="str">
        <x:v>PNG indépendants aux bons détails et reflets</x:v>
      </x:c>
      <x:c r="I217" s="79" t="str">
        <x:v>https://predator.illfonic.com/</x:v>
      </x:c>
      <x:c r="J217" s="79" t="str">
        <x:v>Art / QA</x:v>
      </x:c>
      <x:c r="K217" s="79" t="str">
        <x:v>https://github.com/darknigthmare/yautja-la-longue-chasse/pull/42</x:v>
      </x:c>
      <x:c r="L217" s="79" t="n">
        <x:v>0</x:v>
      </x:c>
    </x:row>
    <x:row r="218" ht="35" customHeight="1">
      <x:c r="A218" s="79" t="str">
        <x:v>V136-phg-viking-04</x:v>
      </x:c>
      <x:c r="B218" s="79" t="str">
        <x:v>phg-viking</x:v>
      </x:c>
      <x:c r="C218" s="79" t="str">
        <x:v>Viking · PHG</x:v>
      </x:c>
      <x:c r="D218" s="79" t="str">
        <x:v>Charnière et animations</x:v>
      </x:c>
      <x:c r="E218" s="79" t="str">
        <x:v>Ouverture, gestes, pivot</x:v>
      </x:c>
      <x:c r="F218" s="79" t="str">
        <x:v>PARTIEL · capot CSS ; 3 gestes / rig 1:1 manquants</x:v>
      </x:c>
      <x:c r="G218" s="79" t="str">
        <x:v>P1</x:v>
      </x:c>
      <x:c r="H218" s="79" t="str">
        <x:v>Cohérence rig / armurerie / hologramme</x:v>
      </x:c>
      <x:c r="I218" s="79" t="str">
        <x:v>https://predator.illfonic.com/</x:v>
      </x:c>
      <x:c r="J218" s="79" t="str">
        <x:v>Art / QA</x:v>
      </x:c>
      <x:c r="K218" s="79" t="str">
        <x:v>https://github.com/darknigthmare/yautja-la-longue-chasse/pull/42</x:v>
      </x:c>
      <x:c r="L218" s="79" t="n">
        <x:v>25</x:v>
      </x:c>
    </x:row>
    <x:row r="219" ht="35" customHeight="1">
      <x:c r="A219" s="79" t="str">
        <x:v>V136-phg-viking-05</x:v>
      </x:c>
      <x:c r="B219" s="79" t="str">
        <x:v>phg-viking</x:v>
      </x:c>
      <x:c r="C219" s="79" t="str">
        <x:v>Viking · PHG</x:v>
      </x:c>
      <x:c r="D219" s="79" t="str">
        <x:v>Rendu jeu et contrôle</x:v>
      </x:c>
      <x:c r="E219" s="79" t="str">
        <x:v>Clavier, tactile, mobile, SFX</x:v>
      </x:c>
      <x:c r="F219" s="79" t="str">
        <x:v>PARTIEL · rendu React + QA autonome, jeu complet à tester</x:v>
      </x:c>
      <x:c r="G219" s="79" t="str">
        <x:v>P1</x:v>
      </x:c>
      <x:c r="H219" s="79" t="str">
        <x:v>Comparaison toutes vues et modes</x:v>
      </x:c>
      <x:c r="I219" s="79" t="str">
        <x:v>https://predator.illfonic.com/</x:v>
      </x:c>
      <x:c r="J219" s="79" t="str">
        <x:v>Art / QA</x:v>
      </x:c>
      <x:c r="K219" s="79" t="str">
        <x:v>https://github.com/darknigthmare/yautja-la-longue-chasse/pull/42</x:v>
      </x:c>
      <x:c r="L219" s="79" t="n">
        <x:v>45</x:v>
      </x:c>
    </x:row>
    <x:row r="220" ht="35" customHeight="1">
      <x:c r="A220" s="79" t="str">
        <x:v>V136-phg-viking-06</x:v>
      </x:c>
      <x:c r="B220" s="79" t="str">
        <x:v>phg-viking</x:v>
      </x:c>
      <x:c r="C220" s="79" t="str">
        <x:v>Viking · PHG</x:v>
      </x:c>
      <x:c r="D220" s="79" t="str">
        <x:v>Revue artistique et droits</x:v>
      </x:c>
      <x:c r="E220" s="79" t="str">
        <x:v>Validation finale 1:1</x:v>
      </x:c>
      <x:c r="F220" s="79" t="str">
        <x:v>OUVERT · revue humaine et autorisation IP nécessaires</x:v>
      </x:c>
      <x:c r="G220" s="79" t="str">
        <x:v>P1</x:v>
      </x:c>
      <x:c r="H220" s="79" t="str">
        <x:v>Ne jamais certifier sans approbation manuelle</x:v>
      </x:c>
      <x:c r="I220" s="79" t="str">
        <x:v>https://predator.illfonic.com/</x:v>
      </x:c>
      <x:c r="J220" s="79" t="str">
        <x:v>Art / QA</x:v>
      </x:c>
      <x:c r="K220" s="79" t="str">
        <x:v>https://github.com/darknigthmare/yautja-la-longue-chasse/pull/42</x:v>
      </x:c>
      <x:c r="L220" s="79" t="n">
        <x:v>0</x:v>
      </x:c>
    </x:row>
    <x:row r="221" ht="35" customHeight="1">
      <x:c r="A221" s="79" t="str">
        <x:v>V136-phg-valkyrie-01</x:v>
      </x:c>
      <x:c r="B221" s="79" t="str">
        <x:v>phg-valkyrie</x:v>
      </x:c>
      <x:c r="C221" s="79" t="str">
        <x:v>Valkyrie · PHG</x:v>
      </x:c>
      <x:c r="D221" s="79" t="str">
        <x:v>Plan face/dessus/profil</x:v>
      </x:c>
      <x:c r="E221" s="79" t="str">
        <x:v>Preuve photogramme vérifiée</x:v>
      </x:c>
      <x:c r="F221" s="79" t="str">
        <x:v>OUVERT · plusieurs vues source film/jeu non relevées</x:v>
      </x:c>
      <x:c r="G221" s="79" t="str">
        <x:v>P1</x:v>
      </x:c>
      <x:c r="H221" s="79" t="str">
        <x:v>Photo, prop, capture jeu propre au gauntlet</x:v>
      </x:c>
      <x:c r="I221" s="79" t="str">
        <x:v>https://predator.illfonic.com/</x:v>
      </x:c>
      <x:c r="J221" s="79" t="str">
        <x:v>Art / QA</x:v>
      </x:c>
      <x:c r="K221" s="79" t="str">
        <x:v>https://github.com/darknigthmare/yautja-la-longue-chasse/pull/42</x:v>
      </x:c>
      <x:c r="L221" s="79" t="n">
        <x:v>0</x:v>
      </x:c>
    </x:row>
    <x:row r="222" ht="35" customHeight="1">
      <x:c r="A222" s="79" t="str">
        <x:v>V136-phg-valkyrie-02</x:v>
      </x:c>
      <x:c r="B222" s="79" t="str">
        <x:v>phg-valkyrie</x:v>
      </x:c>
      <x:c r="C222" s="79" t="str">
        <x:v>Valkyrie · PHG</x:v>
      </x:c>
      <x:c r="D222" s="79" t="str">
        <x:v>Proportions et silhouette</x:v>
      </x:c>
      <x:c r="E222" s="79" t="str">
        <x:v>Remodelage physique</x:v>
      </x:c>
      <x:c r="F222" s="79" t="str">
        <x:v>PARTIEL · silhouette SVG originale, proportions non mesurées</x:v>
      </x:c>
      <x:c r="G222" s="79" t="str">
        <x:v>P1</x:v>
      </x:c>
      <x:c r="H222" s="79" t="str">
        <x:v>Contrôle alignement poignet et pièces</x:v>
      </x:c>
      <x:c r="I222" s="79" t="str">
        <x:v>https://predator.illfonic.com/</x:v>
      </x:c>
      <x:c r="J222" s="79" t="str">
        <x:v>Art / QA</x:v>
      </x:c>
      <x:c r="K222" s="79" t="str">
        <x:v>https://github.com/darknigthmare/yautja-la-longue-chasse/pull/42</x:v>
      </x:c>
      <x:c r="L222" s="79" t="n">
        <x:v>25</x:v>
      </x:c>
    </x:row>
    <x:row r="223" ht="35" customHeight="1">
      <x:c r="A223" s="79" t="str">
        <x:v>V136-phg-valkyrie-03</x:v>
      </x:c>
      <x:c r="B223" s="79" t="str">
        <x:v>phg-valkyrie</x:v>
      </x:c>
      <x:c r="C223" s="79" t="str">
        <x:v>Valkyrie · PHG</x:v>
      </x:c>
      <x:c r="D223" s="79" t="str">
        <x:v>Textures UV et matériaux</x:v>
      </x:c>
      <x:c r="E223" s="79" t="str">
        <x:v>Matériaux et patine</x:v>
      </x:c>
      <x:c r="F223" s="79" t="str">
        <x:v>OUVERT · textures UV/PNG 1:1 et patine à produire</x:v>
      </x:c>
      <x:c r="G223" s="79" t="str">
        <x:v>P1</x:v>
      </x:c>
      <x:c r="H223" s="79" t="str">
        <x:v>PNG indépendants aux bons détails et reflets</x:v>
      </x:c>
      <x:c r="I223" s="79" t="str">
        <x:v>https://predator.illfonic.com/</x:v>
      </x:c>
      <x:c r="J223" s="79" t="str">
        <x:v>Art / QA</x:v>
      </x:c>
      <x:c r="K223" s="79" t="str">
        <x:v>https://github.com/darknigthmare/yautja-la-longue-chasse/pull/42</x:v>
      </x:c>
      <x:c r="L223" s="79" t="n">
        <x:v>0</x:v>
      </x:c>
    </x:row>
    <x:row r="224" ht="35" customHeight="1">
      <x:c r="A224" s="79" t="str">
        <x:v>V136-phg-valkyrie-04</x:v>
      </x:c>
      <x:c r="B224" s="79" t="str">
        <x:v>phg-valkyrie</x:v>
      </x:c>
      <x:c r="C224" s="79" t="str">
        <x:v>Valkyrie · PHG</x:v>
      </x:c>
      <x:c r="D224" s="79" t="str">
        <x:v>Charnière et animations</x:v>
      </x:c>
      <x:c r="E224" s="79" t="str">
        <x:v>Ouverture, gestes, pivot</x:v>
      </x:c>
      <x:c r="F224" s="79" t="str">
        <x:v>PARTIEL · capot CSS ; 3 gestes / rig 1:1 manquants</x:v>
      </x:c>
      <x:c r="G224" s="79" t="str">
        <x:v>P1</x:v>
      </x:c>
      <x:c r="H224" s="79" t="str">
        <x:v>Cohérence rig / armurerie / hologramme</x:v>
      </x:c>
      <x:c r="I224" s="79" t="str">
        <x:v>https://predator.illfonic.com/</x:v>
      </x:c>
      <x:c r="J224" s="79" t="str">
        <x:v>Art / QA</x:v>
      </x:c>
      <x:c r="K224" s="79" t="str">
        <x:v>https://github.com/darknigthmare/yautja-la-longue-chasse/pull/42</x:v>
      </x:c>
      <x:c r="L224" s="79" t="n">
        <x:v>25</x:v>
      </x:c>
    </x:row>
    <x:row r="225" ht="35" customHeight="1">
      <x:c r="A225" s="79" t="str">
        <x:v>V136-phg-valkyrie-05</x:v>
      </x:c>
      <x:c r="B225" s="79" t="str">
        <x:v>phg-valkyrie</x:v>
      </x:c>
      <x:c r="C225" s="79" t="str">
        <x:v>Valkyrie · PHG</x:v>
      </x:c>
      <x:c r="D225" s="79" t="str">
        <x:v>Rendu jeu et contrôle</x:v>
      </x:c>
      <x:c r="E225" s="79" t="str">
        <x:v>Clavier, tactile, mobile, SFX</x:v>
      </x:c>
      <x:c r="F225" s="79" t="str">
        <x:v>PARTIEL · rendu React + QA autonome, jeu complet à tester</x:v>
      </x:c>
      <x:c r="G225" s="79" t="str">
        <x:v>P1</x:v>
      </x:c>
      <x:c r="H225" s="79" t="str">
        <x:v>Comparaison toutes vues et modes</x:v>
      </x:c>
      <x:c r="I225" s="79" t="str">
        <x:v>https://predator.illfonic.com/</x:v>
      </x:c>
      <x:c r="J225" s="79" t="str">
        <x:v>Art / QA</x:v>
      </x:c>
      <x:c r="K225" s="79" t="str">
        <x:v>https://github.com/darknigthmare/yautja-la-longue-chasse/pull/42</x:v>
      </x:c>
      <x:c r="L225" s="79" t="n">
        <x:v>45</x:v>
      </x:c>
    </x:row>
    <x:row r="226" ht="35" customHeight="1">
      <x:c r="A226" s="79" t="str">
        <x:v>V136-phg-valkyrie-06</x:v>
      </x:c>
      <x:c r="B226" s="79" t="str">
        <x:v>phg-valkyrie</x:v>
      </x:c>
      <x:c r="C226" s="79" t="str">
        <x:v>Valkyrie · PHG</x:v>
      </x:c>
      <x:c r="D226" s="79" t="str">
        <x:v>Revue artistique et droits</x:v>
      </x:c>
      <x:c r="E226" s="79" t="str">
        <x:v>Validation finale 1:1</x:v>
      </x:c>
      <x:c r="F226" s="79" t="str">
        <x:v>OUVERT · revue humaine et autorisation IP nécessaires</x:v>
      </x:c>
      <x:c r="G226" s="79" t="str">
        <x:v>P1</x:v>
      </x:c>
      <x:c r="H226" s="79" t="str">
        <x:v>Ne jamais certifier sans approbation manuelle</x:v>
      </x:c>
      <x:c r="I226" s="79" t="str">
        <x:v>https://predator.illfonic.com/</x:v>
      </x:c>
      <x:c r="J226" s="79" t="str">
        <x:v>Art / QA</x:v>
      </x:c>
      <x:c r="K226" s="79" t="str">
        <x:v>https://github.com/darknigthmare/yautja-la-longue-chasse/pull/42</x:v>
      </x:c>
      <x:c r="L226" s="79" t="n">
        <x:v>0</x:v>
      </x:c>
    </x:row>
    <x:row r="227" ht="35" customHeight="1">
      <x:c r="A227" s="79" t="str">
        <x:v>V136-phg-cleopatra-01</x:v>
      </x:c>
      <x:c r="B227" s="79" t="str">
        <x:v>phg-cleopatra</x:v>
      </x:c>
      <x:c r="C227" s="79" t="str">
        <x:v>Cleopatra · PHG</x:v>
      </x:c>
      <x:c r="D227" s="79" t="str">
        <x:v>Plan face/dessus/profil</x:v>
      </x:c>
      <x:c r="E227" s="79" t="str">
        <x:v>Preuve photogramme vérifiée</x:v>
      </x:c>
      <x:c r="F227" s="79" t="str">
        <x:v>OUVERT · plusieurs vues source film/jeu non relevées</x:v>
      </x:c>
      <x:c r="G227" s="79" t="str">
        <x:v>P1</x:v>
      </x:c>
      <x:c r="H227" s="79" t="str">
        <x:v>Photo, prop, capture jeu propre au gauntlet</x:v>
      </x:c>
      <x:c r="I227" s="79" t="str">
        <x:v>https://predator.illfonic.com/</x:v>
      </x:c>
      <x:c r="J227" s="79" t="str">
        <x:v>Art / QA</x:v>
      </x:c>
      <x:c r="K227" s="79" t="str">
        <x:v>https://github.com/darknigthmare/yautja-la-longue-chasse/pull/42</x:v>
      </x:c>
      <x:c r="L227" s="79" t="n">
        <x:v>0</x:v>
      </x:c>
    </x:row>
    <x:row r="228" ht="35" customHeight="1">
      <x:c r="A228" s="79" t="str">
        <x:v>V136-phg-cleopatra-02</x:v>
      </x:c>
      <x:c r="B228" s="79" t="str">
        <x:v>phg-cleopatra</x:v>
      </x:c>
      <x:c r="C228" s="79" t="str">
        <x:v>Cleopatra · PHG</x:v>
      </x:c>
      <x:c r="D228" s="79" t="str">
        <x:v>Proportions et silhouette</x:v>
      </x:c>
      <x:c r="E228" s="79" t="str">
        <x:v>Remodelage physique</x:v>
      </x:c>
      <x:c r="F228" s="79" t="str">
        <x:v>PARTIEL · silhouette SVG originale, proportions non mesurées</x:v>
      </x:c>
      <x:c r="G228" s="79" t="str">
        <x:v>P1</x:v>
      </x:c>
      <x:c r="H228" s="79" t="str">
        <x:v>Contrôle alignement poignet et pièces</x:v>
      </x:c>
      <x:c r="I228" s="79" t="str">
        <x:v>https://predator.illfonic.com/</x:v>
      </x:c>
      <x:c r="J228" s="79" t="str">
        <x:v>Art / QA</x:v>
      </x:c>
      <x:c r="K228" s="79" t="str">
        <x:v>https://github.com/darknigthmare/yautja-la-longue-chasse/pull/42</x:v>
      </x:c>
      <x:c r="L228" s="79" t="n">
        <x:v>25</x:v>
      </x:c>
    </x:row>
    <x:row r="229" ht="35" customHeight="1">
      <x:c r="A229" s="79" t="str">
        <x:v>V136-phg-cleopatra-03</x:v>
      </x:c>
      <x:c r="B229" s="79" t="str">
        <x:v>phg-cleopatra</x:v>
      </x:c>
      <x:c r="C229" s="79" t="str">
        <x:v>Cleopatra · PHG</x:v>
      </x:c>
      <x:c r="D229" s="79" t="str">
        <x:v>Textures UV et matériaux</x:v>
      </x:c>
      <x:c r="E229" s="79" t="str">
        <x:v>Matériaux et patine</x:v>
      </x:c>
      <x:c r="F229" s="79" t="str">
        <x:v>OUVERT · textures UV/PNG 1:1 et patine à produire</x:v>
      </x:c>
      <x:c r="G229" s="79" t="str">
        <x:v>P1</x:v>
      </x:c>
      <x:c r="H229" s="79" t="str">
        <x:v>PNG indépendants aux bons détails et reflets</x:v>
      </x:c>
      <x:c r="I229" s="79" t="str">
        <x:v>https://predator.illfonic.com/</x:v>
      </x:c>
      <x:c r="J229" s="79" t="str">
        <x:v>Art / QA</x:v>
      </x:c>
      <x:c r="K229" s="79" t="str">
        <x:v>https://github.com/darknigthmare/yautja-la-longue-chasse/pull/42</x:v>
      </x:c>
      <x:c r="L229" s="79" t="n">
        <x:v>0</x:v>
      </x:c>
    </x:row>
    <x:row r="230" ht="35" customHeight="1">
      <x:c r="A230" s="79" t="str">
        <x:v>V136-phg-cleopatra-04</x:v>
      </x:c>
      <x:c r="B230" s="79" t="str">
        <x:v>phg-cleopatra</x:v>
      </x:c>
      <x:c r="C230" s="79" t="str">
        <x:v>Cleopatra · PHG</x:v>
      </x:c>
      <x:c r="D230" s="79" t="str">
        <x:v>Charnière et animations</x:v>
      </x:c>
      <x:c r="E230" s="79" t="str">
        <x:v>Ouverture, gestes, pivot</x:v>
      </x:c>
      <x:c r="F230" s="79" t="str">
        <x:v>PARTIEL · capot CSS ; 3 gestes / rig 1:1 manquants</x:v>
      </x:c>
      <x:c r="G230" s="79" t="str">
        <x:v>P1</x:v>
      </x:c>
      <x:c r="H230" s="79" t="str">
        <x:v>Cohérence rig / armurerie / hologramme</x:v>
      </x:c>
      <x:c r="I230" s="79" t="str">
        <x:v>https://predator.illfonic.com/</x:v>
      </x:c>
      <x:c r="J230" s="79" t="str">
        <x:v>Art / QA</x:v>
      </x:c>
      <x:c r="K230" s="79" t="str">
        <x:v>https://github.com/darknigthmare/yautja-la-longue-chasse/pull/42</x:v>
      </x:c>
      <x:c r="L230" s="79" t="n">
        <x:v>25</x:v>
      </x:c>
    </x:row>
    <x:row r="231" ht="35" customHeight="1">
      <x:c r="A231" s="79" t="str">
        <x:v>V136-phg-cleopatra-05</x:v>
      </x:c>
      <x:c r="B231" s="79" t="str">
        <x:v>phg-cleopatra</x:v>
      </x:c>
      <x:c r="C231" s="79" t="str">
        <x:v>Cleopatra · PHG</x:v>
      </x:c>
      <x:c r="D231" s="79" t="str">
        <x:v>Rendu jeu et contrôle</x:v>
      </x:c>
      <x:c r="E231" s="79" t="str">
        <x:v>Clavier, tactile, mobile, SFX</x:v>
      </x:c>
      <x:c r="F231" s="79" t="str">
        <x:v>PARTIEL · rendu React + QA autonome, jeu complet à tester</x:v>
      </x:c>
      <x:c r="G231" s="79" t="str">
        <x:v>P1</x:v>
      </x:c>
      <x:c r="H231" s="79" t="str">
        <x:v>Comparaison toutes vues et modes</x:v>
      </x:c>
      <x:c r="I231" s="79" t="str">
        <x:v>https://predator.illfonic.com/</x:v>
      </x:c>
      <x:c r="J231" s="79" t="str">
        <x:v>Art / QA</x:v>
      </x:c>
      <x:c r="K231" s="79" t="str">
        <x:v>https://github.com/darknigthmare/yautja-la-longue-chasse/pull/42</x:v>
      </x:c>
      <x:c r="L231" s="79" t="n">
        <x:v>45</x:v>
      </x:c>
    </x:row>
    <x:row r="232" ht="35" customHeight="1">
      <x:c r="A232" s="79" t="str">
        <x:v>V136-phg-cleopatra-06</x:v>
      </x:c>
      <x:c r="B232" s="79" t="str">
        <x:v>phg-cleopatra</x:v>
      </x:c>
      <x:c r="C232" s="79" t="str">
        <x:v>Cleopatra · PHG</x:v>
      </x:c>
      <x:c r="D232" s="79" t="str">
        <x:v>Revue artistique et droits</x:v>
      </x:c>
      <x:c r="E232" s="79" t="str">
        <x:v>Validation finale 1:1</x:v>
      </x:c>
      <x:c r="F232" s="79" t="str">
        <x:v>OUVERT · revue humaine et autorisation IP nécessaires</x:v>
      </x:c>
      <x:c r="G232" s="79" t="str">
        <x:v>P1</x:v>
      </x:c>
      <x:c r="H232" s="79" t="str">
        <x:v>Ne jamais certifier sans approbation manuelle</x:v>
      </x:c>
      <x:c r="I232" s="79" t="str">
        <x:v>https://predator.illfonic.com/</x:v>
      </x:c>
      <x:c r="J232" s="79" t="str">
        <x:v>Art / QA</x:v>
      </x:c>
      <x:c r="K232" s="79" t="str">
        <x:v>https://github.com/darknigthmare/yautja-la-longue-chasse/pull/42</x:v>
      </x:c>
      <x:c r="L232" s="79" t="n">
        <x:v>0</x:v>
      </x:c>
    </x:row>
    <x:row r="233" ht="35" customHeight="1">
      <x:c r="A233" s="79" t="str">
        <x:v>V136-phg-exiled-01</x:v>
      </x:c>
      <x:c r="B233" s="79" t="str">
        <x:v>phg-exiled</x:v>
      </x:c>
      <x:c r="C233" s="79" t="str">
        <x:v>Exiled · PHG</x:v>
      </x:c>
      <x:c r="D233" s="79" t="str">
        <x:v>Plan face/dessus/profil</x:v>
      </x:c>
      <x:c r="E233" s="79" t="str">
        <x:v>Preuve photogramme vérifiée</x:v>
      </x:c>
      <x:c r="F233" s="79" t="str">
        <x:v>OUVERT · plusieurs vues source film/jeu non relevées</x:v>
      </x:c>
      <x:c r="G233" s="79" t="str">
        <x:v>P1</x:v>
      </x:c>
      <x:c r="H233" s="79" t="str">
        <x:v>Photo, prop, capture jeu propre au gauntlet</x:v>
      </x:c>
      <x:c r="I233" s="79" t="str">
        <x:v>https://predator.illfonic.com/</x:v>
      </x:c>
      <x:c r="J233" s="79" t="str">
        <x:v>Art / QA</x:v>
      </x:c>
      <x:c r="K233" s="79" t="str">
        <x:v>https://github.com/darknigthmare/yautja-la-longue-chasse/pull/42</x:v>
      </x:c>
      <x:c r="L233" s="79" t="n">
        <x:v>0</x:v>
      </x:c>
    </x:row>
    <x:row r="234" ht="35" customHeight="1">
      <x:c r="A234" s="79" t="str">
        <x:v>V136-phg-exiled-02</x:v>
      </x:c>
      <x:c r="B234" s="79" t="str">
        <x:v>phg-exiled</x:v>
      </x:c>
      <x:c r="C234" s="79" t="str">
        <x:v>Exiled · PHG</x:v>
      </x:c>
      <x:c r="D234" s="79" t="str">
        <x:v>Proportions et silhouette</x:v>
      </x:c>
      <x:c r="E234" s="79" t="str">
        <x:v>Remodelage physique</x:v>
      </x:c>
      <x:c r="F234" s="79" t="str">
        <x:v>PARTIEL · silhouette SVG originale, proportions non mesurées</x:v>
      </x:c>
      <x:c r="G234" s="79" t="str">
        <x:v>P1</x:v>
      </x:c>
      <x:c r="H234" s="79" t="str">
        <x:v>Contrôle alignement poignet et pièces</x:v>
      </x:c>
      <x:c r="I234" s="79" t="str">
        <x:v>https://predator.illfonic.com/</x:v>
      </x:c>
      <x:c r="J234" s="79" t="str">
        <x:v>Art / QA</x:v>
      </x:c>
      <x:c r="K234" s="79" t="str">
        <x:v>https://github.com/darknigthmare/yautja-la-longue-chasse/pull/42</x:v>
      </x:c>
      <x:c r="L234" s="79" t="n">
        <x:v>25</x:v>
      </x:c>
    </x:row>
    <x:row r="235" ht="35" customHeight="1">
      <x:c r="A235" s="79" t="str">
        <x:v>V136-phg-exiled-03</x:v>
      </x:c>
      <x:c r="B235" s="79" t="str">
        <x:v>phg-exiled</x:v>
      </x:c>
      <x:c r="C235" s="79" t="str">
        <x:v>Exiled · PHG</x:v>
      </x:c>
      <x:c r="D235" s="79" t="str">
        <x:v>Textures UV et matériaux</x:v>
      </x:c>
      <x:c r="E235" s="79" t="str">
        <x:v>Matériaux et patine</x:v>
      </x:c>
      <x:c r="F235" s="79" t="str">
        <x:v>OUVERT · textures UV/PNG 1:1 et patine à produire</x:v>
      </x:c>
      <x:c r="G235" s="79" t="str">
        <x:v>P1</x:v>
      </x:c>
      <x:c r="H235" s="79" t="str">
        <x:v>PNG indépendants aux bons détails et reflets</x:v>
      </x:c>
      <x:c r="I235" s="79" t="str">
        <x:v>https://predator.illfonic.com/</x:v>
      </x:c>
      <x:c r="J235" s="79" t="str">
        <x:v>Art / QA</x:v>
      </x:c>
      <x:c r="K235" s="79" t="str">
        <x:v>https://github.com/darknigthmare/yautja-la-longue-chasse/pull/42</x:v>
      </x:c>
      <x:c r="L235" s="79" t="n">
        <x:v>0</x:v>
      </x:c>
    </x:row>
    <x:row r="236" ht="35" customHeight="1">
      <x:c r="A236" s="79" t="str">
        <x:v>V136-phg-exiled-04</x:v>
      </x:c>
      <x:c r="B236" s="79" t="str">
        <x:v>phg-exiled</x:v>
      </x:c>
      <x:c r="C236" s="79" t="str">
        <x:v>Exiled · PHG</x:v>
      </x:c>
      <x:c r="D236" s="79" t="str">
        <x:v>Charnière et animations</x:v>
      </x:c>
      <x:c r="E236" s="79" t="str">
        <x:v>Ouverture, gestes, pivot</x:v>
      </x:c>
      <x:c r="F236" s="79" t="str">
        <x:v>PARTIEL · capot CSS ; 3 gestes / rig 1:1 manquants</x:v>
      </x:c>
      <x:c r="G236" s="79" t="str">
        <x:v>P1</x:v>
      </x:c>
      <x:c r="H236" s="79" t="str">
        <x:v>Cohérence rig / armurerie / hologramme</x:v>
      </x:c>
      <x:c r="I236" s="79" t="str">
        <x:v>https://predator.illfonic.com/</x:v>
      </x:c>
      <x:c r="J236" s="79" t="str">
        <x:v>Art / QA</x:v>
      </x:c>
      <x:c r="K236" s="79" t="str">
        <x:v>https://github.com/darknigthmare/yautja-la-longue-chasse/pull/42</x:v>
      </x:c>
      <x:c r="L236" s="79" t="n">
        <x:v>25</x:v>
      </x:c>
    </x:row>
    <x:row r="237" ht="35" customHeight="1">
      <x:c r="A237" s="79" t="str">
        <x:v>V136-phg-exiled-05</x:v>
      </x:c>
      <x:c r="B237" s="79" t="str">
        <x:v>phg-exiled</x:v>
      </x:c>
      <x:c r="C237" s="79" t="str">
        <x:v>Exiled · PHG</x:v>
      </x:c>
      <x:c r="D237" s="79" t="str">
        <x:v>Rendu jeu et contrôle</x:v>
      </x:c>
      <x:c r="E237" s="79" t="str">
        <x:v>Clavier, tactile, mobile, SFX</x:v>
      </x:c>
      <x:c r="F237" s="79" t="str">
        <x:v>PARTIEL · rendu React + QA autonome, jeu complet à tester</x:v>
      </x:c>
      <x:c r="G237" s="79" t="str">
        <x:v>P1</x:v>
      </x:c>
      <x:c r="H237" s="79" t="str">
        <x:v>Comparaison toutes vues et modes</x:v>
      </x:c>
      <x:c r="I237" s="79" t="str">
        <x:v>https://predator.illfonic.com/</x:v>
      </x:c>
      <x:c r="J237" s="79" t="str">
        <x:v>Art / QA</x:v>
      </x:c>
      <x:c r="K237" s="79" t="str">
        <x:v>https://github.com/darknigthmare/yautja-la-longue-chasse/pull/42</x:v>
      </x:c>
      <x:c r="L237" s="79" t="n">
        <x:v>45</x:v>
      </x:c>
    </x:row>
    <x:row r="238" ht="35" customHeight="1">
      <x:c r="A238" s="79" t="str">
        <x:v>V136-phg-exiled-06</x:v>
      </x:c>
      <x:c r="B238" s="79" t="str">
        <x:v>phg-exiled</x:v>
      </x:c>
      <x:c r="C238" s="79" t="str">
        <x:v>Exiled · PHG</x:v>
      </x:c>
      <x:c r="D238" s="79" t="str">
        <x:v>Revue artistique et droits</x:v>
      </x:c>
      <x:c r="E238" s="79" t="str">
        <x:v>Validation finale 1:1</x:v>
      </x:c>
      <x:c r="F238" s="79" t="str">
        <x:v>OUVERT · revue humaine et autorisation IP nécessaires</x:v>
      </x:c>
      <x:c r="G238" s="79" t="str">
        <x:v>P1</x:v>
      </x:c>
      <x:c r="H238" s="79" t="str">
        <x:v>Ne jamais certifier sans approbation manuelle</x:v>
      </x:c>
      <x:c r="I238" s="79" t="str">
        <x:v>https://predator.illfonic.com/</x:v>
      </x:c>
      <x:c r="J238" s="79" t="str">
        <x:v>Art / QA</x:v>
      </x:c>
      <x:c r="K238" s="79" t="str">
        <x:v>https://github.com/darknigthmare/yautja-la-longue-chasse/pull/42</x:v>
      </x:c>
      <x:c r="L238" s="79" t="n">
        <x:v>0</x:v>
      </x:c>
    </x:row>
    <x:row r="239" ht="35" customHeight="1">
      <x:c r="A239" s="79" t="str">
        <x:v>V136-phg-pirate-01</x:v>
      </x:c>
      <x:c r="B239" s="79" t="str">
        <x:v>phg-pirate</x:v>
      </x:c>
      <x:c r="C239" s="79" t="str">
        <x:v>Pirate · PHG</x:v>
      </x:c>
      <x:c r="D239" s="79" t="str">
        <x:v>Plan face/dessus/profil</x:v>
      </x:c>
      <x:c r="E239" s="79" t="str">
        <x:v>Preuve photogramme vérifiée</x:v>
      </x:c>
      <x:c r="F239" s="79" t="str">
        <x:v>OUVERT · plusieurs vues source film/jeu non relevées</x:v>
      </x:c>
      <x:c r="G239" s="79" t="str">
        <x:v>P1</x:v>
      </x:c>
      <x:c r="H239" s="79" t="str">
        <x:v>Photo, prop, capture jeu propre au gauntlet</x:v>
      </x:c>
      <x:c r="I239" s="79" t="str">
        <x:v>https://predator.illfonic.com/</x:v>
      </x:c>
      <x:c r="J239" s="79" t="str">
        <x:v>Art / QA</x:v>
      </x:c>
      <x:c r="K239" s="79" t="str">
        <x:v>https://github.com/darknigthmare/yautja-la-longue-chasse/pull/42</x:v>
      </x:c>
      <x:c r="L239" s="79" t="n">
        <x:v>0</x:v>
      </x:c>
    </x:row>
    <x:row r="240" ht="35" customHeight="1">
      <x:c r="A240" s="79" t="str">
        <x:v>V136-phg-pirate-02</x:v>
      </x:c>
      <x:c r="B240" s="79" t="str">
        <x:v>phg-pirate</x:v>
      </x:c>
      <x:c r="C240" s="79" t="str">
        <x:v>Pirate · PHG</x:v>
      </x:c>
      <x:c r="D240" s="79" t="str">
        <x:v>Proportions et silhouette</x:v>
      </x:c>
      <x:c r="E240" s="79" t="str">
        <x:v>Remodelage physique</x:v>
      </x:c>
      <x:c r="F240" s="79" t="str">
        <x:v>PARTIEL · silhouette SVG originale, proportions non mesurées</x:v>
      </x:c>
      <x:c r="G240" s="79" t="str">
        <x:v>P1</x:v>
      </x:c>
      <x:c r="H240" s="79" t="str">
        <x:v>Contrôle alignement poignet et pièces</x:v>
      </x:c>
      <x:c r="I240" s="79" t="str">
        <x:v>https://predator.illfonic.com/</x:v>
      </x:c>
      <x:c r="J240" s="79" t="str">
        <x:v>Art / QA</x:v>
      </x:c>
      <x:c r="K240" s="79" t="str">
        <x:v>https://github.com/darknigthmare/yautja-la-longue-chasse/pull/42</x:v>
      </x:c>
      <x:c r="L240" s="79" t="n">
        <x:v>25</x:v>
      </x:c>
    </x:row>
    <x:row r="241" ht="35" customHeight="1">
      <x:c r="A241" s="79" t="str">
        <x:v>V136-phg-pirate-03</x:v>
      </x:c>
      <x:c r="B241" s="79" t="str">
        <x:v>phg-pirate</x:v>
      </x:c>
      <x:c r="C241" s="79" t="str">
        <x:v>Pirate · PHG</x:v>
      </x:c>
      <x:c r="D241" s="79" t="str">
        <x:v>Textures UV et matériaux</x:v>
      </x:c>
      <x:c r="E241" s="79" t="str">
        <x:v>Matériaux et patine</x:v>
      </x:c>
      <x:c r="F241" s="79" t="str">
        <x:v>OUVERT · textures UV/PNG 1:1 et patine à produire</x:v>
      </x:c>
      <x:c r="G241" s="79" t="str">
        <x:v>P1</x:v>
      </x:c>
      <x:c r="H241" s="79" t="str">
        <x:v>PNG indépendants aux bons détails et reflets</x:v>
      </x:c>
      <x:c r="I241" s="79" t="str">
        <x:v>https://predator.illfonic.com/</x:v>
      </x:c>
      <x:c r="J241" s="79" t="str">
        <x:v>Art / QA</x:v>
      </x:c>
      <x:c r="K241" s="79" t="str">
        <x:v>https://github.com/darknigthmare/yautja-la-longue-chasse/pull/42</x:v>
      </x:c>
      <x:c r="L241" s="79" t="n">
        <x:v>0</x:v>
      </x:c>
    </x:row>
    <x:row r="242" ht="35" customHeight="1">
      <x:c r="A242" s="79" t="str">
        <x:v>V136-phg-pirate-04</x:v>
      </x:c>
      <x:c r="B242" s="79" t="str">
        <x:v>phg-pirate</x:v>
      </x:c>
      <x:c r="C242" s="79" t="str">
        <x:v>Pirate · PHG</x:v>
      </x:c>
      <x:c r="D242" s="79" t="str">
        <x:v>Charnière et animations</x:v>
      </x:c>
      <x:c r="E242" s="79" t="str">
        <x:v>Ouverture, gestes, pivot</x:v>
      </x:c>
      <x:c r="F242" s="79" t="str">
        <x:v>PARTIEL · capot CSS ; 3 gestes / rig 1:1 manquants</x:v>
      </x:c>
      <x:c r="G242" s="79" t="str">
        <x:v>P1</x:v>
      </x:c>
      <x:c r="H242" s="79" t="str">
        <x:v>Cohérence rig / armurerie / hologramme</x:v>
      </x:c>
      <x:c r="I242" s="79" t="str">
        <x:v>https://predator.illfonic.com/</x:v>
      </x:c>
      <x:c r="J242" s="79" t="str">
        <x:v>Art / QA</x:v>
      </x:c>
      <x:c r="K242" s="79" t="str">
        <x:v>https://github.com/darknigthmare/yautja-la-longue-chasse/pull/42</x:v>
      </x:c>
      <x:c r="L242" s="79" t="n">
        <x:v>25</x:v>
      </x:c>
    </x:row>
    <x:row r="243" ht="35" customHeight="1">
      <x:c r="A243" s="79" t="str">
        <x:v>V136-phg-pirate-05</x:v>
      </x:c>
      <x:c r="B243" s="79" t="str">
        <x:v>phg-pirate</x:v>
      </x:c>
      <x:c r="C243" s="79" t="str">
        <x:v>Pirate · PHG</x:v>
      </x:c>
      <x:c r="D243" s="79" t="str">
        <x:v>Rendu jeu et contrôle</x:v>
      </x:c>
      <x:c r="E243" s="79" t="str">
        <x:v>Clavier, tactile, mobile, SFX</x:v>
      </x:c>
      <x:c r="F243" s="79" t="str">
        <x:v>PARTIEL · rendu React + QA autonome, jeu complet à tester</x:v>
      </x:c>
      <x:c r="G243" s="79" t="str">
        <x:v>P1</x:v>
      </x:c>
      <x:c r="H243" s="79" t="str">
        <x:v>Comparaison toutes vues et modes</x:v>
      </x:c>
      <x:c r="I243" s="79" t="str">
        <x:v>https://predator.illfonic.com/</x:v>
      </x:c>
      <x:c r="J243" s="79" t="str">
        <x:v>Art / QA</x:v>
      </x:c>
      <x:c r="K243" s="79" t="str">
        <x:v>https://github.com/darknigthmare/yautja-la-longue-chasse/pull/42</x:v>
      </x:c>
      <x:c r="L243" s="79" t="n">
        <x:v>45</x:v>
      </x:c>
    </x:row>
    <x:row r="244" ht="35" customHeight="1">
      <x:c r="A244" s="79" t="str">
        <x:v>V136-phg-pirate-06</x:v>
      </x:c>
      <x:c r="B244" s="79" t="str">
        <x:v>phg-pirate</x:v>
      </x:c>
      <x:c r="C244" s="79" t="str">
        <x:v>Pirate · PHG</x:v>
      </x:c>
      <x:c r="D244" s="79" t="str">
        <x:v>Revue artistique et droits</x:v>
      </x:c>
      <x:c r="E244" s="79" t="str">
        <x:v>Validation finale 1:1</x:v>
      </x:c>
      <x:c r="F244" s="79" t="str">
        <x:v>OUVERT · revue humaine et autorisation IP nécessaires</x:v>
      </x:c>
      <x:c r="G244" s="79" t="str">
        <x:v>P1</x:v>
      </x:c>
      <x:c r="H244" s="79" t="str">
        <x:v>Ne jamais certifier sans approbation manuelle</x:v>
      </x:c>
      <x:c r="I244" s="79" t="str">
        <x:v>https://predator.illfonic.com/</x:v>
      </x:c>
      <x:c r="J244" s="79" t="str">
        <x:v>Art / QA</x:v>
      </x:c>
      <x:c r="K244" s="79" t="str">
        <x:v>https://github.com/darknigthmare/yautja-la-longue-chasse/pull/42</x:v>
      </x:c>
      <x:c r="L244" s="79" t="n">
        <x:v>0</x:v>
      </x:c>
    </x:row>
    <x:row r="245" ht="35" customHeight="1">
      <x:c r="A245" s="79" t="str">
        <x:v>V136-phg-bionic-01</x:v>
      </x:c>
      <x:c r="B245" s="79" t="str">
        <x:v>phg-bionic</x:v>
      </x:c>
      <x:c r="C245" s="79" t="str">
        <x:v>Bionic · PHG</x:v>
      </x:c>
      <x:c r="D245" s="79" t="str">
        <x:v>Plan face/dessus/profil</x:v>
      </x:c>
      <x:c r="E245" s="79" t="str">
        <x:v>Preuve photogramme vérifiée</x:v>
      </x:c>
      <x:c r="F245" s="79" t="str">
        <x:v>OUVERT · plusieurs vues source film/jeu non relevées</x:v>
      </x:c>
      <x:c r="G245" s="79" t="str">
        <x:v>P1</x:v>
      </x:c>
      <x:c r="H245" s="79" t="str">
        <x:v>Photo, prop, capture jeu propre au gauntlet</x:v>
      </x:c>
      <x:c r="I245" s="79" t="str">
        <x:v>https://store.steampowered.com/app/1556200/Predator__Hunting_Grounds/</x:v>
      </x:c>
      <x:c r="J245" s="79" t="str">
        <x:v>Art / QA</x:v>
      </x:c>
      <x:c r="K245" s="79" t="str">
        <x:v>https://github.com/darknigthmare/yautja-la-longue-chasse/pull/42</x:v>
      </x:c>
      <x:c r="L245" s="79" t="n">
        <x:v>0</x:v>
      </x:c>
    </x:row>
    <x:row r="246" ht="35" customHeight="1">
      <x:c r="A246" s="79" t="str">
        <x:v>V136-phg-bionic-02</x:v>
      </x:c>
      <x:c r="B246" s="79" t="str">
        <x:v>phg-bionic</x:v>
      </x:c>
      <x:c r="C246" s="79" t="str">
        <x:v>Bionic · PHG</x:v>
      </x:c>
      <x:c r="D246" s="79" t="str">
        <x:v>Proportions et silhouette</x:v>
      </x:c>
      <x:c r="E246" s="79" t="str">
        <x:v>Remodelage physique</x:v>
      </x:c>
      <x:c r="F246" s="79" t="str">
        <x:v>PARTIEL · silhouette SVG originale, proportions non mesurées</x:v>
      </x:c>
      <x:c r="G246" s="79" t="str">
        <x:v>P1</x:v>
      </x:c>
      <x:c r="H246" s="79" t="str">
        <x:v>Contrôle alignement poignet et pièces</x:v>
      </x:c>
      <x:c r="I246" s="79" t="str">
        <x:v>https://store.steampowered.com/app/1556200/Predator__Hunting_Grounds/</x:v>
      </x:c>
      <x:c r="J246" s="79" t="str">
        <x:v>Art / QA</x:v>
      </x:c>
      <x:c r="K246" s="79" t="str">
        <x:v>https://github.com/darknigthmare/yautja-la-longue-chasse/pull/42</x:v>
      </x:c>
      <x:c r="L246" s="79" t="n">
        <x:v>25</x:v>
      </x:c>
    </x:row>
    <x:row r="247" ht="35" customHeight="1">
      <x:c r="A247" s="79" t="str">
        <x:v>V136-phg-bionic-03</x:v>
      </x:c>
      <x:c r="B247" s="79" t="str">
        <x:v>phg-bionic</x:v>
      </x:c>
      <x:c r="C247" s="79" t="str">
        <x:v>Bionic · PHG</x:v>
      </x:c>
      <x:c r="D247" s="79" t="str">
        <x:v>Textures UV et matériaux</x:v>
      </x:c>
      <x:c r="E247" s="79" t="str">
        <x:v>Matériaux et patine</x:v>
      </x:c>
      <x:c r="F247" s="79" t="str">
        <x:v>OUVERT · textures UV/PNG 1:1 et patine à produire</x:v>
      </x:c>
      <x:c r="G247" s="79" t="str">
        <x:v>P1</x:v>
      </x:c>
      <x:c r="H247" s="79" t="str">
        <x:v>PNG indépendants aux bons détails et reflets</x:v>
      </x:c>
      <x:c r="I247" s="79" t="str">
        <x:v>https://store.steampowered.com/app/1556200/Predator__Hunting_Grounds/</x:v>
      </x:c>
      <x:c r="J247" s="79" t="str">
        <x:v>Art / QA</x:v>
      </x:c>
      <x:c r="K247" s="79" t="str">
        <x:v>https://github.com/darknigthmare/yautja-la-longue-chasse/pull/42</x:v>
      </x:c>
      <x:c r="L247" s="79" t="n">
        <x:v>0</x:v>
      </x:c>
    </x:row>
    <x:row r="248" ht="35" customHeight="1">
      <x:c r="A248" s="79" t="str">
        <x:v>V136-phg-bionic-04</x:v>
      </x:c>
      <x:c r="B248" s="79" t="str">
        <x:v>phg-bionic</x:v>
      </x:c>
      <x:c r="C248" s="79" t="str">
        <x:v>Bionic · PHG</x:v>
      </x:c>
      <x:c r="D248" s="79" t="str">
        <x:v>Charnière et animations</x:v>
      </x:c>
      <x:c r="E248" s="79" t="str">
        <x:v>Ouverture, gestes, pivot</x:v>
      </x:c>
      <x:c r="F248" s="79" t="str">
        <x:v>PARTIEL · capot CSS ; 3 gestes / rig 1:1 manquants</x:v>
      </x:c>
      <x:c r="G248" s="79" t="str">
        <x:v>P1</x:v>
      </x:c>
      <x:c r="H248" s="79" t="str">
        <x:v>Cohérence rig / armurerie / hologramme</x:v>
      </x:c>
      <x:c r="I248" s="79" t="str">
        <x:v>https://store.steampowered.com/app/1556200/Predator__Hunting_Grounds/</x:v>
      </x:c>
      <x:c r="J248" s="79" t="str">
        <x:v>Art / QA</x:v>
      </x:c>
      <x:c r="K248" s="79" t="str">
        <x:v>https://github.com/darknigthmare/yautja-la-longue-chasse/pull/42</x:v>
      </x:c>
      <x:c r="L248" s="79" t="n">
        <x:v>25</x:v>
      </x:c>
    </x:row>
    <x:row r="249" ht="35" customHeight="1">
      <x:c r="A249" s="79" t="str">
        <x:v>V136-phg-bionic-05</x:v>
      </x:c>
      <x:c r="B249" s="79" t="str">
        <x:v>phg-bionic</x:v>
      </x:c>
      <x:c r="C249" s="79" t="str">
        <x:v>Bionic · PHG</x:v>
      </x:c>
      <x:c r="D249" s="79" t="str">
        <x:v>Rendu jeu et contrôle</x:v>
      </x:c>
      <x:c r="E249" s="79" t="str">
        <x:v>Clavier, tactile, mobile, SFX</x:v>
      </x:c>
      <x:c r="F249" s="79" t="str">
        <x:v>PARTIEL · rendu React + QA autonome, jeu complet à tester</x:v>
      </x:c>
      <x:c r="G249" s="79" t="str">
        <x:v>P1</x:v>
      </x:c>
      <x:c r="H249" s="79" t="str">
        <x:v>Comparaison toutes vues et modes</x:v>
      </x:c>
      <x:c r="I249" s="79" t="str">
        <x:v>https://store.steampowered.com/app/1556200/Predator__Hunting_Grounds/</x:v>
      </x:c>
      <x:c r="J249" s="79" t="str">
        <x:v>Art / QA</x:v>
      </x:c>
      <x:c r="K249" s="79" t="str">
        <x:v>https://github.com/darknigthmare/yautja-la-longue-chasse/pull/42</x:v>
      </x:c>
      <x:c r="L249" s="79" t="n">
        <x:v>45</x:v>
      </x:c>
    </x:row>
    <x:row r="250" ht="35" customHeight="1">
      <x:c r="A250" s="79" t="str">
        <x:v>V136-phg-bionic-06</x:v>
      </x:c>
      <x:c r="B250" s="79" t="str">
        <x:v>phg-bionic</x:v>
      </x:c>
      <x:c r="C250" s="79" t="str">
        <x:v>Bionic · PHG</x:v>
      </x:c>
      <x:c r="D250" s="79" t="str">
        <x:v>Revue artistique et droits</x:v>
      </x:c>
      <x:c r="E250" s="79" t="str">
        <x:v>Validation finale 1:1</x:v>
      </x:c>
      <x:c r="F250" s="79" t="str">
        <x:v>OUVERT · revue humaine et autorisation IP nécessaires</x:v>
      </x:c>
      <x:c r="G250" s="79" t="str">
        <x:v>P1</x:v>
      </x:c>
      <x:c r="H250" s="79" t="str">
        <x:v>Ne jamais certifier sans approbation manuelle</x:v>
      </x:c>
      <x:c r="I250" s="79" t="str">
        <x:v>https://store.steampowered.com/app/1556200/Predator__Hunting_Grounds/</x:v>
      </x:c>
      <x:c r="J250" s="79" t="str">
        <x:v>Art / QA</x:v>
      </x:c>
      <x:c r="K250" s="79" t="str">
        <x:v>https://github.com/darknigthmare/yautja-la-longue-chasse/pull/42</x:v>
      </x:c>
      <x:c r="L250" s="79" t="n">
        <x:v>0</x:v>
      </x:c>
    </x:row>
    <x:row r="251" ht="35" customHeight="1">
      <x:c r="A251" s="79" t="str">
        <x:v>V136-phg-emissary-01</x:v>
      </x:c>
      <x:c r="B251" s="79" t="str">
        <x:v>phg-emissary</x:v>
      </x:c>
      <x:c r="C251" s="79" t="str">
        <x:v>Emissary · PHG</x:v>
      </x:c>
      <x:c r="D251" s="79" t="str">
        <x:v>Plan face/dessus/profil</x:v>
      </x:c>
      <x:c r="E251" s="79" t="str">
        <x:v>Preuve photogramme vérifiée</x:v>
      </x:c>
      <x:c r="F251" s="79" t="str">
        <x:v>OUVERT · plusieurs vues source film/jeu non relevées</x:v>
      </x:c>
      <x:c r="G251" s="79" t="str">
        <x:v>P1</x:v>
      </x:c>
      <x:c r="H251" s="79" t="str">
        <x:v>Photo, prop, capture jeu propre au gauntlet</x:v>
      </x:c>
      <x:c r="I251" s="79" t="str">
        <x:v>https://store.steampowered.com/app/1556200/Predator__Hunting_Grounds/</x:v>
      </x:c>
      <x:c r="J251" s="79" t="str">
        <x:v>Art / QA</x:v>
      </x:c>
      <x:c r="K251" s="79" t="str">
        <x:v>https://github.com/darknigthmare/yautja-la-longue-chasse/pull/42</x:v>
      </x:c>
      <x:c r="L251" s="79" t="n">
        <x:v>0</x:v>
      </x:c>
    </x:row>
    <x:row r="252" ht="35" customHeight="1">
      <x:c r="A252" s="79" t="str">
        <x:v>V136-phg-emissary-02</x:v>
      </x:c>
      <x:c r="B252" s="79" t="str">
        <x:v>phg-emissary</x:v>
      </x:c>
      <x:c r="C252" s="79" t="str">
        <x:v>Emissary · PHG</x:v>
      </x:c>
      <x:c r="D252" s="79" t="str">
        <x:v>Proportions et silhouette</x:v>
      </x:c>
      <x:c r="E252" s="79" t="str">
        <x:v>Remodelage physique</x:v>
      </x:c>
      <x:c r="F252" s="79" t="str">
        <x:v>PARTIEL · silhouette SVG originale, proportions non mesurées</x:v>
      </x:c>
      <x:c r="G252" s="79" t="str">
        <x:v>P1</x:v>
      </x:c>
      <x:c r="H252" s="79" t="str">
        <x:v>Contrôle alignement poignet et pièces</x:v>
      </x:c>
      <x:c r="I252" s="79" t="str">
        <x:v>https://store.steampowered.com/app/1556200/Predator__Hunting_Grounds/</x:v>
      </x:c>
      <x:c r="J252" s="79" t="str">
        <x:v>Art / QA</x:v>
      </x:c>
      <x:c r="K252" s="79" t="str">
        <x:v>https://github.com/darknigthmare/yautja-la-longue-chasse/pull/42</x:v>
      </x:c>
      <x:c r="L252" s="79" t="n">
        <x:v>25</x:v>
      </x:c>
    </x:row>
    <x:row r="253" ht="35" customHeight="1">
      <x:c r="A253" s="79" t="str">
        <x:v>V136-phg-emissary-03</x:v>
      </x:c>
      <x:c r="B253" s="79" t="str">
        <x:v>phg-emissary</x:v>
      </x:c>
      <x:c r="C253" s="79" t="str">
        <x:v>Emissary · PHG</x:v>
      </x:c>
      <x:c r="D253" s="79" t="str">
        <x:v>Textures UV et matériaux</x:v>
      </x:c>
      <x:c r="E253" s="79" t="str">
        <x:v>Matériaux et patine</x:v>
      </x:c>
      <x:c r="F253" s="79" t="str">
        <x:v>OUVERT · textures UV/PNG 1:1 et patine à produire</x:v>
      </x:c>
      <x:c r="G253" s="79" t="str">
        <x:v>P1</x:v>
      </x:c>
      <x:c r="H253" s="79" t="str">
        <x:v>PNG indépendants aux bons détails et reflets</x:v>
      </x:c>
      <x:c r="I253" s="79" t="str">
        <x:v>https://store.steampowered.com/app/1556200/Predator__Hunting_Grounds/</x:v>
      </x:c>
      <x:c r="J253" s="79" t="str">
        <x:v>Art / QA</x:v>
      </x:c>
      <x:c r="K253" s="79" t="str">
        <x:v>https://github.com/darknigthmare/yautja-la-longue-chasse/pull/42</x:v>
      </x:c>
      <x:c r="L253" s="79" t="n">
        <x:v>0</x:v>
      </x:c>
    </x:row>
    <x:row r="254" ht="35" customHeight="1">
      <x:c r="A254" s="79" t="str">
        <x:v>V136-phg-emissary-04</x:v>
      </x:c>
      <x:c r="B254" s="79" t="str">
        <x:v>phg-emissary</x:v>
      </x:c>
      <x:c r="C254" s="79" t="str">
        <x:v>Emissary · PHG</x:v>
      </x:c>
      <x:c r="D254" s="79" t="str">
        <x:v>Charnière et animations</x:v>
      </x:c>
      <x:c r="E254" s="79" t="str">
        <x:v>Ouverture, gestes, pivot</x:v>
      </x:c>
      <x:c r="F254" s="79" t="str">
        <x:v>PARTIEL · capot CSS ; 3 gestes / rig 1:1 manquants</x:v>
      </x:c>
      <x:c r="G254" s="79" t="str">
        <x:v>P1</x:v>
      </x:c>
      <x:c r="H254" s="79" t="str">
        <x:v>Cohérence rig / armurerie / hologramme</x:v>
      </x:c>
      <x:c r="I254" s="79" t="str">
        <x:v>https://store.steampowered.com/app/1556200/Predator__Hunting_Grounds/</x:v>
      </x:c>
      <x:c r="J254" s="79" t="str">
        <x:v>Art / QA</x:v>
      </x:c>
      <x:c r="K254" s="79" t="str">
        <x:v>https://github.com/darknigthmare/yautja-la-longue-chasse/pull/42</x:v>
      </x:c>
      <x:c r="L254" s="79" t="n">
        <x:v>25</x:v>
      </x:c>
    </x:row>
    <x:row r="255" ht="35" customHeight="1">
      <x:c r="A255" s="79" t="str">
        <x:v>V136-phg-emissary-05</x:v>
      </x:c>
      <x:c r="B255" s="79" t="str">
        <x:v>phg-emissary</x:v>
      </x:c>
      <x:c r="C255" s="79" t="str">
        <x:v>Emissary · PHG</x:v>
      </x:c>
      <x:c r="D255" s="79" t="str">
        <x:v>Rendu jeu et contrôle</x:v>
      </x:c>
      <x:c r="E255" s="79" t="str">
        <x:v>Clavier, tactile, mobile, SFX</x:v>
      </x:c>
      <x:c r="F255" s="79" t="str">
        <x:v>PARTIEL · rendu React + QA autonome, jeu complet à tester</x:v>
      </x:c>
      <x:c r="G255" s="79" t="str">
        <x:v>P1</x:v>
      </x:c>
      <x:c r="H255" s="79" t="str">
        <x:v>Comparaison toutes vues et modes</x:v>
      </x:c>
      <x:c r="I255" s="79" t="str">
        <x:v>https://store.steampowered.com/app/1556200/Predator__Hunting_Grounds/</x:v>
      </x:c>
      <x:c r="J255" s="79" t="str">
        <x:v>Art / QA</x:v>
      </x:c>
      <x:c r="K255" s="79" t="str">
        <x:v>https://github.com/darknigthmare/yautja-la-longue-chasse/pull/42</x:v>
      </x:c>
      <x:c r="L255" s="79" t="n">
        <x:v>45</x:v>
      </x:c>
    </x:row>
    <x:row r="256" ht="35" customHeight="1">
      <x:c r="A256" s="79" t="str">
        <x:v>V136-phg-emissary-06</x:v>
      </x:c>
      <x:c r="B256" s="79" t="str">
        <x:v>phg-emissary</x:v>
      </x:c>
      <x:c r="C256" s="79" t="str">
        <x:v>Emissary · PHG</x:v>
      </x:c>
      <x:c r="D256" s="79" t="str">
        <x:v>Revue artistique et droits</x:v>
      </x:c>
      <x:c r="E256" s="79" t="str">
        <x:v>Validation finale 1:1</x:v>
      </x:c>
      <x:c r="F256" s="79" t="str">
        <x:v>OUVERT · revue humaine et autorisation IP nécessaires</x:v>
      </x:c>
      <x:c r="G256" s="79" t="str">
        <x:v>P1</x:v>
      </x:c>
      <x:c r="H256" s="79" t="str">
        <x:v>Ne jamais certifier sans approbation manuelle</x:v>
      </x:c>
      <x:c r="I256" s="79" t="str">
        <x:v>https://store.steampowered.com/app/1556200/Predator__Hunting_Grounds/</x:v>
      </x:c>
      <x:c r="J256" s="79" t="str">
        <x:v>Art / QA</x:v>
      </x:c>
      <x:c r="K256" s="79" t="str">
        <x:v>https://github.com/darknigthmare/yautja-la-longue-chasse/pull/42</x:v>
      </x:c>
      <x:c r="L256" s="79" t="n">
        <x:v>0</x:v>
      </x:c>
    </x:row>
    <x:row r="257" ht="35" customHeight="1">
      <x:c r="A257" s="79" t="str">
        <x:v>V136-phg-oni-01</x:v>
      </x:c>
      <x:c r="B257" s="79" t="str">
        <x:v>phg-oni</x:v>
      </x:c>
      <x:c r="C257" s="79" t="str">
        <x:v>Oni · PHG</x:v>
      </x:c>
      <x:c r="D257" s="79" t="str">
        <x:v>Plan face/dessus/profil</x:v>
      </x:c>
      <x:c r="E257" s="79" t="str">
        <x:v>Preuve photogramme vérifiée</x:v>
      </x:c>
      <x:c r="F257" s="79" t="str">
        <x:v>OUVERT · plusieurs vues source film/jeu non relevées</x:v>
      </x:c>
      <x:c r="G257" s="79" t="str">
        <x:v>P1</x:v>
      </x:c>
      <x:c r="H257" s="79" t="str">
        <x:v>Photo, prop, capture jeu propre au gauntlet</x:v>
      </x:c>
      <x:c r="I257" s="79" t="str">
        <x:v>https://store.steampowered.com/app/1556200/Predator__Hunting_Grounds/</x:v>
      </x:c>
      <x:c r="J257" s="79" t="str">
        <x:v>Art / QA</x:v>
      </x:c>
      <x:c r="K257" s="79" t="str">
        <x:v>https://github.com/darknigthmare/yautja-la-longue-chasse/pull/42</x:v>
      </x:c>
      <x:c r="L257" s="79" t="n">
        <x:v>0</x:v>
      </x:c>
    </x:row>
    <x:row r="258" ht="35" customHeight="1">
      <x:c r="A258" s="79" t="str">
        <x:v>V136-phg-oni-02</x:v>
      </x:c>
      <x:c r="B258" s="79" t="str">
        <x:v>phg-oni</x:v>
      </x:c>
      <x:c r="C258" s="79" t="str">
        <x:v>Oni · PHG</x:v>
      </x:c>
      <x:c r="D258" s="79" t="str">
        <x:v>Proportions et silhouette</x:v>
      </x:c>
      <x:c r="E258" s="79" t="str">
        <x:v>Remodelage physique</x:v>
      </x:c>
      <x:c r="F258" s="79" t="str">
        <x:v>PARTIEL · silhouette SVG originale, proportions non mesurées</x:v>
      </x:c>
      <x:c r="G258" s="79" t="str">
        <x:v>P1</x:v>
      </x:c>
      <x:c r="H258" s="79" t="str">
        <x:v>Contrôle alignement poignet et pièces</x:v>
      </x:c>
      <x:c r="I258" s="79" t="str">
        <x:v>https://store.steampowered.com/app/1556200/Predator__Hunting_Grounds/</x:v>
      </x:c>
      <x:c r="J258" s="79" t="str">
        <x:v>Art / QA</x:v>
      </x:c>
      <x:c r="K258" s="79" t="str">
        <x:v>https://github.com/darknigthmare/yautja-la-longue-chasse/pull/42</x:v>
      </x:c>
      <x:c r="L258" s="79" t="n">
        <x:v>25</x:v>
      </x:c>
    </x:row>
    <x:row r="259" ht="35" customHeight="1">
      <x:c r="A259" s="79" t="str">
        <x:v>V136-phg-oni-03</x:v>
      </x:c>
      <x:c r="B259" s="79" t="str">
        <x:v>phg-oni</x:v>
      </x:c>
      <x:c r="C259" s="79" t="str">
        <x:v>Oni · PHG</x:v>
      </x:c>
      <x:c r="D259" s="79" t="str">
        <x:v>Textures UV et matériaux</x:v>
      </x:c>
      <x:c r="E259" s="79" t="str">
        <x:v>Matériaux et patine</x:v>
      </x:c>
      <x:c r="F259" s="79" t="str">
        <x:v>OUVERT · textures UV/PNG 1:1 et patine à produire</x:v>
      </x:c>
      <x:c r="G259" s="79" t="str">
        <x:v>P1</x:v>
      </x:c>
      <x:c r="H259" s="79" t="str">
        <x:v>PNG indépendants aux bons détails et reflets</x:v>
      </x:c>
      <x:c r="I259" s="79" t="str">
        <x:v>https://store.steampowered.com/app/1556200/Predator__Hunting_Grounds/</x:v>
      </x:c>
      <x:c r="J259" s="79" t="str">
        <x:v>Art / QA</x:v>
      </x:c>
      <x:c r="K259" s="79" t="str">
        <x:v>https://github.com/darknigthmare/yautja-la-longue-chasse/pull/42</x:v>
      </x:c>
      <x:c r="L259" s="79" t="n">
        <x:v>0</x:v>
      </x:c>
    </x:row>
    <x:row r="260" ht="35" customHeight="1">
      <x:c r="A260" s="79" t="str">
        <x:v>V136-phg-oni-04</x:v>
      </x:c>
      <x:c r="B260" s="79" t="str">
        <x:v>phg-oni</x:v>
      </x:c>
      <x:c r="C260" s="79" t="str">
        <x:v>Oni · PHG</x:v>
      </x:c>
      <x:c r="D260" s="79" t="str">
        <x:v>Charnière et animations</x:v>
      </x:c>
      <x:c r="E260" s="79" t="str">
        <x:v>Ouverture, gestes, pivot</x:v>
      </x:c>
      <x:c r="F260" s="79" t="str">
        <x:v>PARTIEL · capot CSS ; 3 gestes / rig 1:1 manquants</x:v>
      </x:c>
      <x:c r="G260" s="79" t="str">
        <x:v>P1</x:v>
      </x:c>
      <x:c r="H260" s="79" t="str">
        <x:v>Cohérence rig / armurerie / hologramme</x:v>
      </x:c>
      <x:c r="I260" s="79" t="str">
        <x:v>https://store.steampowered.com/app/1556200/Predator__Hunting_Grounds/</x:v>
      </x:c>
      <x:c r="J260" s="79" t="str">
        <x:v>Art / QA</x:v>
      </x:c>
      <x:c r="K260" s="79" t="str">
        <x:v>https://github.com/darknigthmare/yautja-la-longue-chasse/pull/42</x:v>
      </x:c>
      <x:c r="L260" s="79" t="n">
        <x:v>25</x:v>
      </x:c>
    </x:row>
    <x:row r="261" ht="35" customHeight="1">
      <x:c r="A261" s="79" t="str">
        <x:v>V136-phg-oni-05</x:v>
      </x:c>
      <x:c r="B261" s="79" t="str">
        <x:v>phg-oni</x:v>
      </x:c>
      <x:c r="C261" s="79" t="str">
        <x:v>Oni · PHG</x:v>
      </x:c>
      <x:c r="D261" s="79" t="str">
        <x:v>Rendu jeu et contrôle</x:v>
      </x:c>
      <x:c r="E261" s="79" t="str">
        <x:v>Clavier, tactile, mobile, SFX</x:v>
      </x:c>
      <x:c r="F261" s="79" t="str">
        <x:v>PARTIEL · rendu React + QA autonome, jeu complet à tester</x:v>
      </x:c>
      <x:c r="G261" s="79" t="str">
        <x:v>P1</x:v>
      </x:c>
      <x:c r="H261" s="79" t="str">
        <x:v>Comparaison toutes vues et modes</x:v>
      </x:c>
      <x:c r="I261" s="79" t="str">
        <x:v>https://store.steampowered.com/app/1556200/Predator__Hunting_Grounds/</x:v>
      </x:c>
      <x:c r="J261" s="79" t="str">
        <x:v>Art / QA</x:v>
      </x:c>
      <x:c r="K261" s="79" t="str">
        <x:v>https://github.com/darknigthmare/yautja-la-longue-chasse/pull/42</x:v>
      </x:c>
      <x:c r="L261" s="79" t="n">
        <x:v>45</x:v>
      </x:c>
    </x:row>
    <x:row r="262" ht="35" customHeight="1">
      <x:c r="A262" s="79" t="str">
        <x:v>V136-phg-oni-06</x:v>
      </x:c>
      <x:c r="B262" s="79" t="str">
        <x:v>phg-oni</x:v>
      </x:c>
      <x:c r="C262" s="79" t="str">
        <x:v>Oni · PHG</x:v>
      </x:c>
      <x:c r="D262" s="79" t="str">
        <x:v>Revue artistique et droits</x:v>
      </x:c>
      <x:c r="E262" s="79" t="str">
        <x:v>Validation finale 1:1</x:v>
      </x:c>
      <x:c r="F262" s="79" t="str">
        <x:v>OUVERT · revue humaine et autorisation IP nécessaires</x:v>
      </x:c>
      <x:c r="G262" s="79" t="str">
        <x:v>P1</x:v>
      </x:c>
      <x:c r="H262" s="79" t="str">
        <x:v>Ne jamais certifier sans approbation manuelle</x:v>
      </x:c>
      <x:c r="I262" s="79" t="str">
        <x:v>https://store.steampowered.com/app/1556200/Predator__Hunting_Grounds/</x:v>
      </x:c>
      <x:c r="J262" s="79" t="str">
        <x:v>Art / QA</x:v>
      </x:c>
      <x:c r="K262" s="79" t="str">
        <x:v>https://github.com/darknigthmare/yautja-la-longue-chasse/pull/42</x:v>
      </x:c>
      <x:c r="L262" s="79" t="n">
        <x:v>0</x:v>
      </x:c>
    </x:row>
    <x:row r="263" ht="35" customHeight="1">
      <x:c r="A263" s="79" t="str">
        <x:v>V136-phg-witch-01</x:v>
      </x:c>
      <x:c r="B263" s="79" t="str">
        <x:v>phg-witch</x:v>
      </x:c>
      <x:c r="C263" s="79" t="str">
        <x:v>Witch · PHG</x:v>
      </x:c>
      <x:c r="D263" s="79" t="str">
        <x:v>Plan face/dessus/profil</x:v>
      </x:c>
      <x:c r="E263" s="79" t="str">
        <x:v>Preuve photogramme vérifiée</x:v>
      </x:c>
      <x:c r="F263" s="79" t="str">
        <x:v>OUVERT · plusieurs vues source film/jeu non relevées</x:v>
      </x:c>
      <x:c r="G263" s="79" t="str">
        <x:v>P1</x:v>
      </x:c>
      <x:c r="H263" s="79" t="str">
        <x:v>Photo, prop, capture jeu propre au gauntlet</x:v>
      </x:c>
      <x:c r="I263" s="79" t="str">
        <x:v>https://store.steampowered.com/app/1556200/Predator__Hunting_Grounds/</x:v>
      </x:c>
      <x:c r="J263" s="79" t="str">
        <x:v>Art / QA</x:v>
      </x:c>
      <x:c r="K263" s="79" t="str">
        <x:v>https://github.com/darknigthmare/yautja-la-longue-chasse/pull/42</x:v>
      </x:c>
      <x:c r="L263" s="79" t="n">
        <x:v>0</x:v>
      </x:c>
    </x:row>
    <x:row r="264" ht="35" customHeight="1">
      <x:c r="A264" s="79" t="str">
        <x:v>V136-phg-witch-02</x:v>
      </x:c>
      <x:c r="B264" s="79" t="str">
        <x:v>phg-witch</x:v>
      </x:c>
      <x:c r="C264" s="79" t="str">
        <x:v>Witch · PHG</x:v>
      </x:c>
      <x:c r="D264" s="79" t="str">
        <x:v>Proportions et silhouette</x:v>
      </x:c>
      <x:c r="E264" s="79" t="str">
        <x:v>Remodelage physique</x:v>
      </x:c>
      <x:c r="F264" s="79" t="str">
        <x:v>PARTIEL · silhouette SVG originale, proportions non mesurées</x:v>
      </x:c>
      <x:c r="G264" s="79" t="str">
        <x:v>P1</x:v>
      </x:c>
      <x:c r="H264" s="79" t="str">
        <x:v>Contrôle alignement poignet et pièces</x:v>
      </x:c>
      <x:c r="I264" s="79" t="str">
        <x:v>https://store.steampowered.com/app/1556200/Predator__Hunting_Grounds/</x:v>
      </x:c>
      <x:c r="J264" s="79" t="str">
        <x:v>Art / QA</x:v>
      </x:c>
      <x:c r="K264" s="79" t="str">
        <x:v>https://github.com/darknigthmare/yautja-la-longue-chasse/pull/42</x:v>
      </x:c>
      <x:c r="L264" s="79" t="n">
        <x:v>25</x:v>
      </x:c>
    </x:row>
    <x:row r="265" ht="35" customHeight="1">
      <x:c r="A265" s="79" t="str">
        <x:v>V136-phg-witch-03</x:v>
      </x:c>
      <x:c r="B265" s="79" t="str">
        <x:v>phg-witch</x:v>
      </x:c>
      <x:c r="C265" s="79" t="str">
        <x:v>Witch · PHG</x:v>
      </x:c>
      <x:c r="D265" s="79" t="str">
        <x:v>Textures UV et matériaux</x:v>
      </x:c>
      <x:c r="E265" s="79" t="str">
        <x:v>Matériaux et patine</x:v>
      </x:c>
      <x:c r="F265" s="79" t="str">
        <x:v>OUVERT · textures UV/PNG 1:1 et patine à produire</x:v>
      </x:c>
      <x:c r="G265" s="79" t="str">
        <x:v>P1</x:v>
      </x:c>
      <x:c r="H265" s="79" t="str">
        <x:v>PNG indépendants aux bons détails et reflets</x:v>
      </x:c>
      <x:c r="I265" s="79" t="str">
        <x:v>https://store.steampowered.com/app/1556200/Predator__Hunting_Grounds/</x:v>
      </x:c>
      <x:c r="J265" s="79" t="str">
        <x:v>Art / QA</x:v>
      </x:c>
      <x:c r="K265" s="79" t="str">
        <x:v>https://github.com/darknigthmare/yautja-la-longue-chasse/pull/42</x:v>
      </x:c>
      <x:c r="L265" s="79" t="n">
        <x:v>0</x:v>
      </x:c>
    </x:row>
    <x:row r="266" ht="35" customHeight="1">
      <x:c r="A266" s="79" t="str">
        <x:v>V136-phg-witch-04</x:v>
      </x:c>
      <x:c r="B266" s="79" t="str">
        <x:v>phg-witch</x:v>
      </x:c>
      <x:c r="C266" s="79" t="str">
        <x:v>Witch · PHG</x:v>
      </x:c>
      <x:c r="D266" s="79" t="str">
        <x:v>Charnière et animations</x:v>
      </x:c>
      <x:c r="E266" s="79" t="str">
        <x:v>Ouverture, gestes, pivot</x:v>
      </x:c>
      <x:c r="F266" s="79" t="str">
        <x:v>PARTIEL · capot CSS ; 3 gestes / rig 1:1 manquants</x:v>
      </x:c>
      <x:c r="G266" s="79" t="str">
        <x:v>P1</x:v>
      </x:c>
      <x:c r="H266" s="79" t="str">
        <x:v>Cohérence rig / armurerie / hologramme</x:v>
      </x:c>
      <x:c r="I266" s="79" t="str">
        <x:v>https://store.steampowered.com/app/1556200/Predator__Hunting_Grounds/</x:v>
      </x:c>
      <x:c r="J266" s="79" t="str">
        <x:v>Art / QA</x:v>
      </x:c>
      <x:c r="K266" s="79" t="str">
        <x:v>https://github.com/darknigthmare/yautja-la-longue-chasse/pull/42</x:v>
      </x:c>
      <x:c r="L266" s="79" t="n">
        <x:v>25</x:v>
      </x:c>
    </x:row>
    <x:row r="267" ht="35" customHeight="1">
      <x:c r="A267" s="79" t="str">
        <x:v>V136-phg-witch-05</x:v>
      </x:c>
      <x:c r="B267" s="79" t="str">
        <x:v>phg-witch</x:v>
      </x:c>
      <x:c r="C267" s="79" t="str">
        <x:v>Witch · PHG</x:v>
      </x:c>
      <x:c r="D267" s="79" t="str">
        <x:v>Rendu jeu et contrôle</x:v>
      </x:c>
      <x:c r="E267" s="79" t="str">
        <x:v>Clavier, tactile, mobile, SFX</x:v>
      </x:c>
      <x:c r="F267" s="79" t="str">
        <x:v>PARTIEL · rendu React + QA autonome, jeu complet à tester</x:v>
      </x:c>
      <x:c r="G267" s="79" t="str">
        <x:v>P1</x:v>
      </x:c>
      <x:c r="H267" s="79" t="str">
        <x:v>Comparaison toutes vues et modes</x:v>
      </x:c>
      <x:c r="I267" s="79" t="str">
        <x:v>https://store.steampowered.com/app/1556200/Predator__Hunting_Grounds/</x:v>
      </x:c>
      <x:c r="J267" s="79" t="str">
        <x:v>Art / QA</x:v>
      </x:c>
      <x:c r="K267" s="79" t="str">
        <x:v>https://github.com/darknigthmare/yautja-la-longue-chasse/pull/42</x:v>
      </x:c>
      <x:c r="L267" s="79" t="n">
        <x:v>45</x:v>
      </x:c>
    </x:row>
    <x:row r="268" ht="35" customHeight="1">
      <x:c r="A268" s="79" t="str">
        <x:v>V136-phg-witch-06</x:v>
      </x:c>
      <x:c r="B268" s="79" t="str">
        <x:v>phg-witch</x:v>
      </x:c>
      <x:c r="C268" s="79" t="str">
        <x:v>Witch · PHG</x:v>
      </x:c>
      <x:c r="D268" s="79" t="str">
        <x:v>Revue artistique et droits</x:v>
      </x:c>
      <x:c r="E268" s="79" t="str">
        <x:v>Validation finale 1:1</x:v>
      </x:c>
      <x:c r="F268" s="79" t="str">
        <x:v>OUVERT · revue humaine et autorisation IP nécessaires</x:v>
      </x:c>
      <x:c r="G268" s="79" t="str">
        <x:v>P1</x:v>
      </x:c>
      <x:c r="H268" s="79" t="str">
        <x:v>Ne jamais certifier sans approbation manuelle</x:v>
      </x:c>
      <x:c r="I268" s="79" t="str">
        <x:v>https://store.steampowered.com/app/1556200/Predator__Hunting_Grounds/</x:v>
      </x:c>
      <x:c r="J268" s="79" t="str">
        <x:v>Art / QA</x:v>
      </x:c>
      <x:c r="K268" s="79" t="str">
        <x:v>https://github.com/darknigthmare/yautja-la-longue-chasse/pull/42</x:v>
      </x:c>
      <x:c r="L268" s="79" t="n">
        <x:v>0</x:v>
      </x:c>
    </x:row>
    <x:row r="269" ht="35" customHeight="1">
      <x:c r="A269" s="79" t="str">
        <x:v>V136-phg-father-01</x:v>
      </x:c>
      <x:c r="B269" s="79" t="str">
        <x:v>phg-father</x:v>
      </x:c>
      <x:c r="C269" s="79" t="str">
        <x:v>Father · PHG</x:v>
      </x:c>
      <x:c r="D269" s="79" t="str">
        <x:v>Plan face/dessus/profil</x:v>
      </x:c>
      <x:c r="E269" s="79" t="str">
        <x:v>Preuve photogramme vérifiée</x:v>
      </x:c>
      <x:c r="F269" s="79" t="str">
        <x:v>OUVERT · plusieurs vues source film/jeu non relevées</x:v>
      </x:c>
      <x:c r="G269" s="79" t="str">
        <x:v>P1</x:v>
      </x:c>
      <x:c r="H269" s="79" t="str">
        <x:v>Photo, prop, capture jeu propre au gauntlet</x:v>
      </x:c>
      <x:c r="I269" s="79" t="str">
        <x:v>https://store.steampowered.com/app/1556200/Predator__Hunting_Grounds/</x:v>
      </x:c>
      <x:c r="J269" s="79" t="str">
        <x:v>Art / QA</x:v>
      </x:c>
      <x:c r="K269" s="79" t="str">
        <x:v>https://github.com/darknigthmare/yautja-la-longue-chasse/pull/42</x:v>
      </x:c>
      <x:c r="L269" s="79" t="n">
        <x:v>0</x:v>
      </x:c>
    </x:row>
    <x:row r="270" ht="35" customHeight="1">
      <x:c r="A270" s="79" t="str">
        <x:v>V136-phg-father-02</x:v>
      </x:c>
      <x:c r="B270" s="79" t="str">
        <x:v>phg-father</x:v>
      </x:c>
      <x:c r="C270" s="79" t="str">
        <x:v>Father · PHG</x:v>
      </x:c>
      <x:c r="D270" s="79" t="str">
        <x:v>Proportions et silhouette</x:v>
      </x:c>
      <x:c r="E270" s="79" t="str">
        <x:v>Remodelage physique</x:v>
      </x:c>
      <x:c r="F270" s="79" t="str">
        <x:v>PARTIEL · silhouette SVG originale, proportions non mesurées</x:v>
      </x:c>
      <x:c r="G270" s="79" t="str">
        <x:v>P1</x:v>
      </x:c>
      <x:c r="H270" s="79" t="str">
        <x:v>Contrôle alignement poignet et pièces</x:v>
      </x:c>
      <x:c r="I270" s="79" t="str">
        <x:v>https://store.steampowered.com/app/1556200/Predator__Hunting_Grounds/</x:v>
      </x:c>
      <x:c r="J270" s="79" t="str">
        <x:v>Art / QA</x:v>
      </x:c>
      <x:c r="K270" s="79" t="str">
        <x:v>https://github.com/darknigthmare/yautja-la-longue-chasse/pull/42</x:v>
      </x:c>
      <x:c r="L270" s="79" t="n">
        <x:v>25</x:v>
      </x:c>
    </x:row>
    <x:row r="271" ht="35" customHeight="1">
      <x:c r="A271" s="79" t="str">
        <x:v>V136-phg-father-03</x:v>
      </x:c>
      <x:c r="B271" s="79" t="str">
        <x:v>phg-father</x:v>
      </x:c>
      <x:c r="C271" s="79" t="str">
        <x:v>Father · PHG</x:v>
      </x:c>
      <x:c r="D271" s="79" t="str">
        <x:v>Textures UV et matériaux</x:v>
      </x:c>
      <x:c r="E271" s="79" t="str">
        <x:v>Matériaux et patine</x:v>
      </x:c>
      <x:c r="F271" s="79" t="str">
        <x:v>OUVERT · textures UV/PNG 1:1 et patine à produire</x:v>
      </x:c>
      <x:c r="G271" s="79" t="str">
        <x:v>P1</x:v>
      </x:c>
      <x:c r="H271" s="79" t="str">
        <x:v>PNG indépendants aux bons détails et reflets</x:v>
      </x:c>
      <x:c r="I271" s="79" t="str">
        <x:v>https://store.steampowered.com/app/1556200/Predator__Hunting_Grounds/</x:v>
      </x:c>
      <x:c r="J271" s="79" t="str">
        <x:v>Art / QA</x:v>
      </x:c>
      <x:c r="K271" s="79" t="str">
        <x:v>https://github.com/darknigthmare/yautja-la-longue-chasse/pull/42</x:v>
      </x:c>
      <x:c r="L271" s="79" t="n">
        <x:v>0</x:v>
      </x:c>
    </x:row>
    <x:row r="272" ht="35" customHeight="1">
      <x:c r="A272" s="79" t="str">
        <x:v>V136-phg-father-04</x:v>
      </x:c>
      <x:c r="B272" s="79" t="str">
        <x:v>phg-father</x:v>
      </x:c>
      <x:c r="C272" s="79" t="str">
        <x:v>Father · PHG</x:v>
      </x:c>
      <x:c r="D272" s="79" t="str">
        <x:v>Charnière et animations</x:v>
      </x:c>
      <x:c r="E272" s="79" t="str">
        <x:v>Ouverture, gestes, pivot</x:v>
      </x:c>
      <x:c r="F272" s="79" t="str">
        <x:v>PARTIEL · capot CSS ; 3 gestes / rig 1:1 manquants</x:v>
      </x:c>
      <x:c r="G272" s="79" t="str">
        <x:v>P1</x:v>
      </x:c>
      <x:c r="H272" s="79" t="str">
        <x:v>Cohérence rig / armurerie / hologramme</x:v>
      </x:c>
      <x:c r="I272" s="79" t="str">
        <x:v>https://store.steampowered.com/app/1556200/Predator__Hunting_Grounds/</x:v>
      </x:c>
      <x:c r="J272" s="79" t="str">
        <x:v>Art / QA</x:v>
      </x:c>
      <x:c r="K272" s="79" t="str">
        <x:v>https://github.com/darknigthmare/yautja-la-longue-chasse/pull/42</x:v>
      </x:c>
      <x:c r="L272" s="79" t="n">
        <x:v>25</x:v>
      </x:c>
    </x:row>
    <x:row r="273" ht="35" customHeight="1">
      <x:c r="A273" s="79" t="str">
        <x:v>V136-phg-father-05</x:v>
      </x:c>
      <x:c r="B273" s="79" t="str">
        <x:v>phg-father</x:v>
      </x:c>
      <x:c r="C273" s="79" t="str">
        <x:v>Father · PHG</x:v>
      </x:c>
      <x:c r="D273" s="79" t="str">
        <x:v>Rendu jeu et contrôle</x:v>
      </x:c>
      <x:c r="E273" s="79" t="str">
        <x:v>Clavier, tactile, mobile, SFX</x:v>
      </x:c>
      <x:c r="F273" s="79" t="str">
        <x:v>PARTIEL · rendu React + QA autonome, jeu complet à tester</x:v>
      </x:c>
      <x:c r="G273" s="79" t="str">
        <x:v>P1</x:v>
      </x:c>
      <x:c r="H273" s="79" t="str">
        <x:v>Comparaison toutes vues et modes</x:v>
      </x:c>
      <x:c r="I273" s="79" t="str">
        <x:v>https://store.steampowered.com/app/1556200/Predator__Hunting_Grounds/</x:v>
      </x:c>
      <x:c r="J273" s="79" t="str">
        <x:v>Art / QA</x:v>
      </x:c>
      <x:c r="K273" s="79" t="str">
        <x:v>https://github.com/darknigthmare/yautja-la-longue-chasse/pull/42</x:v>
      </x:c>
      <x:c r="L273" s="79" t="n">
        <x:v>45</x:v>
      </x:c>
    </x:row>
    <x:row r="274" ht="35" customHeight="1">
      <x:c r="A274" s="79" t="str">
        <x:v>V136-phg-father-06</x:v>
      </x:c>
      <x:c r="B274" s="79" t="str">
        <x:v>phg-father</x:v>
      </x:c>
      <x:c r="C274" s="79" t="str">
        <x:v>Father · PHG</x:v>
      </x:c>
      <x:c r="D274" s="79" t="str">
        <x:v>Revue artistique et droits</x:v>
      </x:c>
      <x:c r="E274" s="79" t="str">
        <x:v>Validation finale 1:1</x:v>
      </x:c>
      <x:c r="F274" s="79" t="str">
        <x:v>OUVERT · revue humaine et autorisation IP nécessaires</x:v>
      </x:c>
      <x:c r="G274" s="79" t="str">
        <x:v>P1</x:v>
      </x:c>
      <x:c r="H274" s="79" t="str">
        <x:v>Ne jamais certifier sans approbation manuelle</x:v>
      </x:c>
      <x:c r="I274" s="79" t="str">
        <x:v>https://store.steampowered.com/app/1556200/Predator__Hunting_Grounds/</x:v>
      </x:c>
      <x:c r="J274" s="79" t="str">
        <x:v>Art / QA</x:v>
      </x:c>
      <x:c r="K274" s="79" t="str">
        <x:v>https://github.com/darknigthmare/yautja-la-longue-chasse/pull/42</x:v>
      </x:c>
      <x:c r="L274" s="79" t="n">
        <x:v>0</x:v>
      </x:c>
    </x:row>
    <x:row r="275" ht="35" customHeight="1">
      <x:c r="A275" s="79" t="str">
        <x:v>V136-phg-jotun-01</x:v>
      </x:c>
      <x:c r="B275" s="79" t="str">
        <x:v>phg-jotun</x:v>
      </x:c>
      <x:c r="C275" s="79" t="str">
        <x:v>Jotun · PHG</x:v>
      </x:c>
      <x:c r="D275" s="79" t="str">
        <x:v>Plan face/dessus/profil</x:v>
      </x:c>
      <x:c r="E275" s="79" t="str">
        <x:v>Preuve photogramme vérifiée</x:v>
      </x:c>
      <x:c r="F275" s="79" t="str">
        <x:v>OUVERT · plusieurs vues source film/jeu non relevées</x:v>
      </x:c>
      <x:c r="G275" s="79" t="str">
        <x:v>P1</x:v>
      </x:c>
      <x:c r="H275" s="79" t="str">
        <x:v>Photo, prop, capture jeu propre au gauntlet</x:v>
      </x:c>
      <x:c r="I275" s="79" t="str">
        <x:v>https://store.steampowered.com/app/1556200/Predator__Hunting_Grounds/</x:v>
      </x:c>
      <x:c r="J275" s="79" t="str">
        <x:v>Art / QA</x:v>
      </x:c>
      <x:c r="K275" s="79" t="str">
        <x:v>https://github.com/darknigthmare/yautja-la-longue-chasse/pull/42</x:v>
      </x:c>
      <x:c r="L275" s="79" t="n">
        <x:v>0</x:v>
      </x:c>
    </x:row>
    <x:row r="276" ht="35" customHeight="1">
      <x:c r="A276" s="79" t="str">
        <x:v>V136-phg-jotun-02</x:v>
      </x:c>
      <x:c r="B276" s="79" t="str">
        <x:v>phg-jotun</x:v>
      </x:c>
      <x:c r="C276" s="79" t="str">
        <x:v>Jotun · PHG</x:v>
      </x:c>
      <x:c r="D276" s="79" t="str">
        <x:v>Proportions et silhouette</x:v>
      </x:c>
      <x:c r="E276" s="79" t="str">
        <x:v>Remodelage physique</x:v>
      </x:c>
      <x:c r="F276" s="79" t="str">
        <x:v>PARTIEL · silhouette SVG originale, proportions non mesurées</x:v>
      </x:c>
      <x:c r="G276" s="79" t="str">
        <x:v>P1</x:v>
      </x:c>
      <x:c r="H276" s="79" t="str">
        <x:v>Contrôle alignement poignet et pièces</x:v>
      </x:c>
      <x:c r="I276" s="79" t="str">
        <x:v>https://store.steampowered.com/app/1556200/Predator__Hunting_Grounds/</x:v>
      </x:c>
      <x:c r="J276" s="79" t="str">
        <x:v>Art / QA</x:v>
      </x:c>
      <x:c r="K276" s="79" t="str">
        <x:v>https://github.com/darknigthmare/yautja-la-longue-chasse/pull/42</x:v>
      </x:c>
      <x:c r="L276" s="79" t="n">
        <x:v>25</x:v>
      </x:c>
    </x:row>
    <x:row r="277" ht="35" customHeight="1">
      <x:c r="A277" s="79" t="str">
        <x:v>V136-phg-jotun-03</x:v>
      </x:c>
      <x:c r="B277" s="79" t="str">
        <x:v>phg-jotun</x:v>
      </x:c>
      <x:c r="C277" s="79" t="str">
        <x:v>Jotun · PHG</x:v>
      </x:c>
      <x:c r="D277" s="79" t="str">
        <x:v>Textures UV et matériaux</x:v>
      </x:c>
      <x:c r="E277" s="79" t="str">
        <x:v>Matériaux et patine</x:v>
      </x:c>
      <x:c r="F277" s="79" t="str">
        <x:v>OUVERT · textures UV/PNG 1:1 et patine à produire</x:v>
      </x:c>
      <x:c r="G277" s="79" t="str">
        <x:v>P1</x:v>
      </x:c>
      <x:c r="H277" s="79" t="str">
        <x:v>PNG indépendants aux bons détails et reflets</x:v>
      </x:c>
      <x:c r="I277" s="79" t="str">
        <x:v>https://store.steampowered.com/app/1556200/Predator__Hunting_Grounds/</x:v>
      </x:c>
      <x:c r="J277" s="79" t="str">
        <x:v>Art / QA</x:v>
      </x:c>
      <x:c r="K277" s="79" t="str">
        <x:v>https://github.com/darknigthmare/yautja-la-longue-chasse/pull/42</x:v>
      </x:c>
      <x:c r="L277" s="79" t="n">
        <x:v>0</x:v>
      </x:c>
    </x:row>
    <x:row r="278" ht="35" customHeight="1">
      <x:c r="A278" s="79" t="str">
        <x:v>V136-phg-jotun-04</x:v>
      </x:c>
      <x:c r="B278" s="79" t="str">
        <x:v>phg-jotun</x:v>
      </x:c>
      <x:c r="C278" s="79" t="str">
        <x:v>Jotun · PHG</x:v>
      </x:c>
      <x:c r="D278" s="79" t="str">
        <x:v>Charnière et animations</x:v>
      </x:c>
      <x:c r="E278" s="79" t="str">
        <x:v>Ouverture, gestes, pivot</x:v>
      </x:c>
      <x:c r="F278" s="79" t="str">
        <x:v>PARTIEL · capot CSS ; 3 gestes / rig 1:1 manquants</x:v>
      </x:c>
      <x:c r="G278" s="79" t="str">
        <x:v>P1</x:v>
      </x:c>
      <x:c r="H278" s="79" t="str">
        <x:v>Cohérence rig / armurerie / hologramme</x:v>
      </x:c>
      <x:c r="I278" s="79" t="str">
        <x:v>https://store.steampowered.com/app/1556200/Predator__Hunting_Grounds/</x:v>
      </x:c>
      <x:c r="J278" s="79" t="str">
        <x:v>Art / QA</x:v>
      </x:c>
      <x:c r="K278" s="79" t="str">
        <x:v>https://github.com/darknigthmare/yautja-la-longue-chasse/pull/42</x:v>
      </x:c>
      <x:c r="L278" s="79" t="n">
        <x:v>25</x:v>
      </x:c>
    </x:row>
    <x:row r="279" ht="35" customHeight="1">
      <x:c r="A279" s="79" t="str">
        <x:v>V136-phg-jotun-05</x:v>
      </x:c>
      <x:c r="B279" s="79" t="str">
        <x:v>phg-jotun</x:v>
      </x:c>
      <x:c r="C279" s="79" t="str">
        <x:v>Jotun · PHG</x:v>
      </x:c>
      <x:c r="D279" s="79" t="str">
        <x:v>Rendu jeu et contrôle</x:v>
      </x:c>
      <x:c r="E279" s="79" t="str">
        <x:v>Clavier, tactile, mobile, SFX</x:v>
      </x:c>
      <x:c r="F279" s="79" t="str">
        <x:v>PARTIEL · rendu React + QA autonome, jeu complet à tester</x:v>
      </x:c>
      <x:c r="G279" s="79" t="str">
        <x:v>P1</x:v>
      </x:c>
      <x:c r="H279" s="79" t="str">
        <x:v>Comparaison toutes vues et modes</x:v>
      </x:c>
      <x:c r="I279" s="79" t="str">
        <x:v>https://store.steampowered.com/app/1556200/Predator__Hunting_Grounds/</x:v>
      </x:c>
      <x:c r="J279" s="79" t="str">
        <x:v>Art / QA</x:v>
      </x:c>
      <x:c r="K279" s="79" t="str">
        <x:v>https://github.com/darknigthmare/yautja-la-longue-chasse/pull/42</x:v>
      </x:c>
      <x:c r="L279" s="79" t="n">
        <x:v>45</x:v>
      </x:c>
    </x:row>
    <x:row r="280" ht="35" customHeight="1">
      <x:c r="A280" s="79" t="str">
        <x:v>V136-phg-jotun-06</x:v>
      </x:c>
      <x:c r="B280" s="79" t="str">
        <x:v>phg-jotun</x:v>
      </x:c>
      <x:c r="C280" s="79" t="str">
        <x:v>Jotun · PHG</x:v>
      </x:c>
      <x:c r="D280" s="79" t="str">
        <x:v>Revue artistique et droits</x:v>
      </x:c>
      <x:c r="E280" s="79" t="str">
        <x:v>Validation finale 1:1</x:v>
      </x:c>
      <x:c r="F280" s="79" t="str">
        <x:v>OUVERT · revue humaine et autorisation IP nécessaires</x:v>
      </x:c>
      <x:c r="G280" s="79" t="str">
        <x:v>P1</x:v>
      </x:c>
      <x:c r="H280" s="79" t="str">
        <x:v>Ne jamais certifier sans approbation manuelle</x:v>
      </x:c>
      <x:c r="I280" s="79" t="str">
        <x:v>https://store.steampowered.com/app/1556200/Predator__Hunting_Grounds/</x:v>
      </x:c>
      <x:c r="J280" s="79" t="str">
        <x:v>Art / QA</x:v>
      </x:c>
      <x:c r="K280" s="79" t="str">
        <x:v>https://github.com/darknigthmare/yautja-la-longue-chasse/pull/42</x:v>
      </x:c>
      <x:c r="L280" s="79" t="n">
        <x:v>0</x:v>
      </x:c>
    </x:row>
    <x:row r="281" ht="35" customHeight="1">
      <x:c r="A281" s="79" t="str">
        <x:v>V136-phg-exalted-01</x:v>
      </x:c>
      <x:c r="B281" s="79" t="str">
        <x:v>phg-exalted</x:v>
      </x:c>
      <x:c r="C281" s="79" t="str">
        <x:v>Exalted · PHG</x:v>
      </x:c>
      <x:c r="D281" s="79" t="str">
        <x:v>Plan face/dessus/profil</x:v>
      </x:c>
      <x:c r="E281" s="79" t="str">
        <x:v>Preuve photogramme vérifiée</x:v>
      </x:c>
      <x:c r="F281" s="79" t="str">
        <x:v>OUVERT · plusieurs vues source film/jeu non relevées</x:v>
      </x:c>
      <x:c r="G281" s="79" t="str">
        <x:v>P1</x:v>
      </x:c>
      <x:c r="H281" s="79" t="str">
        <x:v>Photo, prop, capture jeu propre au gauntlet</x:v>
      </x:c>
      <x:c r="I281" s="79" t="str">
        <x:v>https://store.steampowered.com/app/1556200/Predator__Hunting_Grounds/</x:v>
      </x:c>
      <x:c r="J281" s="79" t="str">
        <x:v>Art / QA</x:v>
      </x:c>
      <x:c r="K281" s="79" t="str">
        <x:v>https://github.com/darknigthmare/yautja-la-longue-chasse/pull/42</x:v>
      </x:c>
      <x:c r="L281" s="79" t="n">
        <x:v>0</x:v>
      </x:c>
    </x:row>
    <x:row r="282" ht="35" customHeight="1">
      <x:c r="A282" s="79" t="str">
        <x:v>V136-phg-exalted-02</x:v>
      </x:c>
      <x:c r="B282" s="79" t="str">
        <x:v>phg-exalted</x:v>
      </x:c>
      <x:c r="C282" s="79" t="str">
        <x:v>Exalted · PHG</x:v>
      </x:c>
      <x:c r="D282" s="79" t="str">
        <x:v>Proportions et silhouette</x:v>
      </x:c>
      <x:c r="E282" s="79" t="str">
        <x:v>Remodelage physique</x:v>
      </x:c>
      <x:c r="F282" s="79" t="str">
        <x:v>PARTIEL · silhouette SVG originale, proportions non mesurées</x:v>
      </x:c>
      <x:c r="G282" s="79" t="str">
        <x:v>P1</x:v>
      </x:c>
      <x:c r="H282" s="79" t="str">
        <x:v>Contrôle alignement poignet et pièces</x:v>
      </x:c>
      <x:c r="I282" s="79" t="str">
        <x:v>https://store.steampowered.com/app/1556200/Predator__Hunting_Grounds/</x:v>
      </x:c>
      <x:c r="J282" s="79" t="str">
        <x:v>Art / QA</x:v>
      </x:c>
      <x:c r="K282" s="79" t="str">
        <x:v>https://github.com/darknigthmare/yautja-la-longue-chasse/pull/42</x:v>
      </x:c>
      <x:c r="L282" s="79" t="n">
        <x:v>25</x:v>
      </x:c>
    </x:row>
    <x:row r="283" ht="35" customHeight="1">
      <x:c r="A283" s="79" t="str">
        <x:v>V136-phg-exalted-03</x:v>
      </x:c>
      <x:c r="B283" s="79" t="str">
        <x:v>phg-exalted</x:v>
      </x:c>
      <x:c r="C283" s="79" t="str">
        <x:v>Exalted · PHG</x:v>
      </x:c>
      <x:c r="D283" s="79" t="str">
        <x:v>Textures UV et matériaux</x:v>
      </x:c>
      <x:c r="E283" s="79" t="str">
        <x:v>Matériaux et patine</x:v>
      </x:c>
      <x:c r="F283" s="79" t="str">
        <x:v>OUVERT · textures UV/PNG 1:1 et patine à produire</x:v>
      </x:c>
      <x:c r="G283" s="79" t="str">
        <x:v>P1</x:v>
      </x:c>
      <x:c r="H283" s="79" t="str">
        <x:v>PNG indépendants aux bons détails et reflets</x:v>
      </x:c>
      <x:c r="I283" s="79" t="str">
        <x:v>https://store.steampowered.com/app/1556200/Predator__Hunting_Grounds/</x:v>
      </x:c>
      <x:c r="J283" s="79" t="str">
        <x:v>Art / QA</x:v>
      </x:c>
      <x:c r="K283" s="79" t="str">
        <x:v>https://github.com/darknigthmare/yautja-la-longue-chasse/pull/42</x:v>
      </x:c>
      <x:c r="L283" s="79" t="n">
        <x:v>0</x:v>
      </x:c>
    </x:row>
    <x:row r="284" ht="35" customHeight="1">
      <x:c r="A284" s="79" t="str">
        <x:v>V136-phg-exalted-04</x:v>
      </x:c>
      <x:c r="B284" s="79" t="str">
        <x:v>phg-exalted</x:v>
      </x:c>
      <x:c r="C284" s="79" t="str">
        <x:v>Exalted · PHG</x:v>
      </x:c>
      <x:c r="D284" s="79" t="str">
        <x:v>Charnière et animations</x:v>
      </x:c>
      <x:c r="E284" s="79" t="str">
        <x:v>Ouverture, gestes, pivot</x:v>
      </x:c>
      <x:c r="F284" s="79" t="str">
        <x:v>PARTIEL · capot CSS ; 3 gestes / rig 1:1 manquants</x:v>
      </x:c>
      <x:c r="G284" s="79" t="str">
        <x:v>P1</x:v>
      </x:c>
      <x:c r="H284" s="79" t="str">
        <x:v>Cohérence rig / armurerie / hologramme</x:v>
      </x:c>
      <x:c r="I284" s="79" t="str">
        <x:v>https://store.steampowered.com/app/1556200/Predator__Hunting_Grounds/</x:v>
      </x:c>
      <x:c r="J284" s="79" t="str">
        <x:v>Art / QA</x:v>
      </x:c>
      <x:c r="K284" s="79" t="str">
        <x:v>https://github.com/darknigthmare/yautja-la-longue-chasse/pull/42</x:v>
      </x:c>
      <x:c r="L284" s="79" t="n">
        <x:v>25</x:v>
      </x:c>
    </x:row>
    <x:row r="285" ht="35" customHeight="1">
      <x:c r="A285" s="79" t="str">
        <x:v>V136-phg-exalted-05</x:v>
      </x:c>
      <x:c r="B285" s="79" t="str">
        <x:v>phg-exalted</x:v>
      </x:c>
      <x:c r="C285" s="79" t="str">
        <x:v>Exalted · PHG</x:v>
      </x:c>
      <x:c r="D285" s="79" t="str">
        <x:v>Rendu jeu et contrôle</x:v>
      </x:c>
      <x:c r="E285" s="79" t="str">
        <x:v>Clavier, tactile, mobile, SFX</x:v>
      </x:c>
      <x:c r="F285" s="79" t="str">
        <x:v>PARTIEL · rendu React + QA autonome, jeu complet à tester</x:v>
      </x:c>
      <x:c r="G285" s="79" t="str">
        <x:v>P1</x:v>
      </x:c>
      <x:c r="H285" s="79" t="str">
        <x:v>Comparaison toutes vues et modes</x:v>
      </x:c>
      <x:c r="I285" s="79" t="str">
        <x:v>https://store.steampowered.com/app/1556200/Predator__Hunting_Grounds/</x:v>
      </x:c>
      <x:c r="J285" s="79" t="str">
        <x:v>Art / QA</x:v>
      </x:c>
      <x:c r="K285" s="79" t="str">
        <x:v>https://github.com/darknigthmare/yautja-la-longue-chasse/pull/42</x:v>
      </x:c>
      <x:c r="L285" s="79" t="n">
        <x:v>45</x:v>
      </x:c>
    </x:row>
    <x:row r="286" ht="35" customHeight="1">
      <x:c r="A286" s="79" t="str">
        <x:v>V136-phg-exalted-06</x:v>
      </x:c>
      <x:c r="B286" s="79" t="str">
        <x:v>phg-exalted</x:v>
      </x:c>
      <x:c r="C286" s="79" t="str">
        <x:v>Exalted · PHG</x:v>
      </x:c>
      <x:c r="D286" s="79" t="str">
        <x:v>Revue artistique et droits</x:v>
      </x:c>
      <x:c r="E286" s="79" t="str">
        <x:v>Validation finale 1:1</x:v>
      </x:c>
      <x:c r="F286" s="79" t="str">
        <x:v>OUVERT · revue humaine et autorisation IP nécessaires</x:v>
      </x:c>
      <x:c r="G286" s="79" t="str">
        <x:v>P1</x:v>
      </x:c>
      <x:c r="H286" s="79" t="str">
        <x:v>Ne jamais certifier sans approbation manuelle</x:v>
      </x:c>
      <x:c r="I286" s="79" t="str">
        <x:v>https://store.steampowered.com/app/1556200/Predator__Hunting_Grounds/</x:v>
      </x:c>
      <x:c r="J286" s="79" t="str">
        <x:v>Art / QA</x:v>
      </x:c>
      <x:c r="K286" s="79" t="str">
        <x:v>https://github.com/darknigthmare/yautja-la-longue-chasse/pull/42</x:v>
      </x:c>
      <x:c r="L286" s="79" t="n">
        <x:v>0</x:v>
      </x:c>
    </x:row>
    <x:row r="287" ht="35" customHeight="1">
      <x:c r="A287" s="79" t="str">
        <x:v>V136-phg-anubis-01</x:v>
      </x:c>
      <x:c r="B287" s="79" t="str">
        <x:v>phg-anubis</x:v>
      </x:c>
      <x:c r="C287" s="79" t="str">
        <x:v>Anubis · PHG</x:v>
      </x:c>
      <x:c r="D287" s="79" t="str">
        <x:v>Plan face/dessus/profil</x:v>
      </x:c>
      <x:c r="E287" s="79" t="str">
        <x:v>Preuve photogramme vérifiée</x:v>
      </x:c>
      <x:c r="F287" s="79" t="str">
        <x:v>OUVERT · plusieurs vues source film/jeu non relevées</x:v>
      </x:c>
      <x:c r="G287" s="79" t="str">
        <x:v>P1</x:v>
      </x:c>
      <x:c r="H287" s="79" t="str">
        <x:v>Photo, prop, capture jeu propre au gauntlet</x:v>
      </x:c>
      <x:c r="I287" s="79" t="str">
        <x:v>https://store.steampowered.com/app/1556200/Predator__Hunting_Grounds/</x:v>
      </x:c>
      <x:c r="J287" s="79" t="str">
        <x:v>Art / QA</x:v>
      </x:c>
      <x:c r="K287" s="79" t="str">
        <x:v>https://github.com/darknigthmare/yautja-la-longue-chasse/pull/42</x:v>
      </x:c>
      <x:c r="L287" s="79" t="n">
        <x:v>0</x:v>
      </x:c>
    </x:row>
    <x:row r="288" ht="35" customHeight="1">
      <x:c r="A288" s="79" t="str">
        <x:v>V136-phg-anubis-02</x:v>
      </x:c>
      <x:c r="B288" s="79" t="str">
        <x:v>phg-anubis</x:v>
      </x:c>
      <x:c r="C288" s="79" t="str">
        <x:v>Anubis · PHG</x:v>
      </x:c>
      <x:c r="D288" s="79" t="str">
        <x:v>Proportions et silhouette</x:v>
      </x:c>
      <x:c r="E288" s="79" t="str">
        <x:v>Remodelage physique</x:v>
      </x:c>
      <x:c r="F288" s="79" t="str">
        <x:v>PARTIEL · silhouette SVG originale, proportions non mesurées</x:v>
      </x:c>
      <x:c r="G288" s="79" t="str">
        <x:v>P1</x:v>
      </x:c>
      <x:c r="H288" s="79" t="str">
        <x:v>Contrôle alignement poignet et pièces</x:v>
      </x:c>
      <x:c r="I288" s="79" t="str">
        <x:v>https://store.steampowered.com/app/1556200/Predator__Hunting_Grounds/</x:v>
      </x:c>
      <x:c r="J288" s="79" t="str">
        <x:v>Art / QA</x:v>
      </x:c>
      <x:c r="K288" s="79" t="str">
        <x:v>https://github.com/darknigthmare/yautja-la-longue-chasse/pull/42</x:v>
      </x:c>
      <x:c r="L288" s="79" t="n">
        <x:v>25</x:v>
      </x:c>
    </x:row>
    <x:row r="289" ht="35" customHeight="1">
      <x:c r="A289" s="79" t="str">
        <x:v>V136-phg-anubis-03</x:v>
      </x:c>
      <x:c r="B289" s="79" t="str">
        <x:v>phg-anubis</x:v>
      </x:c>
      <x:c r="C289" s="79" t="str">
        <x:v>Anubis · PHG</x:v>
      </x:c>
      <x:c r="D289" s="79" t="str">
        <x:v>Textures UV et matériaux</x:v>
      </x:c>
      <x:c r="E289" s="79" t="str">
        <x:v>Matériaux et patine</x:v>
      </x:c>
      <x:c r="F289" s="79" t="str">
        <x:v>OUVERT · textures UV/PNG 1:1 et patine à produire</x:v>
      </x:c>
      <x:c r="G289" s="79" t="str">
        <x:v>P1</x:v>
      </x:c>
      <x:c r="H289" s="79" t="str">
        <x:v>PNG indépendants aux bons détails et reflets</x:v>
      </x:c>
      <x:c r="I289" s="79" t="str">
        <x:v>https://store.steampowered.com/app/1556200/Predator__Hunting_Grounds/</x:v>
      </x:c>
      <x:c r="J289" s="79" t="str">
        <x:v>Art / QA</x:v>
      </x:c>
      <x:c r="K289" s="79" t="str">
        <x:v>https://github.com/darknigthmare/yautja-la-longue-chasse/pull/42</x:v>
      </x:c>
      <x:c r="L289" s="79" t="n">
        <x:v>0</x:v>
      </x:c>
    </x:row>
    <x:row r="290" ht="35" customHeight="1">
      <x:c r="A290" s="79" t="str">
        <x:v>V136-phg-anubis-04</x:v>
      </x:c>
      <x:c r="B290" s="79" t="str">
        <x:v>phg-anubis</x:v>
      </x:c>
      <x:c r="C290" s="79" t="str">
        <x:v>Anubis · PHG</x:v>
      </x:c>
      <x:c r="D290" s="79" t="str">
        <x:v>Charnière et animations</x:v>
      </x:c>
      <x:c r="E290" s="79" t="str">
        <x:v>Ouverture, gestes, pivot</x:v>
      </x:c>
      <x:c r="F290" s="79" t="str">
        <x:v>PARTIEL · capot CSS ; 3 gestes / rig 1:1 manquants</x:v>
      </x:c>
      <x:c r="G290" s="79" t="str">
        <x:v>P1</x:v>
      </x:c>
      <x:c r="H290" s="79" t="str">
        <x:v>Cohérence rig / armurerie / hologramme</x:v>
      </x:c>
      <x:c r="I290" s="79" t="str">
        <x:v>https://store.steampowered.com/app/1556200/Predator__Hunting_Grounds/</x:v>
      </x:c>
      <x:c r="J290" s="79" t="str">
        <x:v>Art / QA</x:v>
      </x:c>
      <x:c r="K290" s="79" t="str">
        <x:v>https://github.com/darknigthmare/yautja-la-longue-chasse/pull/42</x:v>
      </x:c>
      <x:c r="L290" s="79" t="n">
        <x:v>25</x:v>
      </x:c>
    </x:row>
    <x:row r="291" ht="35" customHeight="1">
      <x:c r="A291" s="79" t="str">
        <x:v>V136-phg-anubis-05</x:v>
      </x:c>
      <x:c r="B291" s="79" t="str">
        <x:v>phg-anubis</x:v>
      </x:c>
      <x:c r="C291" s="79" t="str">
        <x:v>Anubis · PHG</x:v>
      </x:c>
      <x:c r="D291" s="79" t="str">
        <x:v>Rendu jeu et contrôle</x:v>
      </x:c>
      <x:c r="E291" s="79" t="str">
        <x:v>Clavier, tactile, mobile, SFX</x:v>
      </x:c>
      <x:c r="F291" s="79" t="str">
        <x:v>PARTIEL · rendu React + QA autonome, jeu complet à tester</x:v>
      </x:c>
      <x:c r="G291" s="79" t="str">
        <x:v>P1</x:v>
      </x:c>
      <x:c r="H291" s="79" t="str">
        <x:v>Comparaison toutes vues et modes</x:v>
      </x:c>
      <x:c r="I291" s="79" t="str">
        <x:v>https://store.steampowered.com/app/1556200/Predator__Hunting_Grounds/</x:v>
      </x:c>
      <x:c r="J291" s="79" t="str">
        <x:v>Art / QA</x:v>
      </x:c>
      <x:c r="K291" s="79" t="str">
        <x:v>https://github.com/darknigthmare/yautja-la-longue-chasse/pull/42</x:v>
      </x:c>
      <x:c r="L291" s="79" t="n">
        <x:v>45</x:v>
      </x:c>
    </x:row>
    <x:row r="292" ht="35" customHeight="1">
      <x:c r="A292" s="79" t="str">
        <x:v>V136-phg-anubis-06</x:v>
      </x:c>
      <x:c r="B292" s="79" t="str">
        <x:v>phg-anubis</x:v>
      </x:c>
      <x:c r="C292" s="79" t="str">
        <x:v>Anubis · PHG</x:v>
      </x:c>
      <x:c r="D292" s="79" t="str">
        <x:v>Revue artistique et droits</x:v>
      </x:c>
      <x:c r="E292" s="79" t="str">
        <x:v>Validation finale 1:1</x:v>
      </x:c>
      <x:c r="F292" s="79" t="str">
        <x:v>OUVERT · revue humaine et autorisation IP nécessaires</x:v>
      </x:c>
      <x:c r="G292" s="79" t="str">
        <x:v>P1</x:v>
      </x:c>
      <x:c r="H292" s="79" t="str">
        <x:v>Ne jamais certifier sans approbation manuelle</x:v>
      </x:c>
      <x:c r="I292" s="79" t="str">
        <x:v>https://store.steampowered.com/app/1556200/Predator__Hunting_Grounds/</x:v>
      </x:c>
      <x:c r="J292" s="79" t="str">
        <x:v>Art / QA</x:v>
      </x:c>
      <x:c r="K292" s="79" t="str">
        <x:v>https://github.com/darknigthmare/yautja-la-longue-chasse/pull/42</x:v>
      </x:c>
      <x:c r="L292" s="79" t="n">
        <x:v>0</x:v>
      </x:c>
    </x:row>
    <x:row r="293" ht="35" customHeight="1">
      <x:c r="A293" s="79" t="str">
        <x:v>V136-phg-gladiator-01</x:v>
      </x:c>
      <x:c r="B293" s="79" t="str">
        <x:v>phg-gladiator</x:v>
      </x:c>
      <x:c r="C293" s="79" t="str">
        <x:v>Gladiator · PHG</x:v>
      </x:c>
      <x:c r="D293" s="79" t="str">
        <x:v>Plan face/dessus/profil</x:v>
      </x:c>
      <x:c r="E293" s="79" t="str">
        <x:v>Preuve photogramme vérifiée</x:v>
      </x:c>
      <x:c r="F293" s="79" t="str">
        <x:v>OUVERT · plusieurs vues source film/jeu non relevées</x:v>
      </x:c>
      <x:c r="G293" s="79" t="str">
        <x:v>P1</x:v>
      </x:c>
      <x:c r="H293" s="79" t="str">
        <x:v>Photo, prop, capture jeu propre au gauntlet</x:v>
      </x:c>
      <x:c r="I293" s="79" t="str">
        <x:v>https://store.steampowered.com/app/1556200/Predator__Hunting_Grounds/</x:v>
      </x:c>
      <x:c r="J293" s="79" t="str">
        <x:v>Art / QA</x:v>
      </x:c>
      <x:c r="K293" s="79" t="str">
        <x:v>https://github.com/darknigthmare/yautja-la-longue-chasse/pull/42</x:v>
      </x:c>
      <x:c r="L293" s="79" t="n">
        <x:v>0</x:v>
      </x:c>
    </x:row>
    <x:row r="294" ht="35" customHeight="1">
      <x:c r="A294" s="79" t="str">
        <x:v>V136-phg-gladiator-02</x:v>
      </x:c>
      <x:c r="B294" s="79" t="str">
        <x:v>phg-gladiator</x:v>
      </x:c>
      <x:c r="C294" s="79" t="str">
        <x:v>Gladiator · PHG</x:v>
      </x:c>
      <x:c r="D294" s="79" t="str">
        <x:v>Proportions et silhouette</x:v>
      </x:c>
      <x:c r="E294" s="79" t="str">
        <x:v>Remodelage physique</x:v>
      </x:c>
      <x:c r="F294" s="79" t="str">
        <x:v>PARTIEL · silhouette SVG originale, proportions non mesurées</x:v>
      </x:c>
      <x:c r="G294" s="79" t="str">
        <x:v>P1</x:v>
      </x:c>
      <x:c r="H294" s="79" t="str">
        <x:v>Contrôle alignement poignet et pièces</x:v>
      </x:c>
      <x:c r="I294" s="79" t="str">
        <x:v>https://store.steampowered.com/app/1556200/Predator__Hunting_Grounds/</x:v>
      </x:c>
      <x:c r="J294" s="79" t="str">
        <x:v>Art / QA</x:v>
      </x:c>
      <x:c r="K294" s="79" t="str">
        <x:v>https://github.com/darknigthmare/yautja-la-longue-chasse/pull/42</x:v>
      </x:c>
      <x:c r="L294" s="79" t="n">
        <x:v>25</x:v>
      </x:c>
    </x:row>
    <x:row r="295" ht="35" customHeight="1">
      <x:c r="A295" s="79" t="str">
        <x:v>V136-phg-gladiator-03</x:v>
      </x:c>
      <x:c r="B295" s="79" t="str">
        <x:v>phg-gladiator</x:v>
      </x:c>
      <x:c r="C295" s="79" t="str">
        <x:v>Gladiator · PHG</x:v>
      </x:c>
      <x:c r="D295" s="79" t="str">
        <x:v>Textures UV et matériaux</x:v>
      </x:c>
      <x:c r="E295" s="79" t="str">
        <x:v>Matériaux et patine</x:v>
      </x:c>
      <x:c r="F295" s="79" t="str">
        <x:v>OUVERT · textures UV/PNG 1:1 et patine à produire</x:v>
      </x:c>
      <x:c r="G295" s="79" t="str">
        <x:v>P1</x:v>
      </x:c>
      <x:c r="H295" s="79" t="str">
        <x:v>PNG indépendants aux bons détails et reflets</x:v>
      </x:c>
      <x:c r="I295" s="79" t="str">
        <x:v>https://store.steampowered.com/app/1556200/Predator__Hunting_Grounds/</x:v>
      </x:c>
      <x:c r="J295" s="79" t="str">
        <x:v>Art / QA</x:v>
      </x:c>
      <x:c r="K295" s="79" t="str">
        <x:v>https://github.com/darknigthmare/yautja-la-longue-chasse/pull/42</x:v>
      </x:c>
      <x:c r="L295" s="79" t="n">
        <x:v>0</x:v>
      </x:c>
    </x:row>
    <x:row r="296" ht="35" customHeight="1">
      <x:c r="A296" s="79" t="str">
        <x:v>V136-phg-gladiator-04</x:v>
      </x:c>
      <x:c r="B296" s="79" t="str">
        <x:v>phg-gladiator</x:v>
      </x:c>
      <x:c r="C296" s="79" t="str">
        <x:v>Gladiator · PHG</x:v>
      </x:c>
      <x:c r="D296" s="79" t="str">
        <x:v>Charnière et animations</x:v>
      </x:c>
      <x:c r="E296" s="79" t="str">
        <x:v>Ouverture, gestes, pivot</x:v>
      </x:c>
      <x:c r="F296" s="79" t="str">
        <x:v>PARTIEL · capot CSS ; 3 gestes / rig 1:1 manquants</x:v>
      </x:c>
      <x:c r="G296" s="79" t="str">
        <x:v>P1</x:v>
      </x:c>
      <x:c r="H296" s="79" t="str">
        <x:v>Cohérence rig / armurerie / hologramme</x:v>
      </x:c>
      <x:c r="I296" s="79" t="str">
        <x:v>https://store.steampowered.com/app/1556200/Predator__Hunting_Grounds/</x:v>
      </x:c>
      <x:c r="J296" s="79" t="str">
        <x:v>Art / QA</x:v>
      </x:c>
      <x:c r="K296" s="79" t="str">
        <x:v>https://github.com/darknigthmare/yautja-la-longue-chasse/pull/42</x:v>
      </x:c>
      <x:c r="L296" s="79" t="n">
        <x:v>25</x:v>
      </x:c>
    </x:row>
    <x:row r="297" ht="35" customHeight="1">
      <x:c r="A297" s="79" t="str">
        <x:v>V136-phg-gladiator-05</x:v>
      </x:c>
      <x:c r="B297" s="79" t="str">
        <x:v>phg-gladiator</x:v>
      </x:c>
      <x:c r="C297" s="79" t="str">
        <x:v>Gladiator · PHG</x:v>
      </x:c>
      <x:c r="D297" s="79" t="str">
        <x:v>Rendu jeu et contrôle</x:v>
      </x:c>
      <x:c r="E297" s="79" t="str">
        <x:v>Clavier, tactile, mobile, SFX</x:v>
      </x:c>
      <x:c r="F297" s="79" t="str">
        <x:v>PARTIEL · rendu React + QA autonome, jeu complet à tester</x:v>
      </x:c>
      <x:c r="G297" s="79" t="str">
        <x:v>P1</x:v>
      </x:c>
      <x:c r="H297" s="79" t="str">
        <x:v>Comparaison toutes vues et modes</x:v>
      </x:c>
      <x:c r="I297" s="79" t="str">
        <x:v>https://store.steampowered.com/app/1556200/Predator__Hunting_Grounds/</x:v>
      </x:c>
      <x:c r="J297" s="79" t="str">
        <x:v>Art / QA</x:v>
      </x:c>
      <x:c r="K297" s="79" t="str">
        <x:v>https://github.com/darknigthmare/yautja-la-longue-chasse/pull/42</x:v>
      </x:c>
      <x:c r="L297" s="79" t="n">
        <x:v>45</x:v>
      </x:c>
    </x:row>
    <x:row r="298" ht="35" customHeight="1">
      <x:c r="A298" s="79" t="str">
        <x:v>V136-phg-gladiator-06</x:v>
      </x:c>
      <x:c r="B298" s="79" t="str">
        <x:v>phg-gladiator</x:v>
      </x:c>
      <x:c r="C298" s="79" t="str">
        <x:v>Gladiator · PHG</x:v>
      </x:c>
      <x:c r="D298" s="79" t="str">
        <x:v>Revue artistique et droits</x:v>
      </x:c>
      <x:c r="E298" s="79" t="str">
        <x:v>Validation finale 1:1</x:v>
      </x:c>
      <x:c r="F298" s="79" t="str">
        <x:v>OUVERT · revue humaine et autorisation IP nécessaires</x:v>
      </x:c>
      <x:c r="G298" s="79" t="str">
        <x:v>P1</x:v>
      </x:c>
      <x:c r="H298" s="79" t="str">
        <x:v>Ne jamais certifier sans approbation manuelle</x:v>
      </x:c>
      <x:c r="I298" s="79" t="str">
        <x:v>https://store.steampowered.com/app/1556200/Predator__Hunting_Grounds/</x:v>
      </x:c>
      <x:c r="J298" s="79" t="str">
        <x:v>Art / QA</x:v>
      </x:c>
      <x:c r="K298" s="79" t="str">
        <x:v>https://github.com/darknigthmare/yautja-la-longue-chasse/pull/42</x:v>
      </x:c>
      <x:c r="L298" s="79" t="n">
        <x:v>0</x:v>
      </x:c>
    </x:row>
    <x:row r="299" ht="35" customHeight="1">
      <x:c r="A299" s="79" t="str">
        <x:v>V136-scarface-01</x:v>
      </x:c>
      <x:c r="B299" s="79" t="str">
        <x:v>scarface</x:v>
      </x:c>
      <x:c r="C299" s="79" t="str">
        <x:v>Scarface · Concrete Jungle</x:v>
      </x:c>
      <x:c r="D299" s="79" t="str">
        <x:v>Plan face/dessus/profil</x:v>
      </x:c>
      <x:c r="E299" s="79" t="str">
        <x:v>Preuve photogramme vérifiée</x:v>
      </x:c>
      <x:c r="F299" s="79" t="str">
        <x:v>OUVERT · plusieurs vues source film/jeu non relevées</x:v>
      </x:c>
      <x:c r="G299" s="79" t="str">
        <x:v>P1</x:v>
      </x:c>
      <x:c r="H299" s="79" t="str">
        <x:v>Photo, prop, capture jeu propre au gauntlet</x:v>
      </x:c>
      <x:c r="I299" s="79" t="str">
        <x:v>https://www.avpgalaxy.net/merch/neca/predator/series/</x:v>
      </x:c>
      <x:c r="J299" s="79" t="str">
        <x:v>Art / QA</x:v>
      </x:c>
      <x:c r="K299" s="79" t="str">
        <x:v>https://github.com/darknigthmare/yautja-la-longue-chasse/pull/42</x:v>
      </x:c>
      <x:c r="L299" s="79" t="n">
        <x:v>0</x:v>
      </x:c>
    </x:row>
    <x:row r="300" ht="35" customHeight="1">
      <x:c r="A300" s="79" t="str">
        <x:v>V136-scarface-02</x:v>
      </x:c>
      <x:c r="B300" s="79" t="str">
        <x:v>scarface</x:v>
      </x:c>
      <x:c r="C300" s="79" t="str">
        <x:v>Scarface · Concrete Jungle</x:v>
      </x:c>
      <x:c r="D300" s="79" t="str">
        <x:v>Proportions et silhouette</x:v>
      </x:c>
      <x:c r="E300" s="79" t="str">
        <x:v>Remodelage physique</x:v>
      </x:c>
      <x:c r="F300" s="79" t="str">
        <x:v>PARTIEL · silhouette SVG originale, proportions non mesurées</x:v>
      </x:c>
      <x:c r="G300" s="79" t="str">
        <x:v>P1</x:v>
      </x:c>
      <x:c r="H300" s="79" t="str">
        <x:v>Contrôle alignement poignet et pièces</x:v>
      </x:c>
      <x:c r="I300" s="79" t="str">
        <x:v>https://www.avpgalaxy.net/merch/neca/predator/series/</x:v>
      </x:c>
      <x:c r="J300" s="79" t="str">
        <x:v>Art / QA</x:v>
      </x:c>
      <x:c r="K300" s="79" t="str">
        <x:v>https://github.com/darknigthmare/yautja-la-longue-chasse/pull/42</x:v>
      </x:c>
      <x:c r="L300" s="79" t="n">
        <x:v>25</x:v>
      </x:c>
    </x:row>
    <x:row r="301" ht="35" customHeight="1">
      <x:c r="A301" s="79" t="str">
        <x:v>V136-scarface-03</x:v>
      </x:c>
      <x:c r="B301" s="79" t="str">
        <x:v>scarface</x:v>
      </x:c>
      <x:c r="C301" s="79" t="str">
        <x:v>Scarface · Concrete Jungle</x:v>
      </x:c>
      <x:c r="D301" s="79" t="str">
        <x:v>Textures UV et matériaux</x:v>
      </x:c>
      <x:c r="E301" s="79" t="str">
        <x:v>Matériaux et patine</x:v>
      </x:c>
      <x:c r="F301" s="79" t="str">
        <x:v>OUVERT · textures UV/PNG 1:1 et patine à produire</x:v>
      </x:c>
      <x:c r="G301" s="79" t="str">
        <x:v>P1</x:v>
      </x:c>
      <x:c r="H301" s="79" t="str">
        <x:v>PNG indépendants aux bons détails et reflets</x:v>
      </x:c>
      <x:c r="I301" s="79" t="str">
        <x:v>https://www.avpgalaxy.net/merch/neca/predator/series/</x:v>
      </x:c>
      <x:c r="J301" s="79" t="str">
        <x:v>Art / QA</x:v>
      </x:c>
      <x:c r="K301" s="79" t="str">
        <x:v>https://github.com/darknigthmare/yautja-la-longue-chasse/pull/42</x:v>
      </x:c>
      <x:c r="L301" s="79" t="n">
        <x:v>0</x:v>
      </x:c>
    </x:row>
    <x:row r="302" ht="35" customHeight="1">
      <x:c r="A302" s="79" t="str">
        <x:v>V136-scarface-04</x:v>
      </x:c>
      <x:c r="B302" s="79" t="str">
        <x:v>scarface</x:v>
      </x:c>
      <x:c r="C302" s="79" t="str">
        <x:v>Scarface · Concrete Jungle</x:v>
      </x:c>
      <x:c r="D302" s="79" t="str">
        <x:v>Charnière et animations</x:v>
      </x:c>
      <x:c r="E302" s="79" t="str">
        <x:v>Ouverture, gestes, pivot</x:v>
      </x:c>
      <x:c r="F302" s="79" t="str">
        <x:v>PARTIEL · capot CSS ; 3 gestes / rig 1:1 manquants</x:v>
      </x:c>
      <x:c r="G302" s="79" t="str">
        <x:v>P1</x:v>
      </x:c>
      <x:c r="H302" s="79" t="str">
        <x:v>Cohérence rig / armurerie / hologramme</x:v>
      </x:c>
      <x:c r="I302" s="79" t="str">
        <x:v>https://www.avpgalaxy.net/merch/neca/predator/series/</x:v>
      </x:c>
      <x:c r="J302" s="79" t="str">
        <x:v>Art / QA</x:v>
      </x:c>
      <x:c r="K302" s="79" t="str">
        <x:v>https://github.com/darknigthmare/yautja-la-longue-chasse/pull/42</x:v>
      </x:c>
      <x:c r="L302" s="79" t="n">
        <x:v>25</x:v>
      </x:c>
    </x:row>
    <x:row r="303" ht="35" customHeight="1">
      <x:c r="A303" s="79" t="str">
        <x:v>V136-scarface-05</x:v>
      </x:c>
      <x:c r="B303" s="79" t="str">
        <x:v>scarface</x:v>
      </x:c>
      <x:c r="C303" s="79" t="str">
        <x:v>Scarface · Concrete Jungle</x:v>
      </x:c>
      <x:c r="D303" s="79" t="str">
        <x:v>Rendu jeu et contrôle</x:v>
      </x:c>
      <x:c r="E303" s="79" t="str">
        <x:v>Clavier, tactile, mobile, SFX</x:v>
      </x:c>
      <x:c r="F303" s="79" t="str">
        <x:v>PARTIEL · rendu React + QA autonome, jeu complet à tester</x:v>
      </x:c>
      <x:c r="G303" s="79" t="str">
        <x:v>P1</x:v>
      </x:c>
      <x:c r="H303" s="79" t="str">
        <x:v>Comparaison toutes vues et modes</x:v>
      </x:c>
      <x:c r="I303" s="79" t="str">
        <x:v>https://www.avpgalaxy.net/merch/neca/predator/series/</x:v>
      </x:c>
      <x:c r="J303" s="79" t="str">
        <x:v>Art / QA</x:v>
      </x:c>
      <x:c r="K303" s="79" t="str">
        <x:v>https://github.com/darknigthmare/yautja-la-longue-chasse/pull/42</x:v>
      </x:c>
      <x:c r="L303" s="79" t="n">
        <x:v>45</x:v>
      </x:c>
    </x:row>
    <x:row r="304" ht="35" customHeight="1">
      <x:c r="A304" s="79" t="str">
        <x:v>V136-scarface-06</x:v>
      </x:c>
      <x:c r="B304" s="79" t="str">
        <x:v>scarface</x:v>
      </x:c>
      <x:c r="C304" s="79" t="str">
        <x:v>Scarface · Concrete Jungle</x:v>
      </x:c>
      <x:c r="D304" s="79" t="str">
        <x:v>Revue artistique et droits</x:v>
      </x:c>
      <x:c r="E304" s="79" t="str">
        <x:v>Validation finale 1:1</x:v>
      </x:c>
      <x:c r="F304" s="79" t="str">
        <x:v>OUVERT · revue humaine et autorisation IP nécessaires</x:v>
      </x:c>
      <x:c r="G304" s="79" t="str">
        <x:v>P1</x:v>
      </x:c>
      <x:c r="H304" s="79" t="str">
        <x:v>Ne jamais certifier sans approbation manuelle</x:v>
      </x:c>
      <x:c r="I304" s="79" t="str">
        <x:v>https://www.avpgalaxy.net/merch/neca/predator/series/</x:v>
      </x:c>
      <x:c r="J304" s="79" t="str">
        <x:v>Art / QA</x:v>
      </x:c>
      <x:c r="K304" s="79" t="str">
        <x:v>https://github.com/darknigthmare/yautja-la-longue-chasse/pull/42</x:v>
      </x:c>
      <x:c r="L304" s="79" t="n">
        <x:v>0</x:v>
      </x:c>
    </x:row>
    <x:row r="305" ht="35" customHeight="1">
      <x:c r="A305" s="79" t="str">
        <x:v>V136-stone-heart-01</x:v>
      </x:c>
      <x:c r="B305" s="79" t="str">
        <x:v>stone-heart</x:v>
      </x:c>
      <x:c r="C305" s="79" t="str">
        <x:v>Stone Heart · Concrete Jungle</x:v>
      </x:c>
      <x:c r="D305" s="79" t="str">
        <x:v>Plan face/dessus/profil</x:v>
      </x:c>
      <x:c r="E305" s="79" t="str">
        <x:v>Preuve photogramme vérifiée</x:v>
      </x:c>
      <x:c r="F305" s="79" t="str">
        <x:v>OUVERT · plusieurs vues source film/jeu non relevées</x:v>
      </x:c>
      <x:c r="G305" s="79" t="str">
        <x:v>P1</x:v>
      </x:c>
      <x:c r="H305" s="79" t="str">
        <x:v>Photo, prop, capture jeu propre au gauntlet</x:v>
      </x:c>
      <x:c r="I305" s="79" t="str">
        <x:v>https://www.avpgalaxy.net/merch/neca/predator/series/</x:v>
      </x:c>
      <x:c r="J305" s="79" t="str">
        <x:v>Art / QA</x:v>
      </x:c>
      <x:c r="K305" s="79" t="str">
        <x:v>https://github.com/darknigthmare/yautja-la-longue-chasse/pull/42</x:v>
      </x:c>
      <x:c r="L305" s="79" t="n">
        <x:v>0</x:v>
      </x:c>
    </x:row>
    <x:row r="306" ht="35" customHeight="1">
      <x:c r="A306" s="79" t="str">
        <x:v>V136-stone-heart-02</x:v>
      </x:c>
      <x:c r="B306" s="79" t="str">
        <x:v>stone-heart</x:v>
      </x:c>
      <x:c r="C306" s="79" t="str">
        <x:v>Stone Heart · Concrete Jungle</x:v>
      </x:c>
      <x:c r="D306" s="79" t="str">
        <x:v>Proportions et silhouette</x:v>
      </x:c>
      <x:c r="E306" s="79" t="str">
        <x:v>Remodelage physique</x:v>
      </x:c>
      <x:c r="F306" s="79" t="str">
        <x:v>PARTIEL · silhouette SVG originale, proportions non mesurées</x:v>
      </x:c>
      <x:c r="G306" s="79" t="str">
        <x:v>P1</x:v>
      </x:c>
      <x:c r="H306" s="79" t="str">
        <x:v>Contrôle alignement poignet et pièces</x:v>
      </x:c>
      <x:c r="I306" s="79" t="str">
        <x:v>https://www.avpgalaxy.net/merch/neca/predator/series/</x:v>
      </x:c>
      <x:c r="J306" s="79" t="str">
        <x:v>Art / QA</x:v>
      </x:c>
      <x:c r="K306" s="79" t="str">
        <x:v>https://github.com/darknigthmare/yautja-la-longue-chasse/pull/42</x:v>
      </x:c>
      <x:c r="L306" s="79" t="n">
        <x:v>25</x:v>
      </x:c>
    </x:row>
    <x:row r="307" ht="35" customHeight="1">
      <x:c r="A307" s="79" t="str">
        <x:v>V136-stone-heart-03</x:v>
      </x:c>
      <x:c r="B307" s="79" t="str">
        <x:v>stone-heart</x:v>
      </x:c>
      <x:c r="C307" s="79" t="str">
        <x:v>Stone Heart · Concrete Jungle</x:v>
      </x:c>
      <x:c r="D307" s="79" t="str">
        <x:v>Textures UV et matériaux</x:v>
      </x:c>
      <x:c r="E307" s="79" t="str">
        <x:v>Matériaux et patine</x:v>
      </x:c>
      <x:c r="F307" s="79" t="str">
        <x:v>OUVERT · textures UV/PNG 1:1 et patine à produire</x:v>
      </x:c>
      <x:c r="G307" s="79" t="str">
        <x:v>P1</x:v>
      </x:c>
      <x:c r="H307" s="79" t="str">
        <x:v>PNG indépendants aux bons détails et reflets</x:v>
      </x:c>
      <x:c r="I307" s="79" t="str">
        <x:v>https://www.avpgalaxy.net/merch/neca/predator/series/</x:v>
      </x:c>
      <x:c r="J307" s="79" t="str">
        <x:v>Art / QA</x:v>
      </x:c>
      <x:c r="K307" s="79" t="str">
        <x:v>https://github.com/darknigthmare/yautja-la-longue-chasse/pull/42</x:v>
      </x:c>
      <x:c r="L307" s="79" t="n">
        <x:v>0</x:v>
      </x:c>
    </x:row>
    <x:row r="308" ht="35" customHeight="1">
      <x:c r="A308" s="79" t="str">
        <x:v>V136-stone-heart-04</x:v>
      </x:c>
      <x:c r="B308" s="79" t="str">
        <x:v>stone-heart</x:v>
      </x:c>
      <x:c r="C308" s="79" t="str">
        <x:v>Stone Heart · Concrete Jungle</x:v>
      </x:c>
      <x:c r="D308" s="79" t="str">
        <x:v>Charnière et animations</x:v>
      </x:c>
      <x:c r="E308" s="79" t="str">
        <x:v>Ouverture, gestes, pivot</x:v>
      </x:c>
      <x:c r="F308" s="79" t="str">
        <x:v>PARTIEL · capot CSS ; 3 gestes / rig 1:1 manquants</x:v>
      </x:c>
      <x:c r="G308" s="79" t="str">
        <x:v>P1</x:v>
      </x:c>
      <x:c r="H308" s="79" t="str">
        <x:v>Cohérence rig / armurerie / hologramme</x:v>
      </x:c>
      <x:c r="I308" s="79" t="str">
        <x:v>https://www.avpgalaxy.net/merch/neca/predator/series/</x:v>
      </x:c>
      <x:c r="J308" s="79" t="str">
        <x:v>Art / QA</x:v>
      </x:c>
      <x:c r="K308" s="79" t="str">
        <x:v>https://github.com/darknigthmare/yautja-la-longue-chasse/pull/42</x:v>
      </x:c>
      <x:c r="L308" s="79" t="n">
        <x:v>25</x:v>
      </x:c>
    </x:row>
    <x:row r="309" ht="35" customHeight="1">
      <x:c r="A309" s="79" t="str">
        <x:v>V136-stone-heart-05</x:v>
      </x:c>
      <x:c r="B309" s="79" t="str">
        <x:v>stone-heart</x:v>
      </x:c>
      <x:c r="C309" s="79" t="str">
        <x:v>Stone Heart · Concrete Jungle</x:v>
      </x:c>
      <x:c r="D309" s="79" t="str">
        <x:v>Rendu jeu et contrôle</x:v>
      </x:c>
      <x:c r="E309" s="79" t="str">
        <x:v>Clavier, tactile, mobile, SFX</x:v>
      </x:c>
      <x:c r="F309" s="79" t="str">
        <x:v>PARTIEL · rendu React + QA autonome, jeu complet à tester</x:v>
      </x:c>
      <x:c r="G309" s="79" t="str">
        <x:v>P1</x:v>
      </x:c>
      <x:c r="H309" s="79" t="str">
        <x:v>Comparaison toutes vues et modes</x:v>
      </x:c>
      <x:c r="I309" s="79" t="str">
        <x:v>https://www.avpgalaxy.net/merch/neca/predator/series/</x:v>
      </x:c>
      <x:c r="J309" s="79" t="str">
        <x:v>Art / QA</x:v>
      </x:c>
      <x:c r="K309" s="79" t="str">
        <x:v>https://github.com/darknigthmare/yautja-la-longue-chasse/pull/42</x:v>
      </x:c>
      <x:c r="L309" s="79" t="n">
        <x:v>45</x:v>
      </x:c>
    </x:row>
    <x:row r="310" ht="35" customHeight="1">
      <x:c r="A310" s="79" t="str">
        <x:v>V136-stone-heart-06</x:v>
      </x:c>
      <x:c r="B310" s="79" t="str">
        <x:v>stone-heart</x:v>
      </x:c>
      <x:c r="C310" s="79" t="str">
        <x:v>Stone Heart · Concrete Jungle</x:v>
      </x:c>
      <x:c r="D310" s="79" t="str">
        <x:v>Revue artistique et droits</x:v>
      </x:c>
      <x:c r="E310" s="79" t="str">
        <x:v>Validation finale 1:1</x:v>
      </x:c>
      <x:c r="F310" s="79" t="str">
        <x:v>OUVERT · revue humaine et autorisation IP nécessaires</x:v>
      </x:c>
      <x:c r="G310" s="79" t="str">
        <x:v>P1</x:v>
      </x:c>
      <x:c r="H310" s="79" t="str">
        <x:v>Ne jamais certifier sans approbation manuelle</x:v>
      </x:c>
      <x:c r="I310" s="79" t="str">
        <x:v>https://www.avpgalaxy.net/merch/neca/predator/series/</x:v>
      </x:c>
      <x:c r="J310" s="79" t="str">
        <x:v>Art / QA</x:v>
      </x:c>
      <x:c r="K310" s="79" t="str">
        <x:v>https://github.com/darknigthmare/yautja-la-longue-chasse/pull/42</x:v>
      </x:c>
      <x:c r="L310" s="79" t="n">
        <x:v>0</x:v>
      </x:c>
    </x:row>
    <x:row r="311" ht="35" customHeight="1">
      <x:c r="A311" s="79" t="str">
        <x:v>V136-ahab-01</x:v>
      </x:c>
      <x:c r="B311" s="79" t="str">
        <x:v>ahab</x:v>
      </x:c>
      <x:c r="C311" s="79" t="str">
        <x:v>Ahab · comics / NECA</x:v>
      </x:c>
      <x:c r="D311" s="79" t="str">
        <x:v>Plan face/dessus/profil</x:v>
      </x:c>
      <x:c r="E311" s="79" t="str">
        <x:v>Preuve photogramme vérifiée</x:v>
      </x:c>
      <x:c r="F311" s="79" t="str">
        <x:v>OUVERT · plusieurs vues source film/jeu non relevées</x:v>
      </x:c>
      <x:c r="G311" s="79" t="str">
        <x:v>P1</x:v>
      </x:c>
      <x:c r="H311" s="79" t="str">
        <x:v>Photo, prop, capture jeu propre au gauntlet</x:v>
      </x:c>
      <x:c r="I311" s="79" t="str">
        <x:v>https://www.avpgalaxy.net/merch/neca/predator/series/</x:v>
      </x:c>
      <x:c r="J311" s="79" t="str">
        <x:v>Art / QA</x:v>
      </x:c>
      <x:c r="K311" s="79" t="str">
        <x:v>https://github.com/darknigthmare/yautja-la-longue-chasse/pull/42</x:v>
      </x:c>
      <x:c r="L311" s="79" t="n">
        <x:v>0</x:v>
      </x:c>
    </x:row>
    <x:row r="312" ht="35" customHeight="1">
      <x:c r="A312" s="79" t="str">
        <x:v>V136-ahab-02</x:v>
      </x:c>
      <x:c r="B312" s="79" t="str">
        <x:v>ahab</x:v>
      </x:c>
      <x:c r="C312" s="79" t="str">
        <x:v>Ahab · comics / NECA</x:v>
      </x:c>
      <x:c r="D312" s="79" t="str">
        <x:v>Proportions et silhouette</x:v>
      </x:c>
      <x:c r="E312" s="79" t="str">
        <x:v>Remodelage physique</x:v>
      </x:c>
      <x:c r="F312" s="79" t="str">
        <x:v>PARTIEL · silhouette SVG originale, proportions non mesurées</x:v>
      </x:c>
      <x:c r="G312" s="79" t="str">
        <x:v>P1</x:v>
      </x:c>
      <x:c r="H312" s="79" t="str">
        <x:v>Contrôle alignement poignet et pièces</x:v>
      </x:c>
      <x:c r="I312" s="79" t="str">
        <x:v>https://www.avpgalaxy.net/merch/neca/predator/series/</x:v>
      </x:c>
      <x:c r="J312" s="79" t="str">
        <x:v>Art / QA</x:v>
      </x:c>
      <x:c r="K312" s="79" t="str">
        <x:v>https://github.com/darknigthmare/yautja-la-longue-chasse/pull/42</x:v>
      </x:c>
      <x:c r="L312" s="79" t="n">
        <x:v>25</x:v>
      </x:c>
    </x:row>
    <x:row r="313" ht="35" customHeight="1">
      <x:c r="A313" s="79" t="str">
        <x:v>V136-ahab-03</x:v>
      </x:c>
      <x:c r="B313" s="79" t="str">
        <x:v>ahab</x:v>
      </x:c>
      <x:c r="C313" s="79" t="str">
        <x:v>Ahab · comics / NECA</x:v>
      </x:c>
      <x:c r="D313" s="79" t="str">
        <x:v>Textures UV et matériaux</x:v>
      </x:c>
      <x:c r="E313" s="79" t="str">
        <x:v>Matériaux et patine</x:v>
      </x:c>
      <x:c r="F313" s="79" t="str">
        <x:v>OUVERT · textures UV/PNG 1:1 et patine à produire</x:v>
      </x:c>
      <x:c r="G313" s="79" t="str">
        <x:v>P1</x:v>
      </x:c>
      <x:c r="H313" s="79" t="str">
        <x:v>PNG indépendants aux bons détails et reflets</x:v>
      </x:c>
      <x:c r="I313" s="79" t="str">
        <x:v>https://www.avpgalaxy.net/merch/neca/predator/series/</x:v>
      </x:c>
      <x:c r="J313" s="79" t="str">
        <x:v>Art / QA</x:v>
      </x:c>
      <x:c r="K313" s="79" t="str">
        <x:v>https://github.com/darknigthmare/yautja-la-longue-chasse/pull/42</x:v>
      </x:c>
      <x:c r="L313" s="79" t="n">
        <x:v>0</x:v>
      </x:c>
    </x:row>
    <x:row r="314" ht="35" customHeight="1">
      <x:c r="A314" s="79" t="str">
        <x:v>V136-ahab-04</x:v>
      </x:c>
      <x:c r="B314" s="79" t="str">
        <x:v>ahab</x:v>
      </x:c>
      <x:c r="C314" s="79" t="str">
        <x:v>Ahab · comics / NECA</x:v>
      </x:c>
      <x:c r="D314" s="79" t="str">
        <x:v>Charnière et animations</x:v>
      </x:c>
      <x:c r="E314" s="79" t="str">
        <x:v>Ouverture, gestes, pivot</x:v>
      </x:c>
      <x:c r="F314" s="79" t="str">
        <x:v>PARTIEL · capot CSS ; 3 gestes / rig 1:1 manquants</x:v>
      </x:c>
      <x:c r="G314" s="79" t="str">
        <x:v>P1</x:v>
      </x:c>
      <x:c r="H314" s="79" t="str">
        <x:v>Cohérence rig / armurerie / hologramme</x:v>
      </x:c>
      <x:c r="I314" s="79" t="str">
        <x:v>https://www.avpgalaxy.net/merch/neca/predator/series/</x:v>
      </x:c>
      <x:c r="J314" s="79" t="str">
        <x:v>Art / QA</x:v>
      </x:c>
      <x:c r="K314" s="79" t="str">
        <x:v>https://github.com/darknigthmare/yautja-la-longue-chasse/pull/42</x:v>
      </x:c>
      <x:c r="L314" s="79" t="n">
        <x:v>25</x:v>
      </x:c>
    </x:row>
    <x:row r="315" ht="35" customHeight="1">
      <x:c r="A315" s="79" t="str">
        <x:v>V136-ahab-05</x:v>
      </x:c>
      <x:c r="B315" s="79" t="str">
        <x:v>ahab</x:v>
      </x:c>
      <x:c r="C315" s="79" t="str">
        <x:v>Ahab · comics / NECA</x:v>
      </x:c>
      <x:c r="D315" s="79" t="str">
        <x:v>Rendu jeu et contrôle</x:v>
      </x:c>
      <x:c r="E315" s="79" t="str">
        <x:v>Clavier, tactile, mobile, SFX</x:v>
      </x:c>
      <x:c r="F315" s="79" t="str">
        <x:v>PARTIEL · rendu React + QA autonome, jeu complet à tester</x:v>
      </x:c>
      <x:c r="G315" s="79" t="str">
        <x:v>P1</x:v>
      </x:c>
      <x:c r="H315" s="79" t="str">
        <x:v>Comparaison toutes vues et modes</x:v>
      </x:c>
      <x:c r="I315" s="79" t="str">
        <x:v>https://www.avpgalaxy.net/merch/neca/predator/series/</x:v>
      </x:c>
      <x:c r="J315" s="79" t="str">
        <x:v>Art / QA</x:v>
      </x:c>
      <x:c r="K315" s="79" t="str">
        <x:v>https://github.com/darknigthmare/yautja-la-longue-chasse/pull/42</x:v>
      </x:c>
      <x:c r="L315" s="79" t="n">
        <x:v>45</x:v>
      </x:c>
    </x:row>
    <x:row r="316" ht="35" customHeight="1">
      <x:c r="A316" s="79" t="str">
        <x:v>V136-ahab-06</x:v>
      </x:c>
      <x:c r="B316" s="79" t="str">
        <x:v>ahab</x:v>
      </x:c>
      <x:c r="C316" s="79" t="str">
        <x:v>Ahab · comics / NECA</x:v>
      </x:c>
      <x:c r="D316" s="79" t="str">
        <x:v>Revue artistique et droits</x:v>
      </x:c>
      <x:c r="E316" s="79" t="str">
        <x:v>Validation finale 1:1</x:v>
      </x:c>
      <x:c r="F316" s="79" t="str">
        <x:v>OUVERT · revue humaine et autorisation IP nécessaires</x:v>
      </x:c>
      <x:c r="G316" s="79" t="str">
        <x:v>P1</x:v>
      </x:c>
      <x:c r="H316" s="79" t="str">
        <x:v>Ne jamais certifier sans approbation manuelle</x:v>
      </x:c>
      <x:c r="I316" s="79" t="str">
        <x:v>https://www.avpgalaxy.net/merch/neca/predator/series/</x:v>
      </x:c>
      <x:c r="J316" s="79" t="str">
        <x:v>Art / QA</x:v>
      </x:c>
      <x:c r="K316" s="79" t="str">
        <x:v>https://github.com/darknigthmare/yautja-la-longue-chasse/pull/42</x:v>
      </x:c>
      <x:c r="L316" s="79" t="n">
        <x:v>0</x:v>
      </x:c>
    </x:row>
    <x:row r="317" ht="35" customHeight="1">
      <x:c r="A317" s="79" t="str">
        <x:v>V136-dark-2010-01</x:v>
      </x:c>
      <x:c r="B317" s="79" t="str">
        <x:v>dark-2010</x:v>
      </x:c>
      <x:c r="C317" s="79" t="str">
        <x:v>Dark · Aliens vs Predator (2010)</x:v>
      </x:c>
      <x:c r="D317" s="79" t="str">
        <x:v>Plan face/dessus/profil</x:v>
      </x:c>
      <x:c r="E317" s="79" t="str">
        <x:v>Preuve photogramme vérifiée</x:v>
      </x:c>
      <x:c r="F317" s="79" t="str">
        <x:v>OUVERT · plusieurs vues source film/jeu non relevées</x:v>
      </x:c>
      <x:c r="G317" s="79" t="str">
        <x:v>P1</x:v>
      </x:c>
      <x:c r="H317" s="79" t="str">
        <x:v>Photo, prop, capture jeu propre au gauntlet</x:v>
      </x:c>
      <x:c r="I317" s="79" t="str">
        <x:v>https://www.avpgalaxy.net/merch/neca/predator/series/</x:v>
      </x:c>
      <x:c r="J317" s="79" t="str">
        <x:v>Art / QA</x:v>
      </x:c>
      <x:c r="K317" s="79" t="str">
        <x:v>https://github.com/darknigthmare/yautja-la-longue-chasse/pull/42</x:v>
      </x:c>
      <x:c r="L317" s="79" t="n">
        <x:v>0</x:v>
      </x:c>
    </x:row>
    <x:row r="318" ht="35" customHeight="1">
      <x:c r="A318" s="79" t="str">
        <x:v>V136-dark-2010-02</x:v>
      </x:c>
      <x:c r="B318" s="79" t="str">
        <x:v>dark-2010</x:v>
      </x:c>
      <x:c r="C318" s="79" t="str">
        <x:v>Dark · Aliens vs Predator (2010)</x:v>
      </x:c>
      <x:c r="D318" s="79" t="str">
        <x:v>Proportions et silhouette</x:v>
      </x:c>
      <x:c r="E318" s="79" t="str">
        <x:v>Remodelage physique</x:v>
      </x:c>
      <x:c r="F318" s="79" t="str">
        <x:v>PARTIEL · silhouette SVG originale, proportions non mesurées</x:v>
      </x:c>
      <x:c r="G318" s="79" t="str">
        <x:v>P1</x:v>
      </x:c>
      <x:c r="H318" s="79" t="str">
        <x:v>Contrôle alignement poignet et pièces</x:v>
      </x:c>
      <x:c r="I318" s="79" t="str">
        <x:v>https://www.avpgalaxy.net/merch/neca/predator/series/</x:v>
      </x:c>
      <x:c r="J318" s="79" t="str">
        <x:v>Art / QA</x:v>
      </x:c>
      <x:c r="K318" s="79" t="str">
        <x:v>https://github.com/darknigthmare/yautja-la-longue-chasse/pull/42</x:v>
      </x:c>
      <x:c r="L318" s="79" t="n">
        <x:v>25</x:v>
      </x:c>
    </x:row>
    <x:row r="319" ht="35" customHeight="1">
      <x:c r="A319" s="79" t="str">
        <x:v>V136-dark-2010-03</x:v>
      </x:c>
      <x:c r="B319" s="79" t="str">
        <x:v>dark-2010</x:v>
      </x:c>
      <x:c r="C319" s="79" t="str">
        <x:v>Dark · Aliens vs Predator (2010)</x:v>
      </x:c>
      <x:c r="D319" s="79" t="str">
        <x:v>Textures UV et matériaux</x:v>
      </x:c>
      <x:c r="E319" s="79" t="str">
        <x:v>Matériaux et patine</x:v>
      </x:c>
      <x:c r="F319" s="79" t="str">
        <x:v>OUVERT · textures UV/PNG 1:1 et patine à produire</x:v>
      </x:c>
      <x:c r="G319" s="79" t="str">
        <x:v>P1</x:v>
      </x:c>
      <x:c r="H319" s="79" t="str">
        <x:v>PNG indépendants aux bons détails et reflets</x:v>
      </x:c>
      <x:c r="I319" s="79" t="str">
        <x:v>https://www.avpgalaxy.net/merch/neca/predator/series/</x:v>
      </x:c>
      <x:c r="J319" s="79" t="str">
        <x:v>Art / QA</x:v>
      </x:c>
      <x:c r="K319" s="79" t="str">
        <x:v>https://github.com/darknigthmare/yautja-la-longue-chasse/pull/42</x:v>
      </x:c>
      <x:c r="L319" s="79" t="n">
        <x:v>0</x:v>
      </x:c>
    </x:row>
    <x:row r="320" ht="35" customHeight="1">
      <x:c r="A320" s="79" t="str">
        <x:v>V136-dark-2010-04</x:v>
      </x:c>
      <x:c r="B320" s="79" t="str">
        <x:v>dark-2010</x:v>
      </x:c>
      <x:c r="C320" s="79" t="str">
        <x:v>Dark · Aliens vs Predator (2010)</x:v>
      </x:c>
      <x:c r="D320" s="79" t="str">
        <x:v>Charnière et animations</x:v>
      </x:c>
      <x:c r="E320" s="79" t="str">
        <x:v>Ouverture, gestes, pivot</x:v>
      </x:c>
      <x:c r="F320" s="79" t="str">
        <x:v>PARTIEL · capot CSS ; 3 gestes / rig 1:1 manquants</x:v>
      </x:c>
      <x:c r="G320" s="79" t="str">
        <x:v>P1</x:v>
      </x:c>
      <x:c r="H320" s="79" t="str">
        <x:v>Cohérence rig / armurerie / hologramme</x:v>
      </x:c>
      <x:c r="I320" s="79" t="str">
        <x:v>https://www.avpgalaxy.net/merch/neca/predator/series/</x:v>
      </x:c>
      <x:c r="J320" s="79" t="str">
        <x:v>Art / QA</x:v>
      </x:c>
      <x:c r="K320" s="79" t="str">
        <x:v>https://github.com/darknigthmare/yautja-la-longue-chasse/pull/42</x:v>
      </x:c>
      <x:c r="L320" s="79" t="n">
        <x:v>25</x:v>
      </x:c>
    </x:row>
    <x:row r="321" ht="35" customHeight="1">
      <x:c r="A321" s="79" t="str">
        <x:v>V136-dark-2010-05</x:v>
      </x:c>
      <x:c r="B321" s="79" t="str">
        <x:v>dark-2010</x:v>
      </x:c>
      <x:c r="C321" s="79" t="str">
        <x:v>Dark · Aliens vs Predator (2010)</x:v>
      </x:c>
      <x:c r="D321" s="79" t="str">
        <x:v>Rendu jeu et contrôle</x:v>
      </x:c>
      <x:c r="E321" s="79" t="str">
        <x:v>Clavier, tactile, mobile, SFX</x:v>
      </x:c>
      <x:c r="F321" s="79" t="str">
        <x:v>PARTIEL · rendu React + QA autonome, jeu complet à tester</x:v>
      </x:c>
      <x:c r="G321" s="79" t="str">
        <x:v>P1</x:v>
      </x:c>
      <x:c r="H321" s="79" t="str">
        <x:v>Comparaison toutes vues et modes</x:v>
      </x:c>
      <x:c r="I321" s="79" t="str">
        <x:v>https://www.avpgalaxy.net/merch/neca/predator/series/</x:v>
      </x:c>
      <x:c r="J321" s="79" t="str">
        <x:v>Art / QA</x:v>
      </x:c>
      <x:c r="K321" s="79" t="str">
        <x:v>https://github.com/darknigthmare/yautja-la-longue-chasse/pull/42</x:v>
      </x:c>
      <x:c r="L321" s="79" t="n">
        <x:v>45</x:v>
      </x:c>
    </x:row>
    <x:row r="322" ht="35" customHeight="1">
      <x:c r="A322" s="79" t="str">
        <x:v>V136-dark-2010-06</x:v>
      </x:c>
      <x:c r="B322" s="79" t="str">
        <x:v>dark-2010</x:v>
      </x:c>
      <x:c r="C322" s="79" t="str">
        <x:v>Dark · Aliens vs Predator (2010)</x:v>
      </x:c>
      <x:c r="D322" s="79" t="str">
        <x:v>Revue artistique et droits</x:v>
      </x:c>
      <x:c r="E322" s="79" t="str">
        <x:v>Validation finale 1:1</x:v>
      </x:c>
      <x:c r="F322" s="79" t="str">
        <x:v>OUVERT · revue humaine et autorisation IP nécessaires</x:v>
      </x:c>
      <x:c r="G322" s="79" t="str">
        <x:v>P1</x:v>
      </x:c>
      <x:c r="H322" s="79" t="str">
        <x:v>Ne jamais certifier sans approbation manuelle</x:v>
      </x:c>
      <x:c r="I322" s="79" t="str">
        <x:v>https://www.avpgalaxy.net/merch/neca/predator/series/</x:v>
      </x:c>
      <x:c r="J322" s="79" t="str">
        <x:v>Art / QA</x:v>
      </x:c>
      <x:c r="K322" s="79" t="str">
        <x:v>https://github.com/darknigthmare/yautja-la-longue-chasse/pull/42</x:v>
      </x:c>
      <x:c r="L322" s="79" t="n">
        <x:v>0</x:v>
      </x:c>
    </x:row>
    <x:row r="323" ht="35" customHeight="1">
      <x:c r="A323" s="79" t="str">
        <x:v>V136-phg-captured-01</x:v>
      </x:c>
      <x:c r="B323" s="79" t="str">
        <x:v>phg-captured</x:v>
      </x:c>
      <x:c r="C323" s="79" t="str">
        <x:v>Captured · PHG</x:v>
      </x:c>
      <x:c r="D323" s="79" t="str">
        <x:v>Plan face/dessus/profil</x:v>
      </x:c>
      <x:c r="E323" s="79" t="str">
        <x:v>Preuve photogramme vérifiée</x:v>
      </x:c>
      <x:c r="F323" s="79" t="str">
        <x:v>OUVERT · plusieurs vues source film/jeu non relevées</x:v>
      </x:c>
      <x:c r="G323" s="79" t="str">
        <x:v>P1</x:v>
      </x:c>
      <x:c r="H323" s="79" t="str">
        <x:v>Photo, prop, capture jeu propre au gauntlet</x:v>
      </x:c>
      <x:c r="I323" s="79" t="str">
        <x:v>https://predator.illfonic.com/</x:v>
      </x:c>
      <x:c r="J323" s="79" t="str">
        <x:v>Art / QA</x:v>
      </x:c>
      <x:c r="K323" s="79" t="str">
        <x:v>https://github.com/darknigthmare/yautja-la-longue-chasse/pull/42</x:v>
      </x:c>
      <x:c r="L323" s="79" t="n">
        <x:v>0</x:v>
      </x:c>
    </x:row>
    <x:row r="324" ht="35" customHeight="1">
      <x:c r="A324" s="79" t="str">
        <x:v>V136-phg-captured-02</x:v>
      </x:c>
      <x:c r="B324" s="79" t="str">
        <x:v>phg-captured</x:v>
      </x:c>
      <x:c r="C324" s="79" t="str">
        <x:v>Captured · PHG</x:v>
      </x:c>
      <x:c r="D324" s="79" t="str">
        <x:v>Proportions et silhouette</x:v>
      </x:c>
      <x:c r="E324" s="79" t="str">
        <x:v>Remodelage physique</x:v>
      </x:c>
      <x:c r="F324" s="79" t="str">
        <x:v>PARTIEL · silhouette SVG originale, proportions non mesurées</x:v>
      </x:c>
      <x:c r="G324" s="79" t="str">
        <x:v>P1</x:v>
      </x:c>
      <x:c r="H324" s="79" t="str">
        <x:v>Contrôle alignement poignet et pièces</x:v>
      </x:c>
      <x:c r="I324" s="79" t="str">
        <x:v>https://predator.illfonic.com/</x:v>
      </x:c>
      <x:c r="J324" s="79" t="str">
        <x:v>Art / QA</x:v>
      </x:c>
      <x:c r="K324" s="79" t="str">
        <x:v>https://github.com/darknigthmare/yautja-la-longue-chasse/pull/42</x:v>
      </x:c>
      <x:c r="L324" s="79" t="n">
        <x:v>25</x:v>
      </x:c>
    </x:row>
    <x:row r="325" ht="35" customHeight="1">
      <x:c r="A325" s="79" t="str">
        <x:v>V136-phg-captured-03</x:v>
      </x:c>
      <x:c r="B325" s="79" t="str">
        <x:v>phg-captured</x:v>
      </x:c>
      <x:c r="C325" s="79" t="str">
        <x:v>Captured · PHG</x:v>
      </x:c>
      <x:c r="D325" s="79" t="str">
        <x:v>Textures UV et matériaux</x:v>
      </x:c>
      <x:c r="E325" s="79" t="str">
        <x:v>Matériaux et patine</x:v>
      </x:c>
      <x:c r="F325" s="79" t="str">
        <x:v>OUVERT · textures UV/PNG 1:1 et patine à produire</x:v>
      </x:c>
      <x:c r="G325" s="79" t="str">
        <x:v>P1</x:v>
      </x:c>
      <x:c r="H325" s="79" t="str">
        <x:v>PNG indépendants aux bons détails et reflets</x:v>
      </x:c>
      <x:c r="I325" s="79" t="str">
        <x:v>https://predator.illfonic.com/</x:v>
      </x:c>
      <x:c r="J325" s="79" t="str">
        <x:v>Art / QA</x:v>
      </x:c>
      <x:c r="K325" s="79" t="str">
        <x:v>https://github.com/darknigthmare/yautja-la-longue-chasse/pull/42</x:v>
      </x:c>
      <x:c r="L325" s="79" t="n">
        <x:v>0</x:v>
      </x:c>
    </x:row>
    <x:row r="326" ht="35" customHeight="1">
      <x:c r="A326" s="79" t="str">
        <x:v>V136-phg-captured-04</x:v>
      </x:c>
      <x:c r="B326" s="79" t="str">
        <x:v>phg-captured</x:v>
      </x:c>
      <x:c r="C326" s="79" t="str">
        <x:v>Captured · PHG</x:v>
      </x:c>
      <x:c r="D326" s="79" t="str">
        <x:v>Charnière et animations</x:v>
      </x:c>
      <x:c r="E326" s="79" t="str">
        <x:v>Ouverture, gestes, pivot</x:v>
      </x:c>
      <x:c r="F326" s="79" t="str">
        <x:v>PARTIEL · capot CSS ; 3 gestes / rig 1:1 manquants</x:v>
      </x:c>
      <x:c r="G326" s="79" t="str">
        <x:v>P1</x:v>
      </x:c>
      <x:c r="H326" s="79" t="str">
        <x:v>Cohérence rig / armurerie / hologramme</x:v>
      </x:c>
      <x:c r="I326" s="79" t="str">
        <x:v>https://predator.illfonic.com/</x:v>
      </x:c>
      <x:c r="J326" s="79" t="str">
        <x:v>Art / QA</x:v>
      </x:c>
      <x:c r="K326" s="79" t="str">
        <x:v>https://github.com/darknigthmare/yautja-la-longue-chasse/pull/42</x:v>
      </x:c>
      <x:c r="L326" s="79" t="n">
        <x:v>25</x:v>
      </x:c>
    </x:row>
    <x:row r="327" ht="35" customHeight="1">
      <x:c r="A327" s="79" t="str">
        <x:v>V136-phg-captured-05</x:v>
      </x:c>
      <x:c r="B327" s="79" t="str">
        <x:v>phg-captured</x:v>
      </x:c>
      <x:c r="C327" s="79" t="str">
        <x:v>Captured · PHG</x:v>
      </x:c>
      <x:c r="D327" s="79" t="str">
        <x:v>Rendu jeu et contrôle</x:v>
      </x:c>
      <x:c r="E327" s="79" t="str">
        <x:v>Clavier, tactile, mobile, SFX</x:v>
      </x:c>
      <x:c r="F327" s="79" t="str">
        <x:v>PARTIEL · rendu React + QA autonome, jeu complet à tester</x:v>
      </x:c>
      <x:c r="G327" s="79" t="str">
        <x:v>P1</x:v>
      </x:c>
      <x:c r="H327" s="79" t="str">
        <x:v>Comparaison toutes vues et modes</x:v>
      </x:c>
      <x:c r="I327" s="79" t="str">
        <x:v>https://predator.illfonic.com/</x:v>
      </x:c>
      <x:c r="J327" s="79" t="str">
        <x:v>Art / QA</x:v>
      </x:c>
      <x:c r="K327" s="79" t="str">
        <x:v>https://github.com/darknigthmare/yautja-la-longue-chasse/pull/42</x:v>
      </x:c>
      <x:c r="L327" s="79" t="n">
        <x:v>45</x:v>
      </x:c>
    </x:row>
    <x:row r="328" ht="35" customHeight="1">
      <x:c r="A328" s="79" t="str">
        <x:v>V136-phg-captured-06</x:v>
      </x:c>
      <x:c r="B328" s="79" t="str">
        <x:v>phg-captured</x:v>
      </x:c>
      <x:c r="C328" s="79" t="str">
        <x:v>Captured · PHG</x:v>
      </x:c>
      <x:c r="D328" s="79" t="str">
        <x:v>Revue artistique et droits</x:v>
      </x:c>
      <x:c r="E328" s="79" t="str">
        <x:v>Validation finale 1:1</x:v>
      </x:c>
      <x:c r="F328" s="79" t="str">
        <x:v>OUVERT · revue humaine et autorisation IP nécessaires</x:v>
      </x:c>
      <x:c r="G328" s="79" t="str">
        <x:v>P1</x:v>
      </x:c>
      <x:c r="H328" s="79" t="str">
        <x:v>Ne jamais certifier sans approbation manuelle</x:v>
      </x:c>
      <x:c r="I328" s="79" t="str">
        <x:v>https://predator.illfonic.com/</x:v>
      </x:c>
      <x:c r="J328" s="79" t="str">
        <x:v>Art / QA</x:v>
      </x:c>
      <x:c r="K328" s="79" t="str">
        <x:v>https://github.com/darknigthmare/yautja-la-longue-chasse/pull/42</x:v>
      </x:c>
      <x:c r="L328" s="79" t="n">
        <x:v>0</x:v>
      </x:c>
    </x:row>
  </x:sheetData>
  <x:mergeCells>
    <x:mergeCell ref="A1:L1"/>
    <x:mergeCell ref="A2:L2"/>
  </x:mergeCells>
  <x:dataValidations count="2">
    <x:dataValidation type="list" sqref="F5:F328">
      <x:formula1>"À produire,En cours,À revoir,Validé avec preuve,Bloqué référence"</x:formula1>
    </x:dataValidation>
    <x:dataValidation type="list" sqref="G5:G328">
      <x:formula1>"P0,P1,P2"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53" hidden="0" customWidth="1"/>
    <x:col min="4" max="4" width="87" hidden="0" customWidth="1"/>
    <x:col min="5" max="5" width="78" hidden="0" customWidth="1"/>
    <x:col min="6" max="6" width="31" hidden="0" customWidth="1"/>
    <x:col min="7" max="7" width="15" hidden="0" customWidth="1"/>
  </x:cols>
  <x:sheetData>
    <x:row r="1" ht="39" customHeight="1">
      <x:c r="A1" s="70" t="str">
        <x:v>V136 · PREUVES ET LIMITES DES SOURCES</x:v>
      </x:c>
      <x:c r="B1" s="70"/>
      <x:c r="C1" s="70"/>
      <x:c r="D1" s="70"/>
      <x:c r="E1" s="70"/>
      <x:c r="F1" s="70"/>
      <x:c r="G1" s="70"/>
    </x:row>
    <x:row r="2" ht="38" customHeight="1">
      <x:c r="A2" s="74" t="str">
        <x:v>Le même nom de personnage dans un film ou un DLC ne prouve pas qu'un gauntlet particulier est identique à l'accessoire montré dans une figurine.</x:v>
      </x:c>
      <x:c r="B2" s="74"/>
      <x:c r="C2" s="74"/>
      <x:c r="D2" s="74"/>
      <x:c r="E2" s="74"/>
      <x:c r="F2" s="74"/>
      <x:c r="G2" s="74"/>
    </x:row>
    <x:row r="4" ht="32" customHeight="1">
      <x:c r="A4" s="78" t="str">
        <x:v>Modèle</x:v>
      </x:c>
      <x:c r="B4" s="78" t="str">
        <x:v>Œuvre</x:v>
      </x:c>
      <x:c r="C4" s="78" t="str">
        <x:v>Fait étayé</x:v>
      </x:c>
      <x:c r="D4" s="78" t="str">
        <x:v>URL vérifiable</x:v>
      </x:c>
      <x:c r="E4" s="78" t="str">
        <x:v>Précaution</x:v>
      </x:c>
      <x:c r="F4" s="78" t="str">
        <x:v>Niveau de source</x:v>
      </x:c>
      <x:c r="G4" s="78" t="str">
        <x:v>Priorité</x:v>
      </x:c>
    </x:row>
    <x:row r="5" ht="35" customHeight="1">
      <x:c r="A5" s="79" t="str">
        <x:v>Jungle Hunter</x:v>
      </x:c>
      <x:c r="B5" s="79" t="str">
        <x:v>Predator 1987</x:v>
      </x:c>
      <x:c r="C5" s="79" t="str">
        <x:v>Image de l'écran aux cinq zones rouges</x:v>
      </x:c>
      <x:c r="D5" s="79" t="str">
        <x:v>https://www.avpcentral.com/images/predator-technology/predator-wrist-gauntlet.jpg</x:v>
      </x:c>
      <x:c r="E5" s="79" t="str">
        <x:v>Plan à vérifier au Blu-ray du film</x:v>
      </x:c>
      <x:c r="F5" s="79" t="str">
        <x:v>Oui : costume, non cotes certifiées</x:v>
      </x:c>
      <x:c r="G5" s="79" t="str">
        <x:v>P0</x:v>
      </x:c>
    </x:row>
    <x:row r="6" ht="35" customHeight="1">
      <x:c r="A6" s="79" t="str">
        <x:v>City Hunter</x:v>
      </x:c>
      <x:c r="B6" s="79" t="str">
        <x:v>Predator 2 1990</x:v>
      </x:c>
      <x:c r="C6" s="79" t="str">
        <x:v>Vrai accessoire de cascade, gaucher, coque cuivrée</x:v>
      </x:c>
      <x:c r="D6" s="79" t="str">
        <x:v>https://propstoreauction.com/lot-details/index/catalog/496/lot/193088/</x:v>
      </x:c>
      <x:c r="E6" s="79" t="str">
        <x:v>Accessoire statique, ne pas inférer nombre de fenêtres LED</x:v>
      </x:c>
      <x:c r="F6" s="79" t="str">
        <x:v>Source accessoire original</x:v>
      </x:c>
      <x:c r="G6" s="79" t="str">
        <x:v>P0</x:v>
      </x:c>
    </x:row>
    <x:row r="7" ht="35" customHeight="1">
      <x:c r="A7" s="79" t="str">
        <x:v>Wolf</x:v>
      </x:c>
      <x:c r="B7" s="79" t="str">
        <x:v>AVP-R 2007</x:v>
      </x:c>
      <x:c r="C7" s="79" t="str">
        <x:v>ADI, gant gauche à inscriptions lumineuses / droit à lames</x:v>
      </x:c>
      <x:c r="D7" s="79" t="str">
        <x:v>https://propstoreauction.com/lot-details/index/catalog/347/lot/112704</x:v>
      </x:c>
      <x:c r="E7" s="79" t="str">
        <x:v>Nombre et glyphes du panneau V135 non confirmés</x:v>
      </x:c>
      <x:c r="F7" s="79" t="str">
        <x:v>Vrai costume de production</x:v>
      </x:c>
      <x:c r="G7" s="79" t="str">
        <x:v>P0</x:v>
      </x:c>
    </x:row>
    <x:row r="8" ht="35" customHeight="1">
      <x:c r="A8" s="79" t="str">
        <x:v>Feral</x:v>
      </x:c>
      <x:c r="B8" s="79" t="str">
        <x:v>Prey 2022</x:v>
      </x:c>
      <x:c r="C8" s="79" t="str">
        <x:v>Spot montrant le gauntlet et gadgets</x:v>
      </x:c>
      <x:c r="D8" s="79" t="str">
        <x:v>https://www.avpgalaxy.net/2022/07/31/new-prey-tv-spot-shows-feral-predators-cloak-vision-modes-and-gadgets/</x:v>
      </x:c>
      <x:c r="E8" s="79" t="str">
        <x:v>La copie du design du poignet reste à établir</x:v>
      </x:c>
      <x:c r="F8" s="79" t="str">
        <x:v>Spot promotionnel</x:v>
      </x:c>
      <x:c r="G8" s="79" t="str">
        <x:v>P0</x:v>
      </x:c>
    </x:row>
    <x:row r="9" ht="35" customHeight="1">
      <x:c r="A9" s="79" t="str">
        <x:v>Dek</x:v>
      </x:c>
      <x:c r="B9" s="79" t="str">
        <x:v>Predator Badlands 2025</x:v>
      </x:c>
      <x:c r="C9" s="79" t="str">
        <x:v>Wētā travaille sur conception et fabrication des armes</x:v>
      </x:c>
      <x:c r="D9" s="79" t="str">
        <x:v>https://www.wetaworkshop.com/projects/predator-badlands</x:v>
      </x:c>
      <x:c r="E9" s="79" t="str">
        <x:v>Scanner circulaire V135 NON vérifié en source</x:v>
      </x:c>
      <x:c r="F9" s="79" t="str">
        <x:v>Source fabricant générale</x:v>
      </x:c>
      <x:c r="G9" s="79" t="str">
        <x:v>P0</x:v>
      </x:c>
    </x:row>
    <x:row r="10" ht="35" customHeight="1">
      <x:c r="A10" s="79" t="str">
        <x:v>Règle 49</x:v>
      </x:c>
      <x:c r="B10" s="79" t="str">
        <x:v>Personnages films / jeux / comics</x:v>
      </x:c>
      <x:c r="C10" s="79" t="str">
        <x:v>Absence de plans spécifiques vérifiés</x:v>
      </x:c>
      <x:c r="D10" s="79" t="str">
        <x:v>https://www.avpgalaxy.net/</x:v>
      </x:c>
      <x:c r="E10" s="79" t="str">
        <x:v>Concepts originaux, ne pas présenter comme canon</x:v>
      </x:c>
      <x:c r="F10" s="79" t="str">
        <x:v>Statut original</x:v>
      </x:c>
      <x:c r="G10" s="79" t="str">
        <x:v>P0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76" hidden="0" customWidth="1"/>
    <x:col min="3" max="3" width="34" hidden="0" customWidth="1"/>
    <x:col min="4" max="4" width="38" hidden="0" customWidth="1"/>
    <x:col min="5" max="5" width="14" hidden="0" customWidth="1"/>
  </x:cols>
  <x:sheetData>
    <x:row r="1" ht="39" customHeight="1">
      <x:c r="A1" s="70" t="str">
        <x:v>V136 · QUALITÉ DE LA SAUVEGARDE, DE L'ART ET DU RUNTIME</x:v>
      </x:c>
      <x:c r="B1" s="70"/>
      <x:c r="C1" s="70"/>
      <x:c r="D1" s="70"/>
      <x:c r="E1" s="70"/>
    </x:row>
    <x:row r="2" ht="38" customHeight="1">
      <x:c r="A2" s="74" t="str">
        <x:v>Le statut « code en CI » signifie qu'un job doit encore être vérifié sur le commit correspondant ; une revue artistique ne peut pas être automatisée.</x:v>
      </x:c>
      <x:c r="B2" s="74"/>
      <x:c r="C2" s="74"/>
      <x:c r="D2" s="74"/>
      <x:c r="E2" s="74"/>
    </x:row>
    <x:row r="4" ht="32" customHeight="1">
      <x:c r="A4" s="78" t="str">
        <x:v>Cas</x:v>
      </x:c>
      <x:c r="B4" s="78" t="str">
        <x:v>Scénario</x:v>
      </x:c>
      <x:c r="C4" s="78" t="str">
        <x:v>Preuve technique</x:v>
      </x:c>
      <x:c r="D4" s="78" t="str">
        <x:v>État / action</x:v>
      </x:c>
      <x:c r="E4" s="78" t="str">
        <x:v>Priorité</x:v>
      </x:c>
    </x:row>
    <x:row r="5" ht="35" customHeight="1">
      <x:c r="A5" s="79" t="str">
        <x:v>Q136-01</x:v>
      </x:c>
      <x:c r="B5" s="79" t="str">
        <x:v>Champs V13 de progression déclarés dans persistSocialProgress</x:v>
      </x:c>
      <x:c r="C5" s="79" t="str">
        <x:v>TS plein</x:v>
      </x:c>
      <x:c r="D5" s="79" t="str">
        <x:v>Tests Node/CI ou source PASS ; conditions manuelles restantes</x:v>
      </x:c>
      <x:c r="E5" s="79" t="str">
        <x:v>P0</x:v>
      </x:c>
    </x:row>
    <x:row r="6" ht="35" customHeight="1">
      <x:c r="A6" s="79" t="str">
        <x:v>Q136-02</x:v>
      </x:c>
      <x:c r="B6" s="79" t="str">
        <x:v>Empreinte de réconciliation inclut gauntletV134</x:v>
      </x:c>
      <x:c r="C6" s="79" t="str">
        <x:v>TS source</x:v>
      </x:c>
      <x:c r="D6" s="79" t="str">
        <x:v>Tests Node/CI ou source PASS ; conditions manuelles restantes</x:v>
      </x:c>
      <x:c r="E6" s="79" t="str">
        <x:v>P0</x:v>
      </x:c>
    </x:row>
    <x:row r="7" ht="35" customHeight="1">
      <x:c r="A7" s="79" t="str">
        <x:v>Q136-03</x:v>
      </x:c>
      <x:c r="B7" s="79" t="str">
        <x:v>Guard typé pour les 6 identifiants RTS légitimes</x:v>
      </x:c>
      <x:c r="C7" s="79" t="str">
        <x:v>TS plein</x:v>
      </x:c>
      <x:c r="D7" s="79" t="str">
        <x:v>Tests Node/CI ou source PASS ; conditions manuelles restantes</x:v>
      </x:c>
      <x:c r="E7" s="79" t="str">
        <x:v>P0</x:v>
      </x:c>
    </x:row>
    <x:row r="8" ht="35" customHeight="1">
      <x:c r="A8" s="79" t="str">
        <x:v>Q136-04</x:v>
      </x:c>
      <x:c r="B8" s="79" t="str">
        <x:v>49 études individualisées / 196 sources</x:v>
      </x:c>
      <x:c r="C8" s="79" t="str">
        <x:v>node:test et audit</x:v>
      </x:c>
      <x:c r="D8" s="79" t="str">
        <x:v>Tests Node/CI ou source PASS ; conditions manuelles restantes</x:v>
      </x:c>
      <x:c r="E8" s="79" t="str">
        <x:v>P0</x:v>
      </x:c>
    </x:row>
    <x:row r="9" ht="35" customHeight="1">
      <x:c r="A9" s="79" t="str">
        <x:v>Q136-05</x:v>
      </x:c>
      <x:c r="B9" s="79" t="str">
        <x:v>Rendu alpha PNG 49 × 4 + 49 composites</x:v>
      </x:c>
      <x:c r="C9" s="79" t="str">
        <x:v>sharp (GitHub CI)</x:v>
      </x:c>
      <x:c r="D9" s="79" t="str">
        <x:v>Tests Node/CI ou source PASS ; conditions manuelles restantes</x:v>
      </x:c>
      <x:c r="E9" s="79" t="str">
        <x:v>P0</x:v>
      </x:c>
    </x:row>
    <x:row r="10" ht="35" customHeight="1">
      <x:c r="A10" s="79" t="str">
        <x:v>Q136-06</x:v>
      </x:c>
      <x:c r="B10" s="79" t="str">
        <x:v>219 calques sources au total, aucun doublon</x:v>
      </x:c>
      <x:c r="C10" s="79" t="str">
        <x:v>audit source</x:v>
      </x:c>
      <x:c r="D10" s="79" t="str">
        <x:v>Tests Node/CI ou source PASS ; conditions manuelles restantes</x:v>
      </x:c>
      <x:c r="E10" s="79" t="str">
        <x:v>P0</x:v>
      </x:c>
    </x:row>
    <x:row r="11" ht="35" customHeight="1">
      <x:c r="A11" s="79" t="str">
        <x:v>Q136-07</x:v>
      </x:c>
      <x:c r="B11" s="79" t="str">
        <x:v>Chaque étude affiche son nom et son statut non canonique</x:v>
      </x:c>
      <x:c r="C11" s="79" t="str">
        <x:v>React source</x:v>
      </x:c>
      <x:c r="D11" s="79" t="str">
        <x:v>PARTIEL : navigateur QA autonome, jeu complet non vérifié</x:v>
      </x:c>
      <x:c r="E11" s="79" t="str">
        <x:v>P0</x:v>
      </x:c>
    </x:row>
    <x:row r="12" ht="35" customHeight="1">
      <x:c r="A12" s="79" t="str">
        <x:v>Q136-08</x:v>
      </x:c>
      <x:c r="B12" s="79" t="str">
        <x:v>Toutes les 54 identités en armurerie</x:v>
      </x:c>
      <x:c r="C12" s="79" t="str">
        <x:v>React source</x:v>
      </x:c>
      <x:c r="D12" s="79" t="str">
        <x:v>PARTIEL : navigateur QA autonome, jeu complet non vérifié</x:v>
      </x:c>
      <x:c r="E12" s="79" t="str">
        <x:v>P0</x:v>
      </x:c>
    </x:row>
    <x:row r="13" ht="35" customHeight="1">
      <x:c r="A13" s="79" t="str">
        <x:v>Q136-09</x:v>
      </x:c>
      <x:c r="B13" s="79" t="str">
        <x:v>Vue holographique partage toujours le seul atlas</x:v>
      </x:c>
      <x:c r="C13" s="79" t="str">
        <x:v>node:test</x:v>
      </x:c>
      <x:c r="D13" s="79" t="str">
        <x:v>Tests Node/CI ou source PASS ; conditions manuelles restantes</x:v>
      </x:c>
      <x:c r="E13" s="79" t="str">
        <x:v>P0</x:v>
      </x:c>
    </x:row>
    <x:row r="14" ht="35" customHeight="1">
      <x:c r="A14" s="79" t="str">
        <x:v>Q136-10</x:v>
      </x:c>
      <x:c r="B14" s="79" t="str">
        <x:v>Retour à la vue classique garde caméra et ordres</x:v>
      </x:c>
      <x:c r="C14" s="79" t="str">
        <x:v>E2E navigateur</x:v>
      </x:c>
      <x:c r="D14" s="79" t="str">
        <x:v>OUVERT : preuve artistique / utilisateur / juridique absente</x:v>
      </x:c>
      <x:c r="E14" s="79" t="str">
        <x:v>P0</x:v>
      </x:c>
    </x:row>
    <x:row r="15" ht="35" customHeight="1">
      <x:c r="A15" s="79" t="str">
        <x:v>Q136-11</x:v>
      </x:c>
      <x:c r="B15" s="79" t="str">
        <x:v>Un ancien V12 s'importe en V13 sans perte</x:v>
      </x:c>
      <x:c r="C15" s="79" t="str">
        <x:v>Save Import E2E</x:v>
      </x:c>
      <x:c r="D15" s="79" t="str">
        <x:v>Tests Node/CI ou source PASS ; conditions manuelles restantes</x:v>
      </x:c>
      <x:c r="E15" s="79" t="str">
        <x:v>P0</x:v>
      </x:c>
    </x:row>
    <x:row r="16" ht="35" customHeight="1">
      <x:c r="A16" s="79" t="str">
        <x:v>Q136-12</x:v>
      </x:c>
      <x:c r="B16" s="79" t="str">
        <x:v>L'export V13 transporte la sélection de gauntlet</x:v>
      </x:c>
      <x:c r="C16" s="79" t="str">
        <x:v>Save Import E2E</x:v>
      </x:c>
      <x:c r="D16" s="79" t="str">
        <x:v>Tests Node/CI ou source PASS ; conditions manuelles restantes</x:v>
      </x:c>
      <x:c r="E16" s="79" t="str">
        <x:v>P0</x:v>
      </x:c>
    </x:row>
    <x:row r="17" ht="35" customHeight="1">
      <x:c r="A17" s="79" t="str">
        <x:v>Q136-13</x:v>
      </x:c>
      <x:c r="B17" s="79" t="str">
        <x:v>Changement de profil ne mélange pas les équipements</x:v>
      </x:c>
      <x:c r="C17" s="79" t="str">
        <x:v>E2E multi-profils</x:v>
      </x:c>
      <x:c r="D17" s="79" t="str">
        <x:v>Tests Node/CI ou source PASS ; conditions manuelles restantes</x:v>
      </x:c>
      <x:c r="E17" s="79" t="str">
        <x:v>P0</x:v>
      </x:c>
    </x:row>
    <x:row r="18" ht="35" customHeight="1">
      <x:c r="A18" s="79" t="str">
        <x:v>Q136-14</x:v>
      </x:c>
      <x:c r="B18" s="79" t="str">
        <x:v>Deux onglets : pas d'écrasement de reçu de quête</x:v>
      </x:c>
      <x:c r="C18" s="79" t="str">
        <x:v>E2E multi-onglets</x:v>
      </x:c>
      <x:c r="D18" s="79" t="str">
        <x:v>OUVERT : preuve artistique / utilisateur / juridique absente</x:v>
      </x:c>
      <x:c r="E18" s="79" t="str">
        <x:v>P0</x:v>
      </x:c>
    </x:row>
    <x:row r="19" ht="35" customHeight="1">
      <x:c r="A19" s="79" t="str">
        <x:v>Q136-15</x:v>
      </x:c>
      <x:c r="B19" s="79" t="str">
        <x:v>Transaction échouée ne crédite pas un déblocage</x:v>
      </x:c>
      <x:c r="C19" s="79" t="str">
        <x:v>E2E stockage refusé</x:v>
      </x:c>
      <x:c r="D19" s="79" t="str">
        <x:v>Tests Node/CI ou source PASS ; conditions manuelles restantes</x:v>
      </x:c>
      <x:c r="E19" s="79" t="str">
        <x:v>P0</x:v>
      </x:c>
    </x:row>
    <x:row r="20" ht="35" customHeight="1">
      <x:c r="A20" s="79" t="str">
        <x:v>Q136-16</x:v>
      </x:c>
      <x:c r="B20" s="79" t="str">
        <x:v>44 études : missions et trophées réellement contrôlés</x:v>
      </x:c>
      <x:c r="C20" s="79" t="str">
        <x:v>node:test V134</x:v>
      </x:c>
      <x:c r="D20" s="79" t="str">
        <x:v>Tests Node/CI ou source PASS ; conditions manuelles restantes</x:v>
      </x:c>
      <x:c r="E20" s="79" t="str">
        <x:v>P0</x:v>
      </x:c>
    </x:row>
    <x:row r="21" ht="35" customHeight="1">
      <x:c r="A21" s="79" t="str">
        <x:v>Q136-17</x:v>
      </x:c>
      <x:c r="B21" s="79" t="str">
        <x:v>Études d'archives n'altèrent pas les ressources de guerre</x:v>
      </x:c>
      <x:c r="C21" s="79" t="str">
        <x:v>Test domaine V85/V115</x:v>
      </x:c>
      <x:c r="D21" s="79" t="str">
        <x:v>OUVERT : preuve artistique / utilisateur / juridique absente</x:v>
      </x:c>
      <x:c r="E21" s="79" t="str">
        <x:v>P0</x:v>
      </x:c>
    </x:row>
    <x:row r="22" ht="35" customHeight="1">
      <x:c r="A22" s="79" t="str">
        <x:v>Q136-18</x:v>
      </x:c>
      <x:c r="B22" s="79" t="str">
        <x:v>Wolf gauche / droite conforme au prop original</x:v>
      </x:c>
      <x:c r="C22" s="79" t="str">
        <x:v>Propstore / film</x:v>
      </x:c>
      <x:c r="D22" s="79" t="str">
        <x:v>OUVERT : preuve artistique / utilisateur / juridique absente</x:v>
      </x:c>
      <x:c r="E22" s="79" t="str">
        <x:v>P0</x:v>
      </x:c>
    </x:row>
    <x:row r="23" ht="35" customHeight="1">
      <x:c r="A23" s="79" t="str">
        <x:v>Q136-19</x:v>
      </x:c>
      <x:c r="B23" s="79" t="str">
        <x:v>City Hunter finition cuivrée, gauntlet gauche</x:v>
      </x:c>
      <x:c r="C23" s="79" t="str">
        <x:v>Propstore / film</x:v>
      </x:c>
      <x:c r="D23" s="79" t="str">
        <x:v>OUVERT : preuve artistique / utilisateur / juridique absente</x:v>
      </x:c>
      <x:c r="E23" s="79" t="str">
        <x:v>P0</x:v>
      </x:c>
    </x:row>
    <x:row r="24" ht="35" customHeight="1">
      <x:c r="A24" s="79" t="str">
        <x:v>Q136-20</x:v>
      </x:c>
      <x:c r="B24" s="79" t="str">
        <x:v>Feral / Dek sans faux détails canonisés</x:v>
      </x:c>
      <x:c r="C24" s="79" t="str">
        <x:v>Revue ciné</x:v>
      </x:c>
      <x:c r="D24" s="79" t="str">
        <x:v>OUVERT : preuve artistique / utilisateur / juridique absente</x:v>
      </x:c>
      <x:c r="E24" s="79" t="str">
        <x:v>P0</x:v>
      </x:c>
    </x:row>
    <x:row r="25" ht="35" customHeight="1">
      <x:c r="A25" s="79" t="str">
        <x:v>Q136-21</x:v>
      </x:c>
      <x:c r="B25" s="79" t="str">
        <x:v>Tous les capots à l'état ouvert et fermé</x:v>
      </x:c>
      <x:c r="C25" s="79" t="str">
        <x:v>Playwright / navigateur</x:v>
      </x:c>
      <x:c r="D25" s="79" t="str">
        <x:v>PARTIEL : navigateur QA autonome, jeu complet non vérifié</x:v>
      </x:c>
      <x:c r="E25" s="79" t="str">
        <x:v>P0</x:v>
      </x:c>
    </x:row>
    <x:row r="26" ht="35" customHeight="1">
      <x:c r="A26" s="79" t="str">
        <x:v>Q136-22</x:v>
      </x:c>
      <x:c r="B26" s="79" t="str">
        <x:v>Réduction de mouvement / contraste</x:v>
      </x:c>
      <x:c r="C26" s="79" t="str">
        <x:v>Audit accès</x:v>
      </x:c>
      <x:c r="D26" s="79" t="str">
        <x:v>PARTIEL : navigateur QA autonome, jeu complet non vérifié</x:v>
      </x:c>
      <x:c r="E26" s="79" t="str">
        <x:v>P1</x:v>
      </x:c>
    </x:row>
    <x:row r="27" ht="35" customHeight="1">
      <x:c r="A27" s="79" t="str">
        <x:v>Q136-23</x:v>
      </x:c>
      <x:c r="B27" s="79" t="str">
        <x:v>Navigateur tactile / clavier / manette</x:v>
      </x:c>
      <x:c r="C27" s="79" t="str">
        <x:v>Tests multi-devices</x:v>
      </x:c>
      <x:c r="D27" s="79" t="str">
        <x:v>PARTIEL : navigateur QA autonome, jeu complet non vérifié</x:v>
      </x:c>
      <x:c r="E27" s="79" t="str">
        <x:v>P1</x:v>
      </x:c>
    </x:row>
    <x:row r="28" ht="35" customHeight="1">
      <x:c r="A28" s="79" t="str">
        <x:v>Q136-24</x:v>
      </x:c>
      <x:c r="B28" s="79" t="str">
        <x:v>Performances menu 54 modèles et changement rapide</x:v>
      </x:c>
      <x:c r="C28" s="79" t="str">
        <x:v>Mesure en production</x:v>
      </x:c>
      <x:c r="D28" s="79" t="str">
        <x:v>OUVERT : preuve artistique / utilisateur / juridique absente</x:v>
      </x:c>
      <x:c r="E28" s="79" t="str">
        <x:v>P1</x:v>
      </x:c>
    </x:row>
    <x:row r="29" ht="35" customHeight="1">
      <x:c r="A29" s="79" t="str">
        <x:v>Q136-25</x:v>
      </x:c>
      <x:c r="B29" s="79" t="str">
        <x:v>Audio et mute à travers les dix profils</x:v>
      </x:c>
      <x:c r="C29" s="79" t="str">
        <x:v>Audio lifecycle</x:v>
      </x:c>
      <x:c r="D29" s="79" t="str">
        <x:v>OUVERT : preuve artistique / utilisateur / juridique absente</x:v>
      </x:c>
      <x:c r="E29" s="79" t="str">
        <x:v>P1</x:v>
      </x:c>
    </x:row>
    <x:row r="30" ht="35" customHeight="1">
      <x:c r="A30" s="79" t="str">
        <x:v>Q136-26</x:v>
      </x:c>
      <x:c r="B30" s="79" t="str">
        <x:v>Certifications graphiques individuelles en photos</x:v>
      </x:c>
      <x:c r="C30" s="79" t="str">
        <x:v>Revue humaine</x:v>
      </x:c>
      <x:c r="D30" s="79" t="str">
        <x:v>OUVERT : preuve artistique / utilisateur / juridique absente</x:v>
      </x:c>
      <x:c r="E30" s="79" t="str">
        <x:v>P0</x:v>
      </x:c>
    </x:row>
    <x:row r="31" ht="35" customHeight="1">
      <x:c r="A31" s="79" t="str">
        <x:v>Q136-27</x:v>
      </x:c>
      <x:c r="B31" s="79" t="str">
        <x:v>Contrôle des droits commerciaux sur Predator/AVP</x:v>
      </x:c>
      <x:c r="C31" s="79" t="str">
        <x:v>Revue juridique</x:v>
      </x:c>
      <x:c r="D31" s="79" t="str">
        <x:v>OUVERT : preuve artistique / utilisateur / juridique absente</x:v>
      </x:c>
      <x:c r="E31" s="79" t="str">
        <x:v>P0</x:v>
      </x:c>
    </x:row>
    <x:row r="32" ht="35" customHeight="1">
      <x:c r="A32" s="79" t="str">
        <x:v>Q136-28</x:v>
      </x:c>
      <x:c r="B32" s="79" t="str">
        <x:v>Build complet avant merge</x:v>
      </x:c>
      <x:c r="C32" s="79" t="str">
        <x:v>GitHub workflow</x:v>
      </x:c>
      <x:c r="D32" s="79" t="str">
        <x:v>Tests Node/CI ou source PASS ; conditions manuelles restantes</x:v>
      </x:c>
      <x:c r="E32" s="79" t="str">
        <x:v>P0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24" hidden="0" customWidth="1"/>
    <x:col min="3" max="3" width="89" hidden="0" customWidth="1"/>
  </x:cols>
  <x:sheetData>
    <x:row r="1" ht="39" customHeight="1">
      <x:c r="A1" s="70" t="str">
        <x:v>V136 · TABLEAU DE BORD DES 54 GAUNTLETS</x:v>
      </x:c>
      <x:c r="B1" s="70"/>
      <x:c r="C1" s="70"/>
    </x:row>
    <x:row r="2" ht="38" customHeight="1">
      <x:c r="A2" s="74" t="str">
        <x:v>Fichiers sources ≠ validation artistique. Objectif de production : remplacer chaque étude par des calques réellement mesurés sur son œuvre, sans modifier les règles des guerres de clans.</x:v>
      </x:c>
      <x:c r="B2" s="74"/>
      <x:c r="C2" s="74"/>
    </x:row>
    <x:row r="4" ht="32" customHeight="1">
      <x:c r="A4" s="78" t="str">
        <x:v>Indicateur</x:v>
      </x:c>
      <x:c r="B4" s="78" t="str">
        <x:v>Calcul</x:v>
      </x:c>
      <x:c r="C4" s="78" t="str">
        <x:v>Interprétation</x:v>
      </x:c>
    </x:row>
    <x:row r="5" ht="35" customHeight="1">
      <x:c r="A5" s="79" t="str">
        <x:v>Entrées du catalogue</x:v>
      </x:c>
      <x:c r="B5" s="79" t="n">
        <x:f>COUNTA('20_V136_Couverture'!A5:A58)</x:f>
        <x:v>54</x:v>
      </x:c>
      <x:c r="C5" s="79" t="str">
        <x:v>Noms de personnages et classes, pas 54 accessoires authentifiés</x:v>
      </x:c>
    </x:row>
    <x:row r="6" ht="35" customHeight="1">
      <x:c r="A6" s="79" t="str">
        <x:v>Calques SVG sources</x:v>
      </x:c>
      <x:c r="B6" s="79" t="n">
        <x:f>COUNTA('21_V136_219_Calques'!A5:A223)</x:f>
        <x:v>219</x:v>
      </x:c>
      <x:c r="C6" s="79" t="str">
        <x:v>7 + 16 + 196 indépendants</x:v>
      </x:c>
    </x:row>
    <x:row r="7" ht="35" customHeight="1">
      <x:c r="A7" s="79" t="str">
        <x:v>Études référencées individuellement</x:v>
      </x:c>
      <x:c r="B7" s="79" t="n">
        <x:f>COUNTIF('20_V136_Couverture'!G5:G58,"Référence à confronter au film")</x:f>
        <x:v>5</x:v>
      </x:c>
      <x:c r="C7" s="79" t="str">
        <x:v>5 familles à confronter aux plans et props</x:v>
      </x:c>
    </x:row>
    <x:row r="8" ht="35" customHeight="1">
      <x:c r="A8" s="79" t="str">
        <x:v>Concepts originaux non canoniques</x:v>
      </x:c>
      <x:c r="B8" s="79" t="n">
        <x:f>COUNTIF('20_V136_Couverture'!G5:G58,"Concept ORIGINAL non canonique")</x:f>
        <x:v>49</x:v>
      </x:c>
      <x:c r="C8" s="79" t="str">
        <x:v>49 bases graphiques remplaçables et exportables</x:v>
      </x:c>
    </x:row>
    <x:row r="9" ht="35" customHeight="1">
      <x:c r="A9" s="79" t="str">
        <x:v>Productions 1:1 approuvées</x:v>
      </x:c>
      <x:c r="B9" s="79" t="n">
        <x:v>0</x:v>
      </x:c>
      <x:c r="C9" s="79" t="str">
        <x:v>Aucune certification artistique</x:v>
      </x:c>
    </x:row>
    <x:row r="10" ht="35" customHeight="1">
      <x:c r="A10" s="79" t="str">
        <x:v>Dossiers de recherche V134</x:v>
      </x:c>
      <x:c r="B10" s="79" t="n">
        <x:v>44</x:v>
      </x:c>
      <x:c r="C10" s="79" t="str">
        <x:v>Preuves de mission et trophée, pas objets film retrouvés</x:v>
      </x:c>
    </x:row>
    <x:row r="11" ht="35" customHeight="1">
      <x:c r="A11" s="79" t="str">
        <x:v>Tâches de fidélité restantes</x:v>
      </x:c>
      <x:c r="B11" s="79" t="n">
        <x:f>COUNTA('22_V136_Backlog'!A5:A328)</x:f>
        <x:v>324</x:v>
      </x:c>
      <x:c r="C11" s="79" t="str">
        <x:v>Six lots par modèle, à valider manuellement</x:v>
      </x:c>
    </x:row>
    <x:row r="12" ht="35" customHeight="1">
      <x:c r="A12" s="79" t="str">
        <x:v>Cas QA V136</x:v>
      </x:c>
      <x:c r="B12" s="79" t="n">
        <x:f>COUNTA('24_V136_QA'!A5:A32)</x:f>
        <x:v>28</x:v>
      </x:c>
      <x:c r="C12" s="79" t="str">
        <x:v>Code, CI, navigateur et droits séparés</x:v>
      </x:c>
    </x:row>
    <x:row r="13" ht="35" customHeight="1">
      <x:c r="A13" s="79" t="str">
        <x:v>Sauvegarde de campagne</x:v>
      </x:c>
      <x:c r="B13" s="79" t="n">
        <x:v>13</x:v>
      </x:c>
      <x:c r="C13" s="79" t="str">
        <x:v>Rang, reçu d'étude, gauntlet équipé : à tester e2e</x:v>
      </x:c>
    </x:row>
    <x:row r="14" ht="35" customHeight="1">
      <x:c r="A14" s="79" t="str">
        <x:v>Deux présentations</x:v>
      </x:c>
      <x:c r="B14" s="79" t="n">
        <x:v>2</x:v>
      </x:c>
      <x:c r="C14" s="79" t="str">
        <x:v>Holographique + classique, un atlas</x:v>
      </x:c>
    </x:row>
    <x:row r="15" ht="35" customHeight="1">
      <x:c r="A15" s="79" t="str">
        <x:v>Modes guerre</x:v>
      </x:c>
      <x:c r="B15" s="79" t="n">
        <x:v>4</x:v>
      </x:c>
      <x:c r="C15" s="79" t="str">
        <x:v>Assaut, infiltration, RTS, Outer Ops</x:v>
      </x:c>
    </x:row>
    <x:row r="18" ht="42" customHeight="1">
      <x:c r="A18" s="82" t="str">
        <x:v>VALIDATION FILM / JEU</x:v>
      </x:c>
      <x:c r="B18" s="82" t="str">
        <x:v>0 / 54</x:v>
      </x:c>
      <x:c r="C18" s="82" t="str">
        <x:v>Revue image par image et respect des droits nécessaires avant certification 1:1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44" hidden="0" customWidth="1"/>
    <x:col min="8" max="8" width="21" hidden="0" customWidth="1"/>
    <x:col min="9" max="9" width="68" hidden="0" customWidth="1"/>
    <x:col min="10" max="10" width="64" hidden="0" customWidth="1"/>
    <x:col min="11" max="11" width="74" hidden="0" customWidth="1"/>
    <x:col min="12" max="12" width="74" hidden="0" customWidth="1"/>
    <x:col min="13" max="13" width="55" hidden="0" customWidth="1"/>
    <x:col min="14" max="14" width="38" hidden="0" customWidth="1"/>
  </x:cols>
  <x:sheetData>
    <x:row r="1" ht="38" customHeight="1">
      <x:c r="A1" s="85" t="str">
        <x:v>V137 | COUVERTURE TECHNIQUE DES 54 GAUNTLETS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</x:row>
    <x:row r="2" ht="40" customHeight="1">
      <x:c r="A2" s="89" t="str">
        <x:v>Une ligne par identité : 54/54 ont une source de modèle distincte et exportable. Cela ne signifie PAS 54 gauntlets canoniques 1:1.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</x:row>
    <x:row r="4" ht="31" customHeight="1">
      <x:c r="A4" s="93" t="str">
        <x:v>ID</x:v>
      </x:c>
      <x:c r="B4" s="93" t="str">
        <x:v>Modèle</x:v>
      </x:c>
      <x:c r="C4" s="93" t="str">
        <x:v>Version</x:v>
      </x:c>
      <x:c r="D4" s="93" t="str">
        <x:v>SVG réels</x:v>
      </x:c>
      <x:c r="E4" s="93" t="str">
        <x:v>PNG CI</x:v>
      </x:c>
      <x:c r="F4" s="93" t="str">
        <x:v>Utilisé en UI</x:v>
      </x:c>
      <x:c r="G4" s="93" t="str">
        <x:v>Provenance géométrie</x:v>
      </x:c>
      <x:c r="H4" s="93" t="str">
        <x:v>Fidélité 1:1</x:v>
      </x:c>
      <x:c r="I4" s="93" t="str">
        <x:v>URL référence</x:v>
      </x:c>
      <x:c r="J4" s="93" t="str">
        <x:v>Dossier sources</x:v>
      </x:c>
      <x:c r="K4" s="93" t="str">
        <x:v>Audit SHA/alpha</x:v>
      </x:c>
      <x:c r="L4" s="93" t="str">
        <x:v>Pack PNG</x:v>
      </x:c>
      <x:c r="M4" s="93" t="str">
        <x:v>Manquants</x:v>
      </x:c>
      <x:c r="N4" s="93" t="str">
        <x:v>État du lot</x:v>
      </x:c>
    </x:row>
    <x:row r="5" ht="29" customHeight="1">
      <x:c r="A5" s="79" t="str">
        <x:v>jungle-hunter</x:v>
      </x:c>
      <x:c r="B5" s="79" t="str">
        <x:v>Jungle Hunter · 1987</x:v>
      </x:c>
      <x:c r="C5" s="79" t="str">
        <x:v>V134</x:v>
      </x:c>
      <x:c r="D5" s="79" t="n">
        <x:v>7</x:v>
      </x:c>
      <x:c r="E5" s="79" t="n">
        <x:v>7</x:v>
      </x:c>
      <x:c r="F5" s="79" t="n">
        <x:v>1</x:v>
      </x:c>
      <x:c r="G5" s="79" t="str">
        <x:v>Références à confronter (source identifiable)</x:v>
      </x:c>
      <x:c r="H5" s="79" t="str">
        <x:v>NON VALIDÉ 1:1</x:v>
      </x:c>
      <x:c r="I5" s="79" t="str">
        <x:v>https://store.necaonline.com/products/predator-ultimate-jungle-hunter-7-scale-action-figure</x:v>
      </x:c>
      <x:c r="J5" s="79" t="str">
        <x:v>public/game/assets/v134/gauntlets/jungle-hunter/</x:v>
      </x:c>
      <x:c r="K5" s="79" t="str">
        <x:v>https://github.com/darknigthmare/yautja-la-longue-chasse/actions/runs/41196187434/artifacts/13040272198</x:v>
      </x:c>
      <x:c r="L5" s="79" t="str">
        <x:v>https://github.com/darknigthmare/yautja-la-longue-chasse/actions/runs/41196187434/artifacts/13041255745</x:v>
      </x:c>
      <x:c r="M5" s="79" t="str">
        <x:v>Documentation / 3 vues / rig / matériaux / droits</x:v>
      </x:c>
      <x:c r="N5" s="79" t="str">
        <x:v>OUVERT ART ; CODE/PACK PNG PRÊT</x:v>
      </x:c>
    </x:row>
    <x:row r="6" ht="29" customHeight="1">
      <x:c r="A6" s="79" t="str">
        <x:v>city-hunter</x:v>
      </x:c>
      <x:c r="B6" s="79" t="str">
        <x:v>City Hunter · 1990</x:v>
      </x:c>
      <x:c r="C6" s="79" t="str">
        <x:v>V135</x:v>
      </x:c>
      <x:c r="D6" s="79" t="n">
        <x:v>4</x:v>
      </x:c>
      <x:c r="E6" s="79" t="n">
        <x:v>4</x:v>
      </x:c>
      <x:c r="F6" s="79" t="n">
        <x:v>1</x:v>
      </x:c>
      <x:c r="G6" s="79" t="str">
        <x:v>Références à confronter (source identifiable)</x:v>
      </x:c>
      <x:c r="H6" s="79" t="str">
        <x:v>NON VALIDÉ 1:1</x:v>
      </x:c>
      <x:c r="I6" s="79" t="str">
        <x:v>https://propstoreauction.com/lot-details/index/catalog/496/lot/193088/</x:v>
      </x:c>
      <x:c r="J6" s="79" t="str">
        <x:v>public/game/assets/v135/gauntlets/city-hunter/</x:v>
      </x:c>
      <x:c r="K6" s="79" t="str">
        <x:v>https://github.com/darknigthmare/yautja-la-longue-chasse/actions/runs/41196187434/artifacts/13040272198</x:v>
      </x:c>
      <x:c r="L6" s="79" t="str">
        <x:v>https://github.com/darknigthmare/yautja-la-longue-chasse/actions/runs/41196187434/artifacts/13041255745</x:v>
      </x:c>
      <x:c r="M6" s="79" t="str">
        <x:v>Documentation / 3 vues / rig / matériaux / droits</x:v>
      </x:c>
      <x:c r="N6" s="79" t="str">
        <x:v>OUVERT ART ; CODE/PACK PNG PRÊT</x:v>
      </x:c>
    </x:row>
    <x:row r="7" ht="29" customHeight="1">
      <x:c r="A7" s="79" t="str">
        <x:v>greyback</x:v>
      </x:c>
      <x:c r="B7" s="79" t="str">
        <x:v>Greyback / Elder · 1990</x:v>
      </x:c>
      <x:c r="C7" s="79" t="str">
        <x:v>V136</x:v>
      </x:c>
      <x:c r="D7" s="79" t="n">
        <x:v>4</x:v>
      </x:c>
      <x:c r="E7" s="79" t="n">
        <x:v>4</x:v>
      </x:c>
      <x:c r="F7" s="79" t="n">
        <x:v>1</x:v>
      </x:c>
      <x:c r="G7" s="79" t="str">
        <x:v>Art ORIGINAL non canonique (aucun prop vérifié)</x:v>
      </x:c>
      <x:c r="H7" s="79" t="str">
        <x:v>NON VALIDÉ 1:1</x:v>
      </x:c>
      <x:c r="I7" s="79" t="str">
        <x:v>https://www.20thcenturystudios.com/movies/predator-2</x:v>
      </x:c>
      <x:c r="J7" s="79" t="str">
        <x:v>public/game/assets/v136/gauntlets/greyback/</x:v>
      </x:c>
      <x:c r="K7" s="79" t="str">
        <x:v>https://github.com/darknigthmare/yautja-la-longue-chasse/actions/runs/41196187434/artifacts/13040272198</x:v>
      </x:c>
      <x:c r="L7" s="79" t="str">
        <x:v>https://github.com/darknigthmare/yautja-la-longue-chasse/actions/runs/41196187434/artifacts/13041255745</x:v>
      </x:c>
      <x:c r="M7" s="79" t="str">
        <x:v>Documentation / 3 vues / rig / matériaux / droits</x:v>
      </x:c>
      <x:c r="N7" s="79" t="str">
        <x:v>OUVERT ART ; CODE/PACK PNG PRÊT</x:v>
      </x:c>
    </x:row>
    <x:row r="8" ht="29" customHeight="1">
      <x:c r="A8" s="79" t="str">
        <x:v>lost-boar</x:v>
      </x:c>
      <x:c r="B8" s="79" t="str">
        <x:v>Boar · Lost Tribe</x:v>
      </x:c>
      <x:c r="C8" s="79" t="str">
        <x:v>V136</x:v>
      </x:c>
      <x:c r="D8" s="79" t="n">
        <x:v>4</x:v>
      </x:c>
      <x:c r="E8" s="79" t="n">
        <x:v>4</x:v>
      </x:c>
      <x:c r="F8" s="79" t="n">
        <x:v>1</x:v>
      </x:c>
      <x:c r="G8" s="79" t="str">
        <x:v>Art ORIGINAL non canonique (aucun prop vérifié)</x:v>
      </x:c>
      <x:c r="H8" s="79" t="str">
        <x:v>NON VALIDÉ 1:1</x:v>
      </x:c>
      <x:c r="I8" s="79" t="str">
        <x:v>https://store.necaonline.com/blogs/news/predators-introducing-the-lost-tribe-from-our-series-6-action-figures</x:v>
      </x:c>
      <x:c r="J8" s="79" t="str">
        <x:v>public/game/assets/v136/gauntlets/lost-boar/</x:v>
      </x:c>
      <x:c r="K8" s="79" t="str">
        <x:v>https://github.com/darknigthmare/yautja-la-longue-chasse/actions/runs/41196187434/artifacts/13040272198</x:v>
      </x:c>
      <x:c r="L8" s="79" t="str">
        <x:v>https://github.com/darknigthmare/yautja-la-longue-chasse/actions/runs/41196187434/artifacts/13041255745</x:v>
      </x:c>
      <x:c r="M8" s="79" t="str">
        <x:v>Documentation / 3 vues / rig / matériaux / droits</x:v>
      </x:c>
      <x:c r="N8" s="79" t="str">
        <x:v>OUVERT ART ; CODE/PACK PNG PRÊT</x:v>
      </x:c>
    </x:row>
    <x:row r="9" ht="29" customHeight="1">
      <x:c r="A9" s="79" t="str">
        <x:v>lost-shaman</x:v>
      </x:c>
      <x:c r="B9" s="79" t="str">
        <x:v>Shaman · Lost Tribe</x:v>
      </x:c>
      <x:c r="C9" s="79" t="str">
        <x:v>V136</x:v>
      </x:c>
      <x:c r="D9" s="79" t="n">
        <x:v>4</x:v>
      </x:c>
      <x:c r="E9" s="79" t="n">
        <x:v>4</x:v>
      </x:c>
      <x:c r="F9" s="79" t="n">
        <x:v>1</x:v>
      </x:c>
      <x:c r="G9" s="79" t="str">
        <x:v>Art ORIGINAL non canonique (aucun prop vérifié)</x:v>
      </x:c>
      <x:c r="H9" s="79" t="str">
        <x:v>NON VALIDÉ 1:1</x:v>
      </x:c>
      <x:c r="I9" s="79" t="str">
        <x:v>https://store.necaonline.com/blogs/news/predators-introducing-the-lost-tribe-from-our-series-6-action-figures</x:v>
      </x:c>
      <x:c r="J9" s="79" t="str">
        <x:v>public/game/assets/v136/gauntlets/lost-shaman/</x:v>
      </x:c>
      <x:c r="K9" s="79" t="str">
        <x:v>https://github.com/darknigthmare/yautja-la-longue-chasse/actions/runs/41196187434/artifacts/13040272198</x:v>
      </x:c>
      <x:c r="L9" s="79" t="str">
        <x:v>https://github.com/darknigthmare/yautja-la-longue-chasse/actions/runs/41196187434/artifacts/13041255745</x:v>
      </x:c>
      <x:c r="M9" s="79" t="str">
        <x:v>Documentation / 3 vues / rig / matériaux / droits</x:v>
      </x:c>
      <x:c r="N9" s="79" t="str">
        <x:v>OUVERT ART ; CODE/PACK PNG PRÊT</x:v>
      </x:c>
    </x:row>
    <x:row r="10" ht="29" customHeight="1">
      <x:c r="A10" s="79" t="str">
        <x:v>lost-guardian</x:v>
      </x:c>
      <x:c r="B10" s="79" t="str">
        <x:v>Guardian · Lost Tribe</x:v>
      </x:c>
      <x:c r="C10" s="79" t="str">
        <x:v>V136</x:v>
      </x:c>
      <x:c r="D10" s="79" t="n">
        <x:v>4</x:v>
      </x:c>
      <x:c r="E10" s="79" t="n">
        <x:v>4</x:v>
      </x:c>
      <x:c r="F10" s="79" t="n">
        <x:v>1</x:v>
      </x:c>
      <x:c r="G10" s="79" t="str">
        <x:v>Art ORIGINAL non canonique (aucun prop vérifié)</x:v>
      </x:c>
      <x:c r="H10" s="79" t="str">
        <x:v>NON VALIDÉ 1:1</x:v>
      </x:c>
      <x:c r="I10" s="79" t="str">
        <x:v>https://store.necaonline.com/blogs/news/predators-introducing-the-lost-tribe-from-our-series-6-action-figures</x:v>
      </x:c>
      <x:c r="J10" s="79" t="str">
        <x:v>public/game/assets/v136/gauntlets/lost-guardian/</x:v>
      </x:c>
      <x:c r="K10" s="79" t="str">
        <x:v>https://github.com/darknigthmare/yautja-la-longue-chasse/actions/runs/41196187434/artifacts/13040272198</x:v>
      </x:c>
      <x:c r="L10" s="79" t="str">
        <x:v>https://github.com/darknigthmare/yautja-la-longue-chasse/actions/runs/41196187434/artifacts/13041255745</x:v>
      </x:c>
      <x:c r="M10" s="79" t="str">
        <x:v>Documentation / 3 vues / rig / matériaux / droits</x:v>
      </x:c>
      <x:c r="N10" s="79" t="str">
        <x:v>OUVERT ART ; CODE/PACK PNG PRÊT</x:v>
      </x:c>
    </x:row>
    <x:row r="11" ht="29" customHeight="1">
      <x:c r="A11" s="79" t="str">
        <x:v>lost-stalker</x:v>
      </x:c>
      <x:c r="B11" s="79" t="str">
        <x:v>Stalker · Lost Tribe</x:v>
      </x:c>
      <x:c r="C11" s="79" t="str">
        <x:v>V136</x:v>
      </x:c>
      <x:c r="D11" s="79" t="n">
        <x:v>4</x:v>
      </x:c>
      <x:c r="E11" s="79" t="n">
        <x:v>4</x:v>
      </x:c>
      <x:c r="F11" s="79" t="n">
        <x:v>1</x:v>
      </x:c>
      <x:c r="G11" s="79" t="str">
        <x:v>Art ORIGINAL non canonique (aucun prop vérifié)</x:v>
      </x:c>
      <x:c r="H11" s="79" t="str">
        <x:v>NON VALIDÉ 1:1</x:v>
      </x:c>
      <x:c r="I11" s="79" t="str">
        <x:v>https://store.necaonline.com/blogs/news/predators-introducing-the-lost-tribe-from-our-series-6-action-figures</x:v>
      </x:c>
      <x:c r="J11" s="79" t="str">
        <x:v>public/game/assets/v136/gauntlets/lost-stalker/</x:v>
      </x:c>
      <x:c r="K11" s="79" t="str">
        <x:v>https://github.com/darknigthmare/yautja-la-longue-chasse/actions/runs/41196187434/artifacts/13040272198</x:v>
      </x:c>
      <x:c r="L11" s="79" t="str">
        <x:v>https://github.com/darknigthmare/yautja-la-longue-chasse/actions/runs/41196187434/artifacts/13041255745</x:v>
      </x:c>
      <x:c r="M11" s="79" t="str">
        <x:v>Documentation / 3 vues / rig / matériaux / droits</x:v>
      </x:c>
      <x:c r="N11" s="79" t="str">
        <x:v>OUVERT ART ; CODE/PACK PNG PRÊT</x:v>
      </x:c>
    </x:row>
    <x:row r="12" ht="29" customHeight="1">
      <x:c r="A12" s="79" t="str">
        <x:v>lost-snake</x:v>
      </x:c>
      <x:c r="B12" s="79" t="str">
        <x:v>Snake · Lost Tribe</x:v>
      </x:c>
      <x:c r="C12" s="79" t="str">
        <x:v>V136</x:v>
      </x:c>
      <x:c r="D12" s="79" t="n">
        <x:v>4</x:v>
      </x:c>
      <x:c r="E12" s="79" t="n">
        <x:v>4</x:v>
      </x:c>
      <x:c r="F12" s="79" t="n">
        <x:v>1</x:v>
      </x:c>
      <x:c r="G12" s="79" t="str">
        <x:v>Art ORIGINAL non canonique (aucun prop vérifié)</x:v>
      </x:c>
      <x:c r="H12" s="79" t="str">
        <x:v>NON VALIDÉ 1:1</x:v>
      </x:c>
      <x:c r="I12" s="79" t="str">
        <x:v>https://store.necaonline.com/blogs/news/predators-introducing-the-lost-tribe-from-our-series-6-action-figures</x:v>
      </x:c>
      <x:c r="J12" s="79" t="str">
        <x:v>public/game/assets/v136/gauntlets/lost-snake/</x:v>
      </x:c>
      <x:c r="K12" s="79" t="str">
        <x:v>https://github.com/darknigthmare/yautja-la-longue-chasse/actions/runs/41196187434/artifacts/13040272198</x:v>
      </x:c>
      <x:c r="L12" s="79" t="str">
        <x:v>https://github.com/darknigthmare/yautja-la-longue-chasse/actions/runs/41196187434/artifacts/13041255745</x:v>
      </x:c>
      <x:c r="M12" s="79" t="str">
        <x:v>Documentation / 3 vues / rig / matériaux / droits</x:v>
      </x:c>
      <x:c r="N12" s="79" t="str">
        <x:v>OUVERT ART ; CODE/PACK PNG PRÊT</x:v>
      </x:c>
    </x:row>
    <x:row r="13" ht="29" customHeight="1">
      <x:c r="A13" s="79" t="str">
        <x:v>lost-warrior</x:v>
      </x:c>
      <x:c r="B13" s="79" t="str">
        <x:v>Warrior · Lost Tribe</x:v>
      </x:c>
      <x:c r="C13" s="79" t="str">
        <x:v>V136</x:v>
      </x:c>
      <x:c r="D13" s="79" t="n">
        <x:v>4</x:v>
      </x:c>
      <x:c r="E13" s="79" t="n">
        <x:v>4</x:v>
      </x:c>
      <x:c r="F13" s="79" t="n">
        <x:v>1</x:v>
      </x:c>
      <x:c r="G13" s="79" t="str">
        <x:v>Art ORIGINAL non canonique (aucun prop vérifié)</x:v>
      </x:c>
      <x:c r="H13" s="79" t="str">
        <x:v>NON VALIDÉ 1:1</x:v>
      </x:c>
      <x:c r="I13" s="79" t="str">
        <x:v>https://store.necaonline.com/blogs/news/predators-introducing-the-lost-tribe-from-our-series-6-action-figures</x:v>
      </x:c>
      <x:c r="J13" s="79" t="str">
        <x:v>public/game/assets/v136/gauntlets/lost-warrior/</x:v>
      </x:c>
      <x:c r="K13" s="79" t="str">
        <x:v>https://github.com/darknigthmare/yautja-la-longue-chasse/actions/runs/41196187434/artifacts/13040272198</x:v>
      </x:c>
      <x:c r="L13" s="79" t="str">
        <x:v>https://github.com/darknigthmare/yautja-la-longue-chasse/actions/runs/41196187434/artifacts/13041255745</x:v>
      </x:c>
      <x:c r="M13" s="79" t="str">
        <x:v>Documentation / 3 vues / rig / matériaux / droits</x:v>
      </x:c>
      <x:c r="N13" s="79" t="str">
        <x:v>OUVERT ART ; CODE/PACK PNG PRÊT</x:v>
      </x:c>
    </x:row>
    <x:row r="14" ht="29" customHeight="1">
      <x:c r="A14" s="79" t="str">
        <x:v>lost-scout</x:v>
      </x:c>
      <x:c r="B14" s="79" t="str">
        <x:v>Scout · Lost Tribe</x:v>
      </x:c>
      <x:c r="C14" s="79" t="str">
        <x:v>V136</x:v>
      </x:c>
      <x:c r="D14" s="79" t="n">
        <x:v>4</x:v>
      </x:c>
      <x:c r="E14" s="79" t="n">
        <x:v>4</x:v>
      </x:c>
      <x:c r="F14" s="79" t="n">
        <x:v>1</x:v>
      </x:c>
      <x:c r="G14" s="79" t="str">
        <x:v>Art ORIGINAL non canonique (aucun prop vérifié)</x:v>
      </x:c>
      <x:c r="H14" s="79" t="str">
        <x:v>NON VALIDÉ 1:1</x:v>
      </x:c>
      <x:c r="I14" s="79" t="str">
        <x:v>https://store.necaonline.com/blogs/news/predators-introducing-the-lost-tribe-from-our-series-6-action-figures</x:v>
      </x:c>
      <x:c r="J14" s="79" t="str">
        <x:v>public/game/assets/v136/gauntlets/lost-scout/</x:v>
      </x:c>
      <x:c r="K14" s="79" t="str">
        <x:v>https://github.com/darknigthmare/yautja-la-longue-chasse/actions/runs/41196187434/artifacts/13040272198</x:v>
      </x:c>
      <x:c r="L14" s="79" t="str">
        <x:v>https://github.com/darknigthmare/yautja-la-longue-chasse/actions/runs/41196187434/artifacts/13041255745</x:v>
      </x:c>
      <x:c r="M14" s="79" t="str">
        <x:v>Documentation / 3 vues / rig / matériaux / droits</x:v>
      </x:c>
      <x:c r="N14" s="79" t="str">
        <x:v>OUVERT ART ; CODE/PACK PNG PRÊT</x:v>
      </x:c>
    </x:row>
    <x:row r="15" ht="29" customHeight="1">
      <x:c r="A15" s="79" t="str">
        <x:v>lost-borg</x:v>
      </x:c>
      <x:c r="B15" s="79" t="str">
        <x:v>Lost / Borg · Lost Tribe</x:v>
      </x:c>
      <x:c r="C15" s="79" t="str">
        <x:v>V136</x:v>
      </x:c>
      <x:c r="D15" s="79" t="n">
        <x:v>4</x:v>
      </x:c>
      <x:c r="E15" s="79" t="n">
        <x:v>4</x:v>
      </x:c>
      <x:c r="F15" s="79" t="n">
        <x:v>1</x:v>
      </x:c>
      <x:c r="G15" s="79" t="str">
        <x:v>Art ORIGINAL non canonique (aucun prop vérifié)</x:v>
      </x:c>
      <x:c r="H15" s="79" t="str">
        <x:v>NON VALIDÉ 1:1</x:v>
      </x:c>
      <x:c r="I15" s="79" t="str">
        <x:v>https://store.necaonline.com/blogs/news/predators-introducing-the-lost-tribe-from-our-series-6-action-figures</x:v>
      </x:c>
      <x:c r="J15" s="79" t="str">
        <x:v>public/game/assets/v136/gauntlets/lost-borg/</x:v>
      </x:c>
      <x:c r="K15" s="79" t="str">
        <x:v>https://github.com/darknigthmare/yautja-la-longue-chasse/actions/runs/41196187434/artifacts/13040272198</x:v>
      </x:c>
      <x:c r="L15" s="79" t="str">
        <x:v>https://github.com/darknigthmare/yautja-la-longue-chasse/actions/runs/41196187434/artifacts/13041255745</x:v>
      </x:c>
      <x:c r="M15" s="79" t="str">
        <x:v>Documentation / 3 vues / rig / matériaux / droits</x:v>
      </x:c>
      <x:c r="N15" s="79" t="str">
        <x:v>OUVERT ART ; CODE/PACK PNG PRÊT</x:v>
      </x:c>
    </x:row>
    <x:row r="16" ht="29" customHeight="1">
      <x:c r="A16" s="79" t="str">
        <x:v>scar</x:v>
      </x:c>
      <x:c r="B16" s="79" t="str">
        <x:v>Scar · AVP 2004</x:v>
      </x:c>
      <x:c r="C16" s="79" t="str">
        <x:v>V136</x:v>
      </x:c>
      <x:c r="D16" s="79" t="n">
        <x:v>4</x:v>
      </x:c>
      <x:c r="E16" s="79" t="n">
        <x:v>4</x:v>
      </x:c>
      <x:c r="F16" s="79" t="n">
        <x:v>1</x:v>
      </x:c>
      <x:c r="G16" s="79" t="str">
        <x:v>Art ORIGINAL non canonique (aucun prop vérifié)</x:v>
      </x:c>
      <x:c r="H16" s="79" t="str">
        <x:v>NON VALIDÉ 1:1</x:v>
      </x:c>
      <x:c r="I16" s="79" t="str">
        <x:v>https://predator.illfonic.com/</x:v>
      </x:c>
      <x:c r="J16" s="79" t="str">
        <x:v>public/game/assets/v136/gauntlets/scar/</x:v>
      </x:c>
      <x:c r="K16" s="79" t="str">
        <x:v>https://github.com/darknigthmare/yautja-la-longue-chasse/actions/runs/41196187434/artifacts/13040272198</x:v>
      </x:c>
      <x:c r="L16" s="79" t="str">
        <x:v>https://github.com/darknigthmare/yautja-la-longue-chasse/actions/runs/41196187434/artifacts/13041255745</x:v>
      </x:c>
      <x:c r="M16" s="79" t="str">
        <x:v>Documentation / 3 vues / rig / matériaux / droits</x:v>
      </x:c>
      <x:c r="N16" s="79" t="str">
        <x:v>OUVERT ART ; CODE/PACK PNG PRÊT</x:v>
      </x:c>
    </x:row>
    <x:row r="17" ht="29" customHeight="1">
      <x:c r="A17" s="79" t="str">
        <x:v>celtic</x:v>
      </x:c>
      <x:c r="B17" s="79" t="str">
        <x:v>Celtic · AVP 2004</x:v>
      </x:c>
      <x:c r="C17" s="79" t="str">
        <x:v>V136</x:v>
      </x:c>
      <x:c r="D17" s="79" t="n">
        <x:v>4</x:v>
      </x:c>
      <x:c r="E17" s="79" t="n">
        <x:v>4</x:v>
      </x:c>
      <x:c r="F17" s="79" t="n">
        <x:v>1</x:v>
      </x:c>
      <x:c r="G17" s="79" t="str">
        <x:v>Art ORIGINAL non canonique (aucun prop vérifié)</x:v>
      </x:c>
      <x:c r="H17" s="79" t="str">
        <x:v>NON VALIDÉ 1:1</x:v>
      </x:c>
      <x:c r="I17" s="79" t="str">
        <x:v>https://predator.illfonic.com/</x:v>
      </x:c>
      <x:c r="J17" s="79" t="str">
        <x:v>public/game/assets/v136/gauntlets/celtic/</x:v>
      </x:c>
      <x:c r="K17" s="79" t="str">
        <x:v>https://github.com/darknigthmare/yautja-la-longue-chasse/actions/runs/41196187434/artifacts/13040272198</x:v>
      </x:c>
      <x:c r="L17" s="79" t="str">
        <x:v>https://github.com/darknigthmare/yautja-la-longue-chasse/actions/runs/41196187434/artifacts/13041255745</x:v>
      </x:c>
      <x:c r="M17" s="79" t="str">
        <x:v>Documentation / 3 vues / rig / matériaux / droits</x:v>
      </x:c>
      <x:c r="N17" s="79" t="str">
        <x:v>OUVERT ART ; CODE/PACK PNG PRÊT</x:v>
      </x:c>
    </x:row>
    <x:row r="18" ht="29" customHeight="1">
      <x:c r="A18" s="79" t="str">
        <x:v>chopper</x:v>
      </x:c>
      <x:c r="B18" s="79" t="str">
        <x:v>Chopper · AVP 2004</x:v>
      </x:c>
      <x:c r="C18" s="79" t="str">
        <x:v>V136</x:v>
      </x:c>
      <x:c r="D18" s="79" t="n">
        <x:v>4</x:v>
      </x:c>
      <x:c r="E18" s="79" t="n">
        <x:v>4</x:v>
      </x:c>
      <x:c r="F18" s="79" t="n">
        <x:v>1</x:v>
      </x:c>
      <x:c r="G18" s="79" t="str">
        <x:v>Art ORIGINAL non canonique (aucun prop vérifié)</x:v>
      </x:c>
      <x:c r="H18" s="79" t="str">
        <x:v>NON VALIDÉ 1:1</x:v>
      </x:c>
      <x:c r="I18" s="79" t="str">
        <x:v>https://predator.illfonic.com/</x:v>
      </x:c>
      <x:c r="J18" s="79" t="str">
        <x:v>public/game/assets/v136/gauntlets/chopper/</x:v>
      </x:c>
      <x:c r="K18" s="79" t="str">
        <x:v>https://github.com/darknigthmare/yautja-la-longue-chasse/actions/runs/41196187434/artifacts/13040272198</x:v>
      </x:c>
      <x:c r="L18" s="79" t="str">
        <x:v>https://github.com/darknigthmare/yautja-la-longue-chasse/actions/runs/41196187434/artifacts/13041255745</x:v>
      </x:c>
      <x:c r="M18" s="79" t="str">
        <x:v>Documentation / 3 vues / rig / matériaux / droits</x:v>
      </x:c>
      <x:c r="N18" s="79" t="str">
        <x:v>OUVERT ART ; CODE/PACK PNG PRÊT</x:v>
      </x:c>
    </x:row>
    <x:row r="19" ht="29" customHeight="1">
      <x:c r="A19" s="79" t="str">
        <x:v>avp-elder</x:v>
      </x:c>
      <x:c r="B19" s="79" t="str">
        <x:v>Elder · AVP 2004</x:v>
      </x:c>
      <x:c r="C19" s="79" t="str">
        <x:v>V136</x:v>
      </x:c>
      <x:c r="D19" s="79" t="n">
        <x:v>4</x:v>
      </x:c>
      <x:c r="E19" s="79" t="n">
        <x:v>4</x:v>
      </x:c>
      <x:c r="F19" s="79" t="n">
        <x:v>1</x:v>
      </x:c>
      <x:c r="G19" s="79" t="str">
        <x:v>Art ORIGINAL non canonique (aucun prop vérifié)</x:v>
      </x:c>
      <x:c r="H19" s="79" t="str">
        <x:v>NON VALIDÉ 1:1</x:v>
      </x:c>
      <x:c r="I19" s="79" t="str">
        <x:v>https://www.avpgalaxy.net/merch/neca/predator/series/</x:v>
      </x:c>
      <x:c r="J19" s="79" t="str">
        <x:v>public/game/assets/v136/gauntlets/avp-elder/</x:v>
      </x:c>
      <x:c r="K19" s="79" t="str">
        <x:v>https://github.com/darknigthmare/yautja-la-longue-chasse/actions/runs/41196187434/artifacts/13040272198</x:v>
      </x:c>
      <x:c r="L19" s="79" t="str">
        <x:v>https://github.com/darknigthmare/yautja-la-longue-chasse/actions/runs/41196187434/artifacts/13041255745</x:v>
      </x:c>
      <x:c r="M19" s="79" t="str">
        <x:v>Documentation / 3 vues / rig / matériaux / droits</x:v>
      </x:c>
      <x:c r="N19" s="79" t="str">
        <x:v>OUVERT ART ; CODE/PACK PNG PRÊT</x:v>
      </x:c>
    </x:row>
    <x:row r="20" ht="29" customHeight="1">
      <x:c r="A20" s="79" t="str">
        <x:v>wolf</x:v>
      </x:c>
      <x:c r="B20" s="79" t="str">
        <x:v>Wolf · AVP-R 2007</x:v>
      </x:c>
      <x:c r="C20" s="79" t="str">
        <x:v>V135</x:v>
      </x:c>
      <x:c r="D20" s="79" t="n">
        <x:v>4</x:v>
      </x:c>
      <x:c r="E20" s="79" t="n">
        <x:v>4</x:v>
      </x:c>
      <x:c r="F20" s="79" t="n">
        <x:v>1</x:v>
      </x:c>
      <x:c r="G20" s="79" t="str">
        <x:v>Références à confronter (source identifiable)</x:v>
      </x:c>
      <x:c r="H20" s="79" t="str">
        <x:v>NON VALIDÉ 1:1</x:v>
      </x:c>
      <x:c r="I20" s="79" t="str">
        <x:v>https://propstoreauction.com/lot-details/index/catalog/347/lot/112704</x:v>
      </x:c>
      <x:c r="J20" s="79" t="str">
        <x:v>public/game/assets/v135/gauntlets/wolf/</x:v>
      </x:c>
      <x:c r="K20" s="79" t="str">
        <x:v>https://github.com/darknigthmare/yautja-la-longue-chasse/actions/runs/41196187434/artifacts/13040272198</x:v>
      </x:c>
      <x:c r="L20" s="79" t="str">
        <x:v>https://github.com/darknigthmare/yautja-la-longue-chasse/actions/runs/41196187434/artifacts/13041255745</x:v>
      </x:c>
      <x:c r="M20" s="79" t="str">
        <x:v>Documentation / 3 vues / rig / matériaux / droits</x:v>
      </x:c>
      <x:c r="N20" s="79" t="str">
        <x:v>OUVERT ART ; CODE/PACK PNG PRÊT</x:v>
      </x:c>
    </x:row>
    <x:row r="21" ht="29" customHeight="1">
      <x:c r="A21" s="79" t="str">
        <x:v>captured-classic</x:v>
      </x:c>
      <x:c r="B21" s="79" t="str">
        <x:v>Captured / Classic · Predators 2010</x:v>
      </x:c>
      <x:c r="C21" s="79" t="str">
        <x:v>V136</x:v>
      </x:c>
      <x:c r="D21" s="79" t="n">
        <x:v>4</x:v>
      </x:c>
      <x:c r="E21" s="79" t="n">
        <x:v>4</x:v>
      </x:c>
      <x:c r="F21" s="79" t="n">
        <x:v>1</x:v>
      </x:c>
      <x:c r="G21" s="79" t="str">
        <x:v>Art ORIGINAL non canonique (aucun prop vérifié)</x:v>
      </x:c>
      <x:c r="H21" s="79" t="str">
        <x:v>NON VALIDÉ 1:1</x:v>
      </x:c>
      <x:c r="I21" s="79" t="str">
        <x:v>https://predator.illfonic.com/</x:v>
      </x:c>
      <x:c r="J21" s="79" t="str">
        <x:v>public/game/assets/v136/gauntlets/captured-classic/</x:v>
      </x:c>
      <x:c r="K21" s="79" t="str">
        <x:v>https://github.com/darknigthmare/yautja-la-longue-chasse/actions/runs/41196187434/artifacts/13040272198</x:v>
      </x:c>
      <x:c r="L21" s="79" t="str">
        <x:v>https://github.com/darknigthmare/yautja-la-longue-chasse/actions/runs/41196187434/artifacts/13041255745</x:v>
      </x:c>
      <x:c r="M21" s="79" t="str">
        <x:v>Documentation / 3 vues / rig / matériaux / droits</x:v>
      </x:c>
      <x:c r="N21" s="79" t="str">
        <x:v>OUVERT ART ; CODE/PACK PNG PRÊT</x:v>
      </x:c>
    </x:row>
    <x:row r="22" ht="29" customHeight="1">
      <x:c r="A22" s="79" t="str">
        <x:v>berserker-2010</x:v>
      </x:c>
      <x:c r="B22" s="79" t="str">
        <x:v>Mr Black / Berserker · 2010</x:v>
      </x:c>
      <x:c r="C22" s="79" t="str">
        <x:v>V136</x:v>
      </x:c>
      <x:c r="D22" s="79" t="n">
        <x:v>4</x:v>
      </x:c>
      <x:c r="E22" s="79" t="n">
        <x:v>4</x:v>
      </x:c>
      <x:c r="F22" s="79" t="n">
        <x:v>1</x:v>
      </x:c>
      <x:c r="G22" s="79" t="str">
        <x:v>Art ORIGINAL non canonique (aucun prop vérifié)</x:v>
      </x:c>
      <x:c r="H22" s="79" t="str">
        <x:v>NON VALIDÉ 1:1</x:v>
      </x:c>
      <x:c r="I22" s="79" t="str">
        <x:v>https://predator.illfonic.com/</x:v>
      </x:c>
      <x:c r="J22" s="79" t="str">
        <x:v>public/game/assets/v136/gauntlets/berserker-2010/</x:v>
      </x:c>
      <x:c r="K22" s="79" t="str">
        <x:v>https://github.com/darknigthmare/yautja-la-longue-chasse/actions/runs/41196187434/artifacts/13040272198</x:v>
      </x:c>
      <x:c r="L22" s="79" t="str">
        <x:v>https://github.com/darknigthmare/yautja-la-longue-chasse/actions/runs/41196187434/artifacts/13041255745</x:v>
      </x:c>
      <x:c r="M22" s="79" t="str">
        <x:v>Documentation / 3 vues / rig / matériaux / droits</x:v>
      </x:c>
      <x:c r="N22" s="79" t="str">
        <x:v>OUVERT ART ; CODE/PACK PNG PRÊT</x:v>
      </x:c>
    </x:row>
    <x:row r="23" ht="29" customHeight="1">
      <x:c r="A23" s="79" t="str">
        <x:v>falconer-2010</x:v>
      </x:c>
      <x:c r="B23" s="79" t="str">
        <x:v>Falconer · 2010</x:v>
      </x:c>
      <x:c r="C23" s="79" t="str">
        <x:v>V136</x:v>
      </x:c>
      <x:c r="D23" s="79" t="n">
        <x:v>4</x:v>
      </x:c>
      <x:c r="E23" s="79" t="n">
        <x:v>4</x:v>
      </x:c>
      <x:c r="F23" s="79" t="n">
        <x:v>1</x:v>
      </x:c>
      <x:c r="G23" s="79" t="str">
        <x:v>Art ORIGINAL non canonique (aucun prop vérifié)</x:v>
      </x:c>
      <x:c r="H23" s="79" t="str">
        <x:v>NON VALIDÉ 1:1</x:v>
      </x:c>
      <x:c r="I23" s="79" t="str">
        <x:v>https://predator.illfonic.com/</x:v>
      </x:c>
      <x:c r="J23" s="79" t="str">
        <x:v>public/game/assets/v136/gauntlets/falconer-2010/</x:v>
      </x:c>
      <x:c r="K23" s="79" t="str">
        <x:v>https://github.com/darknigthmare/yautja-la-longue-chasse/actions/runs/41196187434/artifacts/13040272198</x:v>
      </x:c>
      <x:c r="L23" s="79" t="str">
        <x:v>https://github.com/darknigthmare/yautja-la-longue-chasse/actions/runs/41196187434/artifacts/13041255745</x:v>
      </x:c>
      <x:c r="M23" s="79" t="str">
        <x:v>Documentation / 3 vues / rig / matériaux / droits</x:v>
      </x:c>
      <x:c r="N23" s="79" t="str">
        <x:v>OUVERT ART ; CODE/PACK PNG PRÊT</x:v>
      </x:c>
    </x:row>
    <x:row r="24" ht="29" customHeight="1">
      <x:c r="A24" s="79" t="str">
        <x:v>tracker-2010</x:v>
      </x:c>
      <x:c r="B24" s="79" t="str">
        <x:v>Tracker · 2010</x:v>
      </x:c>
      <x:c r="C24" s="79" t="str">
        <x:v>V136</x:v>
      </x:c>
      <x:c r="D24" s="79" t="n">
        <x:v>4</x:v>
      </x:c>
      <x:c r="E24" s="79" t="n">
        <x:v>4</x:v>
      </x:c>
      <x:c r="F24" s="79" t="n">
        <x:v>1</x:v>
      </x:c>
      <x:c r="G24" s="79" t="str">
        <x:v>Art ORIGINAL non canonique (aucun prop vérifié)</x:v>
      </x:c>
      <x:c r="H24" s="79" t="str">
        <x:v>NON VALIDÉ 1:1</x:v>
      </x:c>
      <x:c r="I24" s="79" t="str">
        <x:v>https://predator.illfonic.com/</x:v>
      </x:c>
      <x:c r="J24" s="79" t="str">
        <x:v>public/game/assets/v136/gauntlets/tracker-2010/</x:v>
      </x:c>
      <x:c r="K24" s="79" t="str">
        <x:v>https://github.com/darknigthmare/yautja-la-longue-chasse/actions/runs/41196187434/artifacts/13040272198</x:v>
      </x:c>
      <x:c r="L24" s="79" t="str">
        <x:v>https://github.com/darknigthmare/yautja-la-longue-chasse/actions/runs/41196187434/artifacts/13041255745</x:v>
      </x:c>
      <x:c r="M24" s="79" t="str">
        <x:v>Documentation / 3 vues / rig / matériaux / droits</x:v>
      </x:c>
      <x:c r="N24" s="79" t="str">
        <x:v>OUVERT ART ; CODE/PACK PNG PRÊT</x:v>
      </x:c>
    </x:row>
    <x:row r="25" ht="29" customHeight="1">
      <x:c r="A25" s="79" t="str">
        <x:v>fugitive</x:v>
      </x:c>
      <x:c r="B25" s="79" t="str">
        <x:v>Fugitive · The Predator 2018</x:v>
      </x:c>
      <x:c r="C25" s="79" t="str">
        <x:v>V136</x:v>
      </x:c>
      <x:c r="D25" s="79" t="n">
        <x:v>4</x:v>
      </x:c>
      <x:c r="E25" s="79" t="n">
        <x:v>4</x:v>
      </x:c>
      <x:c r="F25" s="79" t="n">
        <x:v>1</x:v>
      </x:c>
      <x:c r="G25" s="79" t="str">
        <x:v>Art ORIGINAL non canonique (aucun prop vérifié)</x:v>
      </x:c>
      <x:c r="H25" s="79" t="str">
        <x:v>NON VALIDÉ 1:1</x:v>
      </x:c>
      <x:c r="I25" s="79" t="str">
        <x:v>https://www.avpgalaxy.net/merch/neca/predator/series/</x:v>
      </x:c>
      <x:c r="J25" s="79" t="str">
        <x:v>public/game/assets/v136/gauntlets/fugitive/</x:v>
      </x:c>
      <x:c r="K25" s="79" t="str">
        <x:v>https://github.com/darknigthmare/yautja-la-longue-chasse/actions/runs/41196187434/artifacts/13040272198</x:v>
      </x:c>
      <x:c r="L25" s="79" t="str">
        <x:v>https://github.com/darknigthmare/yautja-la-longue-chasse/actions/runs/41196187434/artifacts/13041255745</x:v>
      </x:c>
      <x:c r="M25" s="79" t="str">
        <x:v>Documentation / 3 vues / rig / matériaux / droits</x:v>
      </x:c>
      <x:c r="N25" s="79" t="str">
        <x:v>OUVERT ART ; CODE/PACK PNG PRÊT</x:v>
      </x:c>
    </x:row>
    <x:row r="26" ht="29" customHeight="1">
      <x:c r="A26" s="79" t="str">
        <x:v>assassin</x:v>
      </x:c>
      <x:c r="B26" s="79" t="str">
        <x:v>Upgrade / Assassin · The Predator 2018</x:v>
      </x:c>
      <x:c r="C26" s="79" t="str">
        <x:v>V136</x:v>
      </x:c>
      <x:c r="D26" s="79" t="n">
        <x:v>4</x:v>
      </x:c>
      <x:c r="E26" s="79" t="n">
        <x:v>4</x:v>
      </x:c>
      <x:c r="F26" s="79" t="n">
        <x:v>1</x:v>
      </x:c>
      <x:c r="G26" s="79" t="str">
        <x:v>Art ORIGINAL non canonique (aucun prop vérifié)</x:v>
      </x:c>
      <x:c r="H26" s="79" t="str">
        <x:v>NON VALIDÉ 1:1</x:v>
      </x:c>
      <x:c r="I26" s="79" t="str">
        <x:v>https://www.avpgalaxy.net/merch/neca/predator/series/</x:v>
      </x:c>
      <x:c r="J26" s="79" t="str">
        <x:v>public/game/assets/v136/gauntlets/assassin/</x:v>
      </x:c>
      <x:c r="K26" s="79" t="str">
        <x:v>https://github.com/darknigthmare/yautja-la-longue-chasse/actions/runs/41196187434/artifacts/13040272198</x:v>
      </x:c>
      <x:c r="L26" s="79" t="str">
        <x:v>https://github.com/darknigthmare/yautja-la-longue-chasse/actions/runs/41196187434/artifacts/13041255745</x:v>
      </x:c>
      <x:c r="M26" s="79" t="str">
        <x:v>Documentation / 3 vues / rig / matériaux / droits</x:v>
      </x:c>
      <x:c r="N26" s="79" t="str">
        <x:v>OUVERT ART ; CODE/PACK PNG PRÊT</x:v>
      </x:c>
    </x:row>
    <x:row r="27" ht="29" customHeight="1">
      <x:c r="A27" s="79" t="str">
        <x:v>feral</x:v>
      </x:c>
      <x:c r="B27" s="79" t="str">
        <x:v>Feral · Prey 2022</x:v>
      </x:c>
      <x:c r="C27" s="79" t="str">
        <x:v>V135</x:v>
      </x:c>
      <x:c r="D27" s="79" t="n">
        <x:v>4</x:v>
      </x:c>
      <x:c r="E27" s="79" t="n">
        <x:v>4</x:v>
      </x:c>
      <x:c r="F27" s="79" t="n">
        <x:v>1</x:v>
      </x:c>
      <x:c r="G27" s="79" t="str">
        <x:v>Références à confronter (source identifiable)</x:v>
      </x:c>
      <x:c r="H27" s="79" t="str">
        <x:v>NON VALIDÉ 1:1</x:v>
      </x:c>
      <x:c r="I27" s="79" t="str">
        <x:v>https://www.avpgalaxy.net/2022/07/31/new-prey-tv-spot-shows-feral-predators-cloak-vision-modes-and-gadgets/</x:v>
      </x:c>
      <x:c r="J27" s="79" t="str">
        <x:v>public/game/assets/v135/gauntlets/feral/</x:v>
      </x:c>
      <x:c r="K27" s="79" t="str">
        <x:v>https://github.com/darknigthmare/yautja-la-longue-chasse/actions/runs/41196187434/artifacts/13040272198</x:v>
      </x:c>
      <x:c r="L27" s="79" t="str">
        <x:v>https://github.com/darknigthmare/yautja-la-longue-chasse/actions/runs/41196187434/artifacts/13041255745</x:v>
      </x:c>
      <x:c r="M27" s="79" t="str">
        <x:v>Documentation / 3 vues / rig / matériaux / droits</x:v>
      </x:c>
      <x:c r="N27" s="79" t="str">
        <x:v>OUVERT ART ; CODE/PACK PNG PRÊT</x:v>
      </x:c>
    </x:row>
    <x:row r="28" ht="29" customHeight="1">
      <x:c r="A28" s="79" t="str">
        <x:v>dek</x:v>
      </x:c>
      <x:c r="B28" s="79" t="str">
        <x:v>Dek · Badlands 2025</x:v>
      </x:c>
      <x:c r="C28" s="79" t="str">
        <x:v>V135</x:v>
      </x:c>
      <x:c r="D28" s="79" t="n">
        <x:v>4</x:v>
      </x:c>
      <x:c r="E28" s="79" t="n">
        <x:v>4</x:v>
      </x:c>
      <x:c r="F28" s="79" t="n">
        <x:v>1</x:v>
      </x:c>
      <x:c r="G28" s="79" t="str">
        <x:v>Références à confronter (source identifiable)</x:v>
      </x:c>
      <x:c r="H28" s="79" t="str">
        <x:v>NON VALIDÉ 1:1</x:v>
      </x:c>
      <x:c r="I28" s="79" t="str">
        <x:v>https://www.wetaworkshop.com/projects/predator-badlands</x:v>
      </x:c>
      <x:c r="J28" s="79" t="str">
        <x:v>public/game/assets/v135/gauntlets/dek/</x:v>
      </x:c>
      <x:c r="K28" s="79" t="str">
        <x:v>https://github.com/darknigthmare/yautja-la-longue-chasse/actions/runs/41196187434/artifacts/13040272198</x:v>
      </x:c>
      <x:c r="L28" s="79" t="str">
        <x:v>https://github.com/darknigthmare/yautja-la-longue-chasse/actions/runs/41196187434/artifacts/13041255745</x:v>
      </x:c>
      <x:c r="M28" s="79" t="str">
        <x:v>Documentation / 3 vues / rig / matériaux / droits</x:v>
      </x:c>
      <x:c r="N28" s="79" t="str">
        <x:v>OUVERT ART ; CODE/PACK PNG PRÊT</x:v>
      </x:c>
    </x:row>
    <x:row r="29" ht="29" customHeight="1">
      <x:c r="A29" s="79" t="str">
        <x:v>kwei</x:v>
      </x:c>
      <x:c r="B29" s="79" t="str">
        <x:v>Kwei · Badlands 2025</x:v>
      </x:c>
      <x:c r="C29" s="79" t="str">
        <x:v>V136</x:v>
      </x:c>
      <x:c r="D29" s="79" t="n">
        <x:v>4</x:v>
      </x:c>
      <x:c r="E29" s="79" t="n">
        <x:v>4</x:v>
      </x:c>
      <x:c r="F29" s="79" t="n">
        <x:v>1</x:v>
      </x:c>
      <x:c r="G29" s="79" t="str">
        <x:v>Art ORIGINAL non canonique (aucun prop vérifié)</x:v>
      </x:c>
      <x:c r="H29" s="79" t="str">
        <x:v>NON VALIDÉ 1:1</x:v>
      </x:c>
      <x:c r="I29" s="79" t="str">
        <x:v>https://wetaworkshopdesignstudio.artstation.com/projects/rlxRPa</x:v>
      </x:c>
      <x:c r="J29" s="79" t="str">
        <x:v>public/game/assets/v136/gauntlets/kwei/</x:v>
      </x:c>
      <x:c r="K29" s="79" t="str">
        <x:v>https://github.com/darknigthmare/yautja-la-longue-chasse/actions/runs/41196187434/artifacts/13040272198</x:v>
      </x:c>
      <x:c r="L29" s="79" t="str">
        <x:v>https://github.com/darknigthmare/yautja-la-longue-chasse/actions/runs/41196187434/artifacts/13041255745</x:v>
      </x:c>
      <x:c r="M29" s="79" t="str">
        <x:v>Documentation / 3 vues / rig / matériaux / droits</x:v>
      </x:c>
      <x:c r="N29" s="79" t="str">
        <x:v>OUVERT ART ; CODE/PACK PNG PRÊT</x:v>
      </x:c>
    </x:row>
    <x:row r="30" ht="29" customHeight="1">
      <x:c r="A30" s="79" t="str">
        <x:v>njohrr</x:v>
      </x:c>
      <x:c r="B30" s="79" t="str">
        <x:v>Njohrr · Badlands 2025</x:v>
      </x:c>
      <x:c r="C30" s="79" t="str">
        <x:v>V136</x:v>
      </x:c>
      <x:c r="D30" s="79" t="n">
        <x:v>4</x:v>
      </x:c>
      <x:c r="E30" s="79" t="n">
        <x:v>4</x:v>
      </x:c>
      <x:c r="F30" s="79" t="n">
        <x:v>1</x:v>
      </x:c>
      <x:c r="G30" s="79" t="str">
        <x:v>Art ORIGINAL non canonique (aucun prop vérifié)</x:v>
      </x:c>
      <x:c r="H30" s="79" t="str">
        <x:v>NON VALIDÉ 1:1</x:v>
      </x:c>
      <x:c r="I30" s="79" t="str">
        <x:v>https://wetaworkshopdesignstudio.artstation.com/projects/rlxRPa</x:v>
      </x:c>
      <x:c r="J30" s="79" t="str">
        <x:v>public/game/assets/v136/gauntlets/njohrr/</x:v>
      </x:c>
      <x:c r="K30" s="79" t="str">
        <x:v>https://github.com/darknigthmare/yautja-la-longue-chasse/actions/runs/41196187434/artifacts/13040272198</x:v>
      </x:c>
      <x:c r="L30" s="79" t="str">
        <x:v>https://github.com/darknigthmare/yautja-la-longue-chasse/actions/runs/41196187434/artifacts/13041255745</x:v>
      </x:c>
      <x:c r="M30" s="79" t="str">
        <x:v>Documentation / 3 vues / rig / matériaux / droits</x:v>
      </x:c>
      <x:c r="N30" s="79" t="str">
        <x:v>OUVERT ART ; CODE/PACK PNG PRÊT</x:v>
      </x:c>
    </x:row>
    <x:row r="31" ht="29" customHeight="1">
      <x:c r="A31" s="79" t="str">
        <x:v>kok-viking</x:v>
      </x:c>
      <x:c r="B31" s="79" t="str">
        <x:v>Chasseur Viking · Killer of Killers</x:v>
      </x:c>
      <x:c r="C31" s="79" t="str">
        <x:v>V136</x:v>
      </x:c>
      <x:c r="D31" s="79" t="n">
        <x:v>4</x:v>
      </x:c>
      <x:c r="E31" s="79" t="n">
        <x:v>4</x:v>
      </x:c>
      <x:c r="F31" s="79" t="n">
        <x:v>1</x:v>
      </x:c>
      <x:c r="G31" s="79" t="str">
        <x:v>Art ORIGINAL non canonique (aucun prop vérifié)</x:v>
      </x:c>
      <x:c r="H31" s="79" t="str">
        <x:v>NON VALIDÉ 1:1</x:v>
      </x:c>
      <x:c r="I31" s="79" t="str">
        <x:v>https://www.20thcenturystudios.com/movies/predator-killer-of-killers</x:v>
      </x:c>
      <x:c r="J31" s="79" t="str">
        <x:v>public/game/assets/v136/gauntlets/kok-viking/</x:v>
      </x:c>
      <x:c r="K31" s="79" t="str">
        <x:v>https://github.com/darknigthmare/yautja-la-longue-chasse/actions/runs/41196187434/artifacts/13040272198</x:v>
      </x:c>
      <x:c r="L31" s="79" t="str">
        <x:v>https://github.com/darknigthmare/yautja-la-longue-chasse/actions/runs/41196187434/artifacts/13041255745</x:v>
      </x:c>
      <x:c r="M31" s="79" t="str">
        <x:v>Documentation / 3 vues / rig / matériaux / droits</x:v>
      </x:c>
      <x:c r="N31" s="79" t="str">
        <x:v>OUVERT ART ; CODE/PACK PNG PRÊT</x:v>
      </x:c>
    </x:row>
    <x:row r="32" ht="29" customHeight="1">
      <x:c r="A32" s="79" t="str">
        <x:v>kok-ninja</x:v>
      </x:c>
      <x:c r="B32" s="79" t="str">
        <x:v>Chasseur Ninja · Killer of Killers</x:v>
      </x:c>
      <x:c r="C32" s="79" t="str">
        <x:v>V136</x:v>
      </x:c>
      <x:c r="D32" s="79" t="n">
        <x:v>4</x:v>
      </x:c>
      <x:c r="E32" s="79" t="n">
        <x:v>4</x:v>
      </x:c>
      <x:c r="F32" s="79" t="n">
        <x:v>1</x:v>
      </x:c>
      <x:c r="G32" s="79" t="str">
        <x:v>Art ORIGINAL non canonique (aucun prop vérifié)</x:v>
      </x:c>
      <x:c r="H32" s="79" t="str">
        <x:v>NON VALIDÉ 1:1</x:v>
      </x:c>
      <x:c r="I32" s="79" t="str">
        <x:v>https://www.20thcenturystudios.com/movies/predator-killer-of-killers</x:v>
      </x:c>
      <x:c r="J32" s="79" t="str">
        <x:v>public/game/assets/v136/gauntlets/kok-ninja/</x:v>
      </x:c>
      <x:c r="K32" s="79" t="str">
        <x:v>https://github.com/darknigthmare/yautja-la-longue-chasse/actions/runs/41196187434/artifacts/13040272198</x:v>
      </x:c>
      <x:c r="L32" s="79" t="str">
        <x:v>https://github.com/darknigthmare/yautja-la-longue-chasse/actions/runs/41196187434/artifacts/13041255745</x:v>
      </x:c>
      <x:c r="M32" s="79" t="str">
        <x:v>Documentation / 3 vues / rig / matériaux / droits</x:v>
      </x:c>
      <x:c r="N32" s="79" t="str">
        <x:v>OUVERT ART ; CODE/PACK PNG PRÊT</x:v>
      </x:c>
    </x:row>
    <x:row r="33" ht="29" customHeight="1">
      <x:c r="A33" s="79" t="str">
        <x:v>kok-pilot</x:v>
      </x:c>
      <x:c r="B33" s="79" t="str">
        <x:v>Chasseur Pilote · Killer of Killers</x:v>
      </x:c>
      <x:c r="C33" s="79" t="str">
        <x:v>V136</x:v>
      </x:c>
      <x:c r="D33" s="79" t="n">
        <x:v>4</x:v>
      </x:c>
      <x:c r="E33" s="79" t="n">
        <x:v>4</x:v>
      </x:c>
      <x:c r="F33" s="79" t="n">
        <x:v>1</x:v>
      </x:c>
      <x:c r="G33" s="79" t="str">
        <x:v>Art ORIGINAL non canonique (aucun prop vérifié)</x:v>
      </x:c>
      <x:c r="H33" s="79" t="str">
        <x:v>NON VALIDÉ 1:1</x:v>
      </x:c>
      <x:c r="I33" s="79" t="str">
        <x:v>https://www.20thcenturystudios.com/movies/predator-killer-of-killers</x:v>
      </x:c>
      <x:c r="J33" s="79" t="str">
        <x:v>public/game/assets/v136/gauntlets/kok-pilot/</x:v>
      </x:c>
      <x:c r="K33" s="79" t="str">
        <x:v>https://github.com/darknigthmare/yautja-la-longue-chasse/actions/runs/41196187434/artifacts/13040272198</x:v>
      </x:c>
      <x:c r="L33" s="79" t="str">
        <x:v>https://github.com/darknigthmare/yautja-la-longue-chasse/actions/runs/41196187434/artifacts/13041255745</x:v>
      </x:c>
      <x:c r="M33" s="79" t="str">
        <x:v>Documentation / 3 vues / rig / matériaux / droits</x:v>
      </x:c>
      <x:c r="N33" s="79" t="str">
        <x:v>OUVERT ART ; CODE/PACK PNG PRÊT</x:v>
      </x:c>
    </x:row>
    <x:row r="34" ht="29" customHeight="1">
      <x:c r="A34" s="79" t="str">
        <x:v>kok-grendel</x:v>
      </x:c>
      <x:c r="B34" s="79" t="str">
        <x:v>Grendel King · Killer of Killers</x:v>
      </x:c>
      <x:c r="C34" s="79" t="str">
        <x:v>V136</x:v>
      </x:c>
      <x:c r="D34" s="79" t="n">
        <x:v>4</x:v>
      </x:c>
      <x:c r="E34" s="79" t="n">
        <x:v>4</x:v>
      </x:c>
      <x:c r="F34" s="79" t="n">
        <x:v>1</x:v>
      </x:c>
      <x:c r="G34" s="79" t="str">
        <x:v>Art ORIGINAL non canonique (aucun prop vérifié)</x:v>
      </x:c>
      <x:c r="H34" s="79" t="str">
        <x:v>NON VALIDÉ 1:1</x:v>
      </x:c>
      <x:c r="I34" s="79" t="str">
        <x:v>https://www.20thcenturystudios.com/movies/predator-killer-of-killers</x:v>
      </x:c>
      <x:c r="J34" s="79" t="str">
        <x:v>public/game/assets/v136/gauntlets/kok-grendel/</x:v>
      </x:c>
      <x:c r="K34" s="79" t="str">
        <x:v>https://github.com/darknigthmare/yautja-la-longue-chasse/actions/runs/41196187434/artifacts/13040272198</x:v>
      </x:c>
      <x:c r="L34" s="79" t="str">
        <x:v>https://github.com/darknigthmare/yautja-la-longue-chasse/actions/runs/41196187434/artifacts/13041255745</x:v>
      </x:c>
      <x:c r="M34" s="79" t="str">
        <x:v>Documentation / 3 vues / rig / matériaux / droits</x:v>
      </x:c>
      <x:c r="N34" s="79" t="str">
        <x:v>OUVERT ART ; CODE/PACK PNG PRÊT</x:v>
      </x:c>
    </x:row>
    <x:row r="35" ht="29" customHeight="1">
      <x:c r="A35" s="79" t="str">
        <x:v>phg-hunter</x:v>
      </x:c>
      <x:c r="B35" s="79" t="str">
        <x:v>Hunter · PHG</x:v>
      </x:c>
      <x:c r="C35" s="79" t="str">
        <x:v>V136</x:v>
      </x:c>
      <x:c r="D35" s="79" t="n">
        <x:v>4</x:v>
      </x:c>
      <x:c r="E35" s="79" t="n">
        <x:v>4</x:v>
      </x:c>
      <x:c r="F35" s="79" t="n">
        <x:v>1</x:v>
      </x:c>
      <x:c r="G35" s="79" t="str">
        <x:v>Art ORIGINAL non canonique (aucun prop vérifié)</x:v>
      </x:c>
      <x:c r="H35" s="79" t="str">
        <x:v>NON VALIDÉ 1:1</x:v>
      </x:c>
      <x:c r="I35" s="79" t="str">
        <x:v>https://predator.illfonic.com/</x:v>
      </x:c>
      <x:c r="J35" s="79" t="str">
        <x:v>public/game/assets/v136/gauntlets/phg-hunter/</x:v>
      </x:c>
      <x:c r="K35" s="79" t="str">
        <x:v>https://github.com/darknigthmare/yautja-la-longue-chasse/actions/runs/41196187434/artifacts/13040272198</x:v>
      </x:c>
      <x:c r="L35" s="79" t="str">
        <x:v>https://github.com/darknigthmare/yautja-la-longue-chasse/actions/runs/41196187434/artifacts/13041255745</x:v>
      </x:c>
      <x:c r="M35" s="79" t="str">
        <x:v>Documentation / 3 vues / rig / matériaux / droits</x:v>
      </x:c>
      <x:c r="N35" s="79" t="str">
        <x:v>OUVERT ART ; CODE/PACK PNG PRÊT</x:v>
      </x:c>
    </x:row>
    <x:row r="36" ht="29" customHeight="1">
      <x:c r="A36" s="79" t="str">
        <x:v>phg-scout</x:v>
      </x:c>
      <x:c r="B36" s="79" t="str">
        <x:v>Scout · PHG</x:v>
      </x:c>
      <x:c r="C36" s="79" t="str">
        <x:v>V136</x:v>
      </x:c>
      <x:c r="D36" s="79" t="n">
        <x:v>4</x:v>
      </x:c>
      <x:c r="E36" s="79" t="n">
        <x:v>4</x:v>
      </x:c>
      <x:c r="F36" s="79" t="n">
        <x:v>1</x:v>
      </x:c>
      <x:c r="G36" s="79" t="str">
        <x:v>Art ORIGINAL non canonique (aucun prop vérifié)</x:v>
      </x:c>
      <x:c r="H36" s="79" t="str">
        <x:v>NON VALIDÉ 1:1</x:v>
      </x:c>
      <x:c r="I36" s="79" t="str">
        <x:v>https://predator.illfonic.com/</x:v>
      </x:c>
      <x:c r="J36" s="79" t="str">
        <x:v>public/game/assets/v136/gauntlets/phg-scout/</x:v>
      </x:c>
      <x:c r="K36" s="79" t="str">
        <x:v>https://github.com/darknigthmare/yautja-la-longue-chasse/actions/runs/41196187434/artifacts/13040272198</x:v>
      </x:c>
      <x:c r="L36" s="79" t="str">
        <x:v>https://github.com/darknigthmare/yautja-la-longue-chasse/actions/runs/41196187434/artifacts/13041255745</x:v>
      </x:c>
      <x:c r="M36" s="79" t="str">
        <x:v>Documentation / 3 vues / rig / matériaux / droits</x:v>
      </x:c>
      <x:c r="N36" s="79" t="str">
        <x:v>OUVERT ART ; CODE/PACK PNG PRÊT</x:v>
      </x:c>
    </x:row>
    <x:row r="37" ht="29" customHeight="1">
      <x:c r="A37" s="79" t="str">
        <x:v>phg-berserker</x:v>
      </x:c>
      <x:c r="B37" s="79" t="str">
        <x:v>Berserker · PHG</x:v>
      </x:c>
      <x:c r="C37" s="79" t="str">
        <x:v>V136</x:v>
      </x:c>
      <x:c r="D37" s="79" t="n">
        <x:v>4</x:v>
      </x:c>
      <x:c r="E37" s="79" t="n">
        <x:v>4</x:v>
      </x:c>
      <x:c r="F37" s="79" t="n">
        <x:v>1</x:v>
      </x:c>
      <x:c r="G37" s="79" t="str">
        <x:v>Art ORIGINAL non canonique (aucun prop vérifié)</x:v>
      </x:c>
      <x:c r="H37" s="79" t="str">
        <x:v>NON VALIDÉ 1:1</x:v>
      </x:c>
      <x:c r="I37" s="79" t="str">
        <x:v>https://predator.illfonic.com/</x:v>
      </x:c>
      <x:c r="J37" s="79" t="str">
        <x:v>public/game/assets/v136/gauntlets/phg-berserker/</x:v>
      </x:c>
      <x:c r="K37" s="79" t="str">
        <x:v>https://github.com/darknigthmare/yautja-la-longue-chasse/actions/runs/41196187434/artifacts/13040272198</x:v>
      </x:c>
      <x:c r="L37" s="79" t="str">
        <x:v>https://github.com/darknigthmare/yautja-la-longue-chasse/actions/runs/41196187434/artifacts/13041255745</x:v>
      </x:c>
      <x:c r="M37" s="79" t="str">
        <x:v>Documentation / 3 vues / rig / matériaux / droits</x:v>
      </x:c>
      <x:c r="N37" s="79" t="str">
        <x:v>OUVERT ART ; CODE/PACK PNG PRÊT</x:v>
      </x:c>
    </x:row>
    <x:row r="38" ht="29" customHeight="1">
      <x:c r="A38" s="79" t="str">
        <x:v>phg-alpha</x:v>
      </x:c>
      <x:c r="B38" s="79" t="str">
        <x:v>Alpha · PHG</x:v>
      </x:c>
      <x:c r="C38" s="79" t="str">
        <x:v>V136</x:v>
      </x:c>
      <x:c r="D38" s="79" t="n">
        <x:v>4</x:v>
      </x:c>
      <x:c r="E38" s="79" t="n">
        <x:v>4</x:v>
      </x:c>
      <x:c r="F38" s="79" t="n">
        <x:v>1</x:v>
      </x:c>
      <x:c r="G38" s="79" t="str">
        <x:v>Art ORIGINAL non canonique (aucun prop vérifié)</x:v>
      </x:c>
      <x:c r="H38" s="79" t="str">
        <x:v>NON VALIDÉ 1:1</x:v>
      </x:c>
      <x:c r="I38" s="79" t="str">
        <x:v>https://predator.illfonic.com/</x:v>
      </x:c>
      <x:c r="J38" s="79" t="str">
        <x:v>public/game/assets/v136/gauntlets/phg-alpha/</x:v>
      </x:c>
      <x:c r="K38" s="79" t="str">
        <x:v>https://github.com/darknigthmare/yautja-la-longue-chasse/actions/runs/41196187434/artifacts/13040272198</x:v>
      </x:c>
      <x:c r="L38" s="79" t="str">
        <x:v>https://github.com/darknigthmare/yautja-la-longue-chasse/actions/runs/41196187434/artifacts/13041255745</x:v>
      </x:c>
      <x:c r="M38" s="79" t="str">
        <x:v>Documentation / 3 vues / rig / matériaux / droits</x:v>
      </x:c>
      <x:c r="N38" s="79" t="str">
        <x:v>OUVERT ART ; CODE/PACK PNG PRÊT</x:v>
      </x:c>
    </x:row>
    <x:row r="39" ht="29" customHeight="1">
      <x:c r="A39" s="79" t="str">
        <x:v>phg-samurai</x:v>
      </x:c>
      <x:c r="B39" s="79" t="str">
        <x:v>Samurai · PHG</x:v>
      </x:c>
      <x:c r="C39" s="79" t="str">
        <x:v>V136</x:v>
      </x:c>
      <x:c r="D39" s="79" t="n">
        <x:v>4</x:v>
      </x:c>
      <x:c r="E39" s="79" t="n">
        <x:v>4</x:v>
      </x:c>
      <x:c r="F39" s="79" t="n">
        <x:v>1</x:v>
      </x:c>
      <x:c r="G39" s="79" t="str">
        <x:v>Art ORIGINAL non canonique (aucun prop vérifié)</x:v>
      </x:c>
      <x:c r="H39" s="79" t="str">
        <x:v>NON VALIDÉ 1:1</x:v>
      </x:c>
      <x:c r="I39" s="79" t="str">
        <x:v>https://predator.illfonic.com/</x:v>
      </x:c>
      <x:c r="J39" s="79" t="str">
        <x:v>public/game/assets/v136/gauntlets/phg-samurai/</x:v>
      </x:c>
      <x:c r="K39" s="79" t="str">
        <x:v>https://github.com/darknigthmare/yautja-la-longue-chasse/actions/runs/41196187434/artifacts/13040272198</x:v>
      </x:c>
      <x:c r="L39" s="79" t="str">
        <x:v>https://github.com/darknigthmare/yautja-la-longue-chasse/actions/runs/41196187434/artifacts/13041255745</x:v>
      </x:c>
      <x:c r="M39" s="79" t="str">
        <x:v>Documentation / 3 vues / rig / matériaux / droits</x:v>
      </x:c>
      <x:c r="N39" s="79" t="str">
        <x:v>OUVERT ART ; CODE/PACK PNG PRÊT</x:v>
      </x:c>
    </x:row>
    <x:row r="40" ht="29" customHeight="1">
      <x:c r="A40" s="79" t="str">
        <x:v>phg-viking</x:v>
      </x:c>
      <x:c r="B40" s="79" t="str">
        <x:v>Viking · PHG</x:v>
      </x:c>
      <x:c r="C40" s="79" t="str">
        <x:v>V136</x:v>
      </x:c>
      <x:c r="D40" s="79" t="n">
        <x:v>4</x:v>
      </x:c>
      <x:c r="E40" s="79" t="n">
        <x:v>4</x:v>
      </x:c>
      <x:c r="F40" s="79" t="n">
        <x:v>1</x:v>
      </x:c>
      <x:c r="G40" s="79" t="str">
        <x:v>Art ORIGINAL non canonique (aucun prop vérifié)</x:v>
      </x:c>
      <x:c r="H40" s="79" t="str">
        <x:v>NON VALIDÉ 1:1</x:v>
      </x:c>
      <x:c r="I40" s="79" t="str">
        <x:v>https://predator.illfonic.com/</x:v>
      </x:c>
      <x:c r="J40" s="79" t="str">
        <x:v>public/game/assets/v136/gauntlets/phg-viking/</x:v>
      </x:c>
      <x:c r="K40" s="79" t="str">
        <x:v>https://github.com/darknigthmare/yautja-la-longue-chasse/actions/runs/41196187434/artifacts/13040272198</x:v>
      </x:c>
      <x:c r="L40" s="79" t="str">
        <x:v>https://github.com/darknigthmare/yautja-la-longue-chasse/actions/runs/41196187434/artifacts/13041255745</x:v>
      </x:c>
      <x:c r="M40" s="79" t="str">
        <x:v>Documentation / 3 vues / rig / matériaux / droits</x:v>
      </x:c>
      <x:c r="N40" s="79" t="str">
        <x:v>OUVERT ART ; CODE/PACK PNG PRÊT</x:v>
      </x:c>
    </x:row>
    <x:row r="41" ht="29" customHeight="1">
      <x:c r="A41" s="79" t="str">
        <x:v>phg-valkyrie</x:v>
      </x:c>
      <x:c r="B41" s="79" t="str">
        <x:v>Valkyrie · PHG</x:v>
      </x:c>
      <x:c r="C41" s="79" t="str">
        <x:v>V136</x:v>
      </x:c>
      <x:c r="D41" s="79" t="n">
        <x:v>4</x:v>
      </x:c>
      <x:c r="E41" s="79" t="n">
        <x:v>4</x:v>
      </x:c>
      <x:c r="F41" s="79" t="n">
        <x:v>1</x:v>
      </x:c>
      <x:c r="G41" s="79" t="str">
        <x:v>Art ORIGINAL non canonique (aucun prop vérifié)</x:v>
      </x:c>
      <x:c r="H41" s="79" t="str">
        <x:v>NON VALIDÉ 1:1</x:v>
      </x:c>
      <x:c r="I41" s="79" t="str">
        <x:v>https://predator.illfonic.com/</x:v>
      </x:c>
      <x:c r="J41" s="79" t="str">
        <x:v>public/game/assets/v136/gauntlets/phg-valkyrie/</x:v>
      </x:c>
      <x:c r="K41" s="79" t="str">
        <x:v>https://github.com/darknigthmare/yautja-la-longue-chasse/actions/runs/41196187434/artifacts/13040272198</x:v>
      </x:c>
      <x:c r="L41" s="79" t="str">
        <x:v>https://github.com/darknigthmare/yautja-la-longue-chasse/actions/runs/41196187434/artifacts/13041255745</x:v>
      </x:c>
      <x:c r="M41" s="79" t="str">
        <x:v>Documentation / 3 vues / rig / matériaux / droits</x:v>
      </x:c>
      <x:c r="N41" s="79" t="str">
        <x:v>OUVERT ART ; CODE/PACK PNG PRÊT</x:v>
      </x:c>
    </x:row>
    <x:row r="42" ht="29" customHeight="1">
      <x:c r="A42" s="79" t="str">
        <x:v>phg-cleopatra</x:v>
      </x:c>
      <x:c r="B42" s="79" t="str">
        <x:v>Cleopatra · PHG</x:v>
      </x:c>
      <x:c r="C42" s="79" t="str">
        <x:v>V136</x:v>
      </x:c>
      <x:c r="D42" s="79" t="n">
        <x:v>4</x:v>
      </x:c>
      <x:c r="E42" s="79" t="n">
        <x:v>4</x:v>
      </x:c>
      <x:c r="F42" s="79" t="n">
        <x:v>1</x:v>
      </x:c>
      <x:c r="G42" s="79" t="str">
        <x:v>Art ORIGINAL non canonique (aucun prop vérifié)</x:v>
      </x:c>
      <x:c r="H42" s="79" t="str">
        <x:v>NON VALIDÉ 1:1</x:v>
      </x:c>
      <x:c r="I42" s="79" t="str">
        <x:v>https://predator.illfonic.com/</x:v>
      </x:c>
      <x:c r="J42" s="79" t="str">
        <x:v>public/game/assets/v136/gauntlets/phg-cleopatra/</x:v>
      </x:c>
      <x:c r="K42" s="79" t="str">
        <x:v>https://github.com/darknigthmare/yautja-la-longue-chasse/actions/runs/41196187434/artifacts/13040272198</x:v>
      </x:c>
      <x:c r="L42" s="79" t="str">
        <x:v>https://github.com/darknigthmare/yautja-la-longue-chasse/actions/runs/41196187434/artifacts/13041255745</x:v>
      </x:c>
      <x:c r="M42" s="79" t="str">
        <x:v>Documentation / 3 vues / rig / matériaux / droits</x:v>
      </x:c>
      <x:c r="N42" s="79" t="str">
        <x:v>OUVERT ART ; CODE/PACK PNG PRÊT</x:v>
      </x:c>
    </x:row>
    <x:row r="43" ht="29" customHeight="1">
      <x:c r="A43" s="79" t="str">
        <x:v>phg-exiled</x:v>
      </x:c>
      <x:c r="B43" s="79" t="str">
        <x:v>Exiled · PHG</x:v>
      </x:c>
      <x:c r="C43" s="79" t="str">
        <x:v>V136</x:v>
      </x:c>
      <x:c r="D43" s="79" t="n">
        <x:v>4</x:v>
      </x:c>
      <x:c r="E43" s="79" t="n">
        <x:v>4</x:v>
      </x:c>
      <x:c r="F43" s="79" t="n">
        <x:v>1</x:v>
      </x:c>
      <x:c r="G43" s="79" t="str">
        <x:v>Art ORIGINAL non canonique (aucun prop vérifié)</x:v>
      </x:c>
      <x:c r="H43" s="79" t="str">
        <x:v>NON VALIDÉ 1:1</x:v>
      </x:c>
      <x:c r="I43" s="79" t="str">
        <x:v>https://predator.illfonic.com/</x:v>
      </x:c>
      <x:c r="J43" s="79" t="str">
        <x:v>public/game/assets/v136/gauntlets/phg-exiled/</x:v>
      </x:c>
      <x:c r="K43" s="79" t="str">
        <x:v>https://github.com/darknigthmare/yautja-la-longue-chasse/actions/runs/41196187434/artifacts/13040272198</x:v>
      </x:c>
      <x:c r="L43" s="79" t="str">
        <x:v>https://github.com/darknigthmare/yautja-la-longue-chasse/actions/runs/41196187434/artifacts/13041255745</x:v>
      </x:c>
      <x:c r="M43" s="79" t="str">
        <x:v>Documentation / 3 vues / rig / matériaux / droits</x:v>
      </x:c>
      <x:c r="N43" s="79" t="str">
        <x:v>OUVERT ART ; CODE/PACK PNG PRÊT</x:v>
      </x:c>
    </x:row>
    <x:row r="44" ht="29" customHeight="1">
      <x:c r="A44" s="79" t="str">
        <x:v>phg-pirate</x:v>
      </x:c>
      <x:c r="B44" s="79" t="str">
        <x:v>Pirate · PHG</x:v>
      </x:c>
      <x:c r="C44" s="79" t="str">
        <x:v>V136</x:v>
      </x:c>
      <x:c r="D44" s="79" t="n">
        <x:v>4</x:v>
      </x:c>
      <x:c r="E44" s="79" t="n">
        <x:v>4</x:v>
      </x:c>
      <x:c r="F44" s="79" t="n">
        <x:v>1</x:v>
      </x:c>
      <x:c r="G44" s="79" t="str">
        <x:v>Art ORIGINAL non canonique (aucun prop vérifié)</x:v>
      </x:c>
      <x:c r="H44" s="79" t="str">
        <x:v>NON VALIDÉ 1:1</x:v>
      </x:c>
      <x:c r="I44" s="79" t="str">
        <x:v>https://predator.illfonic.com/</x:v>
      </x:c>
      <x:c r="J44" s="79" t="str">
        <x:v>public/game/assets/v136/gauntlets/phg-pirate/</x:v>
      </x:c>
      <x:c r="K44" s="79" t="str">
        <x:v>https://github.com/darknigthmare/yautja-la-longue-chasse/actions/runs/41196187434/artifacts/13040272198</x:v>
      </x:c>
      <x:c r="L44" s="79" t="str">
        <x:v>https://github.com/darknigthmare/yautja-la-longue-chasse/actions/runs/41196187434/artifacts/13041255745</x:v>
      </x:c>
      <x:c r="M44" s="79" t="str">
        <x:v>Documentation / 3 vues / rig / matériaux / droits</x:v>
      </x:c>
      <x:c r="N44" s="79" t="str">
        <x:v>OUVERT ART ; CODE/PACK PNG PRÊT</x:v>
      </x:c>
    </x:row>
    <x:row r="45" ht="29" customHeight="1">
      <x:c r="A45" s="79" t="str">
        <x:v>phg-bionic</x:v>
      </x:c>
      <x:c r="B45" s="79" t="str">
        <x:v>Bionic · PHG</x:v>
      </x:c>
      <x:c r="C45" s="79" t="str">
        <x:v>V136</x:v>
      </x:c>
      <x:c r="D45" s="79" t="n">
        <x:v>4</x:v>
      </x:c>
      <x:c r="E45" s="79" t="n">
        <x:v>4</x:v>
      </x:c>
      <x:c r="F45" s="79" t="n">
        <x:v>1</x:v>
      </x:c>
      <x:c r="G45" s="79" t="str">
        <x:v>Art ORIGINAL non canonique (aucun prop vérifié)</x:v>
      </x:c>
      <x:c r="H45" s="79" t="str">
        <x:v>NON VALIDÉ 1:1</x:v>
      </x:c>
      <x:c r="I45" s="79" t="str">
        <x:v>https://store.steampowered.com/app/1556200/Predator__Hunting_Grounds/</x:v>
      </x:c>
      <x:c r="J45" s="79" t="str">
        <x:v>public/game/assets/v136/gauntlets/phg-bionic/</x:v>
      </x:c>
      <x:c r="K45" s="79" t="str">
        <x:v>https://github.com/darknigthmare/yautja-la-longue-chasse/actions/runs/41196187434/artifacts/13040272198</x:v>
      </x:c>
      <x:c r="L45" s="79" t="str">
        <x:v>https://github.com/darknigthmare/yautja-la-longue-chasse/actions/runs/41196187434/artifacts/13041255745</x:v>
      </x:c>
      <x:c r="M45" s="79" t="str">
        <x:v>Documentation / 3 vues / rig / matériaux / droits</x:v>
      </x:c>
      <x:c r="N45" s="79" t="str">
        <x:v>OUVERT ART ; CODE/PACK PNG PRÊT</x:v>
      </x:c>
    </x:row>
    <x:row r="46" ht="29" customHeight="1">
      <x:c r="A46" s="79" t="str">
        <x:v>phg-emissary</x:v>
      </x:c>
      <x:c r="B46" s="79" t="str">
        <x:v>Emissary · PHG</x:v>
      </x:c>
      <x:c r="C46" s="79" t="str">
        <x:v>V136</x:v>
      </x:c>
      <x:c r="D46" s="79" t="n">
        <x:v>4</x:v>
      </x:c>
      <x:c r="E46" s="79" t="n">
        <x:v>4</x:v>
      </x:c>
      <x:c r="F46" s="79" t="n">
        <x:v>1</x:v>
      </x:c>
      <x:c r="G46" s="79" t="str">
        <x:v>Art ORIGINAL non canonique (aucun prop vérifié)</x:v>
      </x:c>
      <x:c r="H46" s="79" t="str">
        <x:v>NON VALIDÉ 1:1</x:v>
      </x:c>
      <x:c r="I46" s="79" t="str">
        <x:v>https://store.steampowered.com/app/1556200/Predator__Hunting_Grounds/</x:v>
      </x:c>
      <x:c r="J46" s="79" t="str">
        <x:v>public/game/assets/v136/gauntlets/phg-emissary/</x:v>
      </x:c>
      <x:c r="K46" s="79" t="str">
        <x:v>https://github.com/darknigthmare/yautja-la-longue-chasse/actions/runs/41196187434/artifacts/13040272198</x:v>
      </x:c>
      <x:c r="L46" s="79" t="str">
        <x:v>https://github.com/darknigthmare/yautja-la-longue-chasse/actions/runs/41196187434/artifacts/13041255745</x:v>
      </x:c>
      <x:c r="M46" s="79" t="str">
        <x:v>Documentation / 3 vues / rig / matériaux / droits</x:v>
      </x:c>
      <x:c r="N46" s="79" t="str">
        <x:v>OUVERT ART ; CODE/PACK PNG PRÊT</x:v>
      </x:c>
    </x:row>
    <x:row r="47" ht="29" customHeight="1">
      <x:c r="A47" s="79" t="str">
        <x:v>phg-oni</x:v>
      </x:c>
      <x:c r="B47" s="79" t="str">
        <x:v>Oni · PHG</x:v>
      </x:c>
      <x:c r="C47" s="79" t="str">
        <x:v>V136</x:v>
      </x:c>
      <x:c r="D47" s="79" t="n">
        <x:v>4</x:v>
      </x:c>
      <x:c r="E47" s="79" t="n">
        <x:v>4</x:v>
      </x:c>
      <x:c r="F47" s="79" t="n">
        <x:v>1</x:v>
      </x:c>
      <x:c r="G47" s="79" t="str">
        <x:v>Art ORIGINAL non canonique (aucun prop vérifié)</x:v>
      </x:c>
      <x:c r="H47" s="79" t="str">
        <x:v>NON VALIDÉ 1:1</x:v>
      </x:c>
      <x:c r="I47" s="79" t="str">
        <x:v>https://store.steampowered.com/app/1556200/Predator__Hunting_Grounds/</x:v>
      </x:c>
      <x:c r="J47" s="79" t="str">
        <x:v>public/game/assets/v136/gauntlets/phg-oni/</x:v>
      </x:c>
      <x:c r="K47" s="79" t="str">
        <x:v>https://github.com/darknigthmare/yautja-la-longue-chasse/actions/runs/41196187434/artifacts/13040272198</x:v>
      </x:c>
      <x:c r="L47" s="79" t="str">
        <x:v>https://github.com/darknigthmare/yautja-la-longue-chasse/actions/runs/41196187434/artifacts/13041255745</x:v>
      </x:c>
      <x:c r="M47" s="79" t="str">
        <x:v>Documentation / 3 vues / rig / matériaux / droits</x:v>
      </x:c>
      <x:c r="N47" s="79" t="str">
        <x:v>OUVERT ART ; CODE/PACK PNG PRÊT</x:v>
      </x:c>
    </x:row>
    <x:row r="48" ht="29" customHeight="1">
      <x:c r="A48" s="79" t="str">
        <x:v>phg-witch</x:v>
      </x:c>
      <x:c r="B48" s="79" t="str">
        <x:v>Witch · PHG</x:v>
      </x:c>
      <x:c r="C48" s="79" t="str">
        <x:v>V136</x:v>
      </x:c>
      <x:c r="D48" s="79" t="n">
        <x:v>4</x:v>
      </x:c>
      <x:c r="E48" s="79" t="n">
        <x:v>4</x:v>
      </x:c>
      <x:c r="F48" s="79" t="n">
        <x:v>1</x:v>
      </x:c>
      <x:c r="G48" s="79" t="str">
        <x:v>Art ORIGINAL non canonique (aucun prop vérifié)</x:v>
      </x:c>
      <x:c r="H48" s="79" t="str">
        <x:v>NON VALIDÉ 1:1</x:v>
      </x:c>
      <x:c r="I48" s="79" t="str">
        <x:v>https://store.steampowered.com/app/1556200/Predator__Hunting_Grounds/</x:v>
      </x:c>
      <x:c r="J48" s="79" t="str">
        <x:v>public/game/assets/v136/gauntlets/phg-witch/</x:v>
      </x:c>
      <x:c r="K48" s="79" t="str">
        <x:v>https://github.com/darknigthmare/yautja-la-longue-chasse/actions/runs/41196187434/artifacts/13040272198</x:v>
      </x:c>
      <x:c r="L48" s="79" t="str">
        <x:v>https://github.com/darknigthmare/yautja-la-longue-chasse/actions/runs/41196187434/artifacts/13041255745</x:v>
      </x:c>
      <x:c r="M48" s="79" t="str">
        <x:v>Documentation / 3 vues / rig / matériaux / droits</x:v>
      </x:c>
      <x:c r="N48" s="79" t="str">
        <x:v>OUVERT ART ; CODE/PACK PNG PRÊT</x:v>
      </x:c>
    </x:row>
    <x:row r="49" ht="29" customHeight="1">
      <x:c r="A49" s="79" t="str">
        <x:v>phg-father</x:v>
      </x:c>
      <x:c r="B49" s="79" t="str">
        <x:v>Father · PHG</x:v>
      </x:c>
      <x:c r="C49" s="79" t="str">
        <x:v>V136</x:v>
      </x:c>
      <x:c r="D49" s="79" t="n">
        <x:v>4</x:v>
      </x:c>
      <x:c r="E49" s="79" t="n">
        <x:v>4</x:v>
      </x:c>
      <x:c r="F49" s="79" t="n">
        <x:v>1</x:v>
      </x:c>
      <x:c r="G49" s="79" t="str">
        <x:v>Art ORIGINAL non canonique (aucun prop vérifié)</x:v>
      </x:c>
      <x:c r="H49" s="79" t="str">
        <x:v>NON VALIDÉ 1:1</x:v>
      </x:c>
      <x:c r="I49" s="79" t="str">
        <x:v>https://store.steampowered.com/app/1556200/Predator__Hunting_Grounds/</x:v>
      </x:c>
      <x:c r="J49" s="79" t="str">
        <x:v>public/game/assets/v136/gauntlets/phg-father/</x:v>
      </x:c>
      <x:c r="K49" s="79" t="str">
        <x:v>https://github.com/darknigthmare/yautja-la-longue-chasse/actions/runs/41196187434/artifacts/13040272198</x:v>
      </x:c>
      <x:c r="L49" s="79" t="str">
        <x:v>https://github.com/darknigthmare/yautja-la-longue-chasse/actions/runs/41196187434/artifacts/13041255745</x:v>
      </x:c>
      <x:c r="M49" s="79" t="str">
        <x:v>Documentation / 3 vues / rig / matériaux / droits</x:v>
      </x:c>
      <x:c r="N49" s="79" t="str">
        <x:v>OUVERT ART ; CODE/PACK PNG PRÊT</x:v>
      </x:c>
    </x:row>
    <x:row r="50" ht="29" customHeight="1">
      <x:c r="A50" s="79" t="str">
        <x:v>phg-jotun</x:v>
      </x:c>
      <x:c r="B50" s="79" t="str">
        <x:v>Jotun · PHG</x:v>
      </x:c>
      <x:c r="C50" s="79" t="str">
        <x:v>V136</x:v>
      </x:c>
      <x:c r="D50" s="79" t="n">
        <x:v>4</x:v>
      </x:c>
      <x:c r="E50" s="79" t="n">
        <x:v>4</x:v>
      </x:c>
      <x:c r="F50" s="79" t="n">
        <x:v>1</x:v>
      </x:c>
      <x:c r="G50" s="79" t="str">
        <x:v>Art ORIGINAL non canonique (aucun prop vérifié)</x:v>
      </x:c>
      <x:c r="H50" s="79" t="str">
        <x:v>NON VALIDÉ 1:1</x:v>
      </x:c>
      <x:c r="I50" s="79" t="str">
        <x:v>https://store.steampowered.com/app/1556200/Predator__Hunting_Grounds/</x:v>
      </x:c>
      <x:c r="J50" s="79" t="str">
        <x:v>public/game/assets/v136/gauntlets/phg-jotun/</x:v>
      </x:c>
      <x:c r="K50" s="79" t="str">
        <x:v>https://github.com/darknigthmare/yautja-la-longue-chasse/actions/runs/41196187434/artifacts/13040272198</x:v>
      </x:c>
      <x:c r="L50" s="79" t="str">
        <x:v>https://github.com/darknigthmare/yautja-la-longue-chasse/actions/runs/41196187434/artifacts/13041255745</x:v>
      </x:c>
      <x:c r="M50" s="79" t="str">
        <x:v>Documentation / 3 vues / rig / matériaux / droits</x:v>
      </x:c>
      <x:c r="N50" s="79" t="str">
        <x:v>OUVERT ART ; CODE/PACK PNG PRÊT</x:v>
      </x:c>
    </x:row>
    <x:row r="51" ht="29" customHeight="1">
      <x:c r="A51" s="79" t="str">
        <x:v>phg-exalted</x:v>
      </x:c>
      <x:c r="B51" s="79" t="str">
        <x:v>Exalted · PHG</x:v>
      </x:c>
      <x:c r="C51" s="79" t="str">
        <x:v>V136</x:v>
      </x:c>
      <x:c r="D51" s="79" t="n">
        <x:v>4</x:v>
      </x:c>
      <x:c r="E51" s="79" t="n">
        <x:v>4</x:v>
      </x:c>
      <x:c r="F51" s="79" t="n">
        <x:v>1</x:v>
      </x:c>
      <x:c r="G51" s="79" t="str">
        <x:v>Art ORIGINAL non canonique (aucun prop vérifié)</x:v>
      </x:c>
      <x:c r="H51" s="79" t="str">
        <x:v>NON VALIDÉ 1:1</x:v>
      </x:c>
      <x:c r="I51" s="79" t="str">
        <x:v>https://store.steampowered.com/app/1556200/Predator__Hunting_Grounds/</x:v>
      </x:c>
      <x:c r="J51" s="79" t="str">
        <x:v>public/game/assets/v136/gauntlets/phg-exalted/</x:v>
      </x:c>
      <x:c r="K51" s="79" t="str">
        <x:v>https://github.com/darknigthmare/yautja-la-longue-chasse/actions/runs/41196187434/artifacts/13040272198</x:v>
      </x:c>
      <x:c r="L51" s="79" t="str">
        <x:v>https://github.com/darknigthmare/yautja-la-longue-chasse/actions/runs/41196187434/artifacts/13041255745</x:v>
      </x:c>
      <x:c r="M51" s="79" t="str">
        <x:v>Documentation / 3 vues / rig / matériaux / droits</x:v>
      </x:c>
      <x:c r="N51" s="79" t="str">
        <x:v>OUVERT ART ; CODE/PACK PNG PRÊT</x:v>
      </x:c>
    </x:row>
    <x:row r="52" ht="29" customHeight="1">
      <x:c r="A52" s="79" t="str">
        <x:v>phg-anubis</x:v>
      </x:c>
      <x:c r="B52" s="79" t="str">
        <x:v>Anubis · PHG</x:v>
      </x:c>
      <x:c r="C52" s="79" t="str">
        <x:v>V136</x:v>
      </x:c>
      <x:c r="D52" s="79" t="n">
        <x:v>4</x:v>
      </x:c>
      <x:c r="E52" s="79" t="n">
        <x:v>4</x:v>
      </x:c>
      <x:c r="F52" s="79" t="n">
        <x:v>1</x:v>
      </x:c>
      <x:c r="G52" s="79" t="str">
        <x:v>Art ORIGINAL non canonique (aucun prop vérifié)</x:v>
      </x:c>
      <x:c r="H52" s="79" t="str">
        <x:v>NON VALIDÉ 1:1</x:v>
      </x:c>
      <x:c r="I52" s="79" t="str">
        <x:v>https://store.steampowered.com/app/1556200/Predator__Hunting_Grounds/</x:v>
      </x:c>
      <x:c r="J52" s="79" t="str">
        <x:v>public/game/assets/v136/gauntlets/phg-anubis/</x:v>
      </x:c>
      <x:c r="K52" s="79" t="str">
        <x:v>https://github.com/darknigthmare/yautja-la-longue-chasse/actions/runs/41196187434/artifacts/13040272198</x:v>
      </x:c>
      <x:c r="L52" s="79" t="str">
        <x:v>https://github.com/darknigthmare/yautja-la-longue-chasse/actions/runs/41196187434/artifacts/13041255745</x:v>
      </x:c>
      <x:c r="M52" s="79" t="str">
        <x:v>Documentation / 3 vues / rig / matériaux / droits</x:v>
      </x:c>
      <x:c r="N52" s="79" t="str">
        <x:v>OUVERT ART ; CODE/PACK PNG PRÊT</x:v>
      </x:c>
    </x:row>
    <x:row r="53" ht="29" customHeight="1">
      <x:c r="A53" s="79" t="str">
        <x:v>phg-gladiator</x:v>
      </x:c>
      <x:c r="B53" s="79" t="str">
        <x:v>Gladiator · PHG</x:v>
      </x:c>
      <x:c r="C53" s="79" t="str">
        <x:v>V136</x:v>
      </x:c>
      <x:c r="D53" s="79" t="n">
        <x:v>4</x:v>
      </x:c>
      <x:c r="E53" s="79" t="n">
        <x:v>4</x:v>
      </x:c>
      <x:c r="F53" s="79" t="n">
        <x:v>1</x:v>
      </x:c>
      <x:c r="G53" s="79" t="str">
        <x:v>Art ORIGINAL non canonique (aucun prop vérifié)</x:v>
      </x:c>
      <x:c r="H53" s="79" t="str">
        <x:v>NON VALIDÉ 1:1</x:v>
      </x:c>
      <x:c r="I53" s="79" t="str">
        <x:v>https://store.steampowered.com/app/1556200/Predator__Hunting_Grounds/</x:v>
      </x:c>
      <x:c r="J53" s="79" t="str">
        <x:v>public/game/assets/v136/gauntlets/phg-gladiator/</x:v>
      </x:c>
      <x:c r="K53" s="79" t="str">
        <x:v>https://github.com/darknigthmare/yautja-la-longue-chasse/actions/runs/41196187434/artifacts/13040272198</x:v>
      </x:c>
      <x:c r="L53" s="79" t="str">
        <x:v>https://github.com/darknigthmare/yautja-la-longue-chasse/actions/runs/41196187434/artifacts/13041255745</x:v>
      </x:c>
      <x:c r="M53" s="79" t="str">
        <x:v>Documentation / 3 vues / rig / matériaux / droits</x:v>
      </x:c>
      <x:c r="N53" s="79" t="str">
        <x:v>OUVERT ART ; CODE/PACK PNG PRÊT</x:v>
      </x:c>
    </x:row>
    <x:row r="54" ht="29" customHeight="1">
      <x:c r="A54" s="79" t="str">
        <x:v>scarface</x:v>
      </x:c>
      <x:c r="B54" s="79" t="str">
        <x:v>Scarface · Concrete Jungle</x:v>
      </x:c>
      <x:c r="C54" s="79" t="str">
        <x:v>V136</x:v>
      </x:c>
      <x:c r="D54" s="79" t="n">
        <x:v>4</x:v>
      </x:c>
      <x:c r="E54" s="79" t="n">
        <x:v>4</x:v>
      </x:c>
      <x:c r="F54" s="79" t="n">
        <x:v>1</x:v>
      </x:c>
      <x:c r="G54" s="79" t="str">
        <x:v>Art ORIGINAL non canonique (aucun prop vérifié)</x:v>
      </x:c>
      <x:c r="H54" s="79" t="str">
        <x:v>NON VALIDÉ 1:1</x:v>
      </x:c>
      <x:c r="I54" s="79" t="str">
        <x:v>https://www.avpgalaxy.net/merch/neca/predator/series/</x:v>
      </x:c>
      <x:c r="J54" s="79" t="str">
        <x:v>public/game/assets/v136/gauntlets/scarface/</x:v>
      </x:c>
      <x:c r="K54" s="79" t="str">
        <x:v>https://github.com/darknigthmare/yautja-la-longue-chasse/actions/runs/41196187434/artifacts/13040272198</x:v>
      </x:c>
      <x:c r="L54" s="79" t="str">
        <x:v>https://github.com/darknigthmare/yautja-la-longue-chasse/actions/runs/41196187434/artifacts/13041255745</x:v>
      </x:c>
      <x:c r="M54" s="79" t="str">
        <x:v>Documentation / 3 vues / rig / matériaux / droits</x:v>
      </x:c>
      <x:c r="N54" s="79" t="str">
        <x:v>OUVERT ART ; CODE/PACK PNG PRÊT</x:v>
      </x:c>
    </x:row>
    <x:row r="55" ht="29" customHeight="1">
      <x:c r="A55" s="79" t="str">
        <x:v>stone-heart</x:v>
      </x:c>
      <x:c r="B55" s="79" t="str">
        <x:v>Stone Heart · Concrete Jungle</x:v>
      </x:c>
      <x:c r="C55" s="79" t="str">
        <x:v>V136</x:v>
      </x:c>
      <x:c r="D55" s="79" t="n">
        <x:v>4</x:v>
      </x:c>
      <x:c r="E55" s="79" t="n">
        <x:v>4</x:v>
      </x:c>
      <x:c r="F55" s="79" t="n">
        <x:v>1</x:v>
      </x:c>
      <x:c r="G55" s="79" t="str">
        <x:v>Art ORIGINAL non canonique (aucun prop vérifié)</x:v>
      </x:c>
      <x:c r="H55" s="79" t="str">
        <x:v>NON VALIDÉ 1:1</x:v>
      </x:c>
      <x:c r="I55" s="79" t="str">
        <x:v>https://www.avpgalaxy.net/merch/neca/predator/series/</x:v>
      </x:c>
      <x:c r="J55" s="79" t="str">
        <x:v>public/game/assets/v136/gauntlets/stone-heart/</x:v>
      </x:c>
      <x:c r="K55" s="79" t="str">
        <x:v>https://github.com/darknigthmare/yautja-la-longue-chasse/actions/runs/41196187434/artifacts/13040272198</x:v>
      </x:c>
      <x:c r="L55" s="79" t="str">
        <x:v>https://github.com/darknigthmare/yautja-la-longue-chasse/actions/runs/41196187434/artifacts/13041255745</x:v>
      </x:c>
      <x:c r="M55" s="79" t="str">
        <x:v>Documentation / 3 vues / rig / matériaux / droits</x:v>
      </x:c>
      <x:c r="N55" s="79" t="str">
        <x:v>OUVERT ART ; CODE/PACK PNG PRÊT</x:v>
      </x:c>
    </x:row>
    <x:row r="56" ht="29" customHeight="1">
      <x:c r="A56" s="79" t="str">
        <x:v>ahab</x:v>
      </x:c>
      <x:c r="B56" s="79" t="str">
        <x:v>Ahab · comics / NECA</x:v>
      </x:c>
      <x:c r="C56" s="79" t="str">
        <x:v>V136</x:v>
      </x:c>
      <x:c r="D56" s="79" t="n">
        <x:v>4</x:v>
      </x:c>
      <x:c r="E56" s="79" t="n">
        <x:v>4</x:v>
      </x:c>
      <x:c r="F56" s="79" t="n">
        <x:v>1</x:v>
      </x:c>
      <x:c r="G56" s="79" t="str">
        <x:v>Art ORIGINAL non canonique (aucun prop vérifié)</x:v>
      </x:c>
      <x:c r="H56" s="79" t="str">
        <x:v>NON VALIDÉ 1:1</x:v>
      </x:c>
      <x:c r="I56" s="79" t="str">
        <x:v>https://www.avpgalaxy.net/merch/neca/predator/series/</x:v>
      </x:c>
      <x:c r="J56" s="79" t="str">
        <x:v>public/game/assets/v136/gauntlets/ahab/</x:v>
      </x:c>
      <x:c r="K56" s="79" t="str">
        <x:v>https://github.com/darknigthmare/yautja-la-longue-chasse/actions/runs/41196187434/artifacts/13040272198</x:v>
      </x:c>
      <x:c r="L56" s="79" t="str">
        <x:v>https://github.com/darknigthmare/yautja-la-longue-chasse/actions/runs/41196187434/artifacts/13041255745</x:v>
      </x:c>
      <x:c r="M56" s="79" t="str">
        <x:v>Documentation / 3 vues / rig / matériaux / droits</x:v>
      </x:c>
      <x:c r="N56" s="79" t="str">
        <x:v>OUVERT ART ; CODE/PACK PNG PRÊT</x:v>
      </x:c>
    </x:row>
    <x:row r="57" ht="29" customHeight="1">
      <x:c r="A57" s="79" t="str">
        <x:v>dark-2010</x:v>
      </x:c>
      <x:c r="B57" s="79" t="str">
        <x:v>Dark · Aliens vs Predator (2010)</x:v>
      </x:c>
      <x:c r="C57" s="79" t="str">
        <x:v>V136</x:v>
      </x:c>
      <x:c r="D57" s="79" t="n">
        <x:v>4</x:v>
      </x:c>
      <x:c r="E57" s="79" t="n">
        <x:v>4</x:v>
      </x:c>
      <x:c r="F57" s="79" t="n">
        <x:v>1</x:v>
      </x:c>
      <x:c r="G57" s="79" t="str">
        <x:v>Art ORIGINAL non canonique (aucun prop vérifié)</x:v>
      </x:c>
      <x:c r="H57" s="79" t="str">
        <x:v>NON VALIDÉ 1:1</x:v>
      </x:c>
      <x:c r="I57" s="79" t="str">
        <x:v>https://www.avpgalaxy.net/merch/neca/predator/series/</x:v>
      </x:c>
      <x:c r="J57" s="79" t="str">
        <x:v>public/game/assets/v136/gauntlets/dark-2010/</x:v>
      </x:c>
      <x:c r="K57" s="79" t="str">
        <x:v>https://github.com/darknigthmare/yautja-la-longue-chasse/actions/runs/41196187434/artifacts/13040272198</x:v>
      </x:c>
      <x:c r="L57" s="79" t="str">
        <x:v>https://github.com/darknigthmare/yautja-la-longue-chasse/actions/runs/41196187434/artifacts/13041255745</x:v>
      </x:c>
      <x:c r="M57" s="79" t="str">
        <x:v>Documentation / 3 vues / rig / matériaux / droits</x:v>
      </x:c>
      <x:c r="N57" s="79" t="str">
        <x:v>OUVERT ART ; CODE/PACK PNG PRÊT</x:v>
      </x:c>
    </x:row>
    <x:row r="58" ht="29" customHeight="1">
      <x:c r="A58" s="79" t="str">
        <x:v>phg-captured</x:v>
      </x:c>
      <x:c r="B58" s="79" t="str">
        <x:v>Captured · PHG</x:v>
      </x:c>
      <x:c r="C58" s="79" t="str">
        <x:v>V136</x:v>
      </x:c>
      <x:c r="D58" s="79" t="n">
        <x:v>4</x:v>
      </x:c>
      <x:c r="E58" s="79" t="n">
        <x:v>4</x:v>
      </x:c>
      <x:c r="F58" s="79" t="n">
        <x:v>1</x:v>
      </x:c>
      <x:c r="G58" s="79" t="str">
        <x:v>Art ORIGINAL non canonique (aucun prop vérifié)</x:v>
      </x:c>
      <x:c r="H58" s="79" t="str">
        <x:v>NON VALIDÉ 1:1</x:v>
      </x:c>
      <x:c r="I58" s="79" t="str">
        <x:v>https://predator.illfonic.com/</x:v>
      </x:c>
      <x:c r="J58" s="79" t="str">
        <x:v>public/game/assets/v136/gauntlets/phg-captured/</x:v>
      </x:c>
      <x:c r="K58" s="79" t="str">
        <x:v>https://github.com/darknigthmare/yautja-la-longue-chasse/actions/runs/41196187434/artifacts/13040272198</x:v>
      </x:c>
      <x:c r="L58" s="79" t="str">
        <x:v>https://github.com/darknigthmare/yautja-la-longue-chasse/actions/runs/41196187434/artifacts/13041255745</x:v>
      </x:c>
      <x:c r="M58" s="79" t="str">
        <x:v>Documentation / 3 vues / rig / matériaux / droits</x:v>
      </x:c>
      <x:c r="N58" s="79" t="str">
        <x:v>OUVERT ART ; CODE/PACK PNG PRÊT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12" hidden="0" customWidth="1"/>
    <x:col min="4" max="4" width="23" hidden="0" customWidth="1"/>
    <x:col min="5" max="5" width="73" hidden="0" customWidth="1"/>
    <x:col min="6" max="6" width="31" hidden="0" customWidth="1"/>
    <x:col min="7" max="7" width="24" hidden="0" customWidth="1"/>
    <x:col min="8" max="8" width="35" hidden="0" customWidth="1"/>
    <x:col min="9" max="9" width="25" hidden="0" customWidth="1"/>
    <x:col min="10" max="10" width="77" hidden="0" customWidth="1"/>
    <x:col min="11" max="11" width="58" hidden="0" customWidth="1"/>
  </x:cols>
  <x:sheetData>
    <x:row r="1" ht="38" customHeight="1">
      <x:c r="A1" s="85" t="str">
        <x:v>V137 | 219 CALQUES : FICHIER, FORMAT ET PREUVE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</x:row>
    <x:row r="2" ht="40" customHeight="1">
      <x:c r="A2" s="89" t="str">
        <x:v>219 fichiers SVG physiquement présents dans la PR ; la CI génère les 219 PNG alpha, leur empreinte SHA et un manifeste. Les 219 validations artistiques restent ouvertes.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</x:row>
    <x:row r="4" ht="31" customHeight="1">
      <x:c r="A4" s="93" t="str">
        <x:v>ID</x:v>
      </x:c>
      <x:c r="B4" s="93" t="str">
        <x:v>Modèle</x:v>
      </x:c>
      <x:c r="C4" s="93" t="str">
        <x:v>Version</x:v>
      </x:c>
      <x:c r="D4" s="93" t="str">
        <x:v>Fichier</x:v>
      </x:c>
      <x:c r="E4" s="93" t="str">
        <x:v>Chemin source</x:v>
      </x:c>
      <x:c r="F4" s="93" t="str">
        <x:v>État source</x:v>
      </x:c>
      <x:c r="G4" s="93" t="str">
        <x:v>Sortie PNG</x:v>
      </x:c>
      <x:c r="H4" s="93" t="str">
        <x:v>Niveau graphique</x:v>
      </x:c>
      <x:c r="I4" s="93" t="str">
        <x:v>1:1</x:v>
      </x:c>
      <x:c r="J4" s="93" t="str">
        <x:v>Preuve SHA/alpha</x:v>
      </x:c>
      <x:c r="K4" s="93" t="str">
        <x:v>Critère à fermer</x:v>
      </x:c>
    </x:row>
    <x:row r="5" ht="29" customHeight="1">
      <x:c r="A5" s="79" t="str">
        <x:v>jungle-hunter</x:v>
      </x:c>
      <x:c r="B5" s="79" t="str">
        <x:v>Jungle Hunter · 1987</x:v>
      </x:c>
      <x:c r="C5" s="79" t="str">
        <x:v>V134</x:v>
      </x:c>
      <x:c r="D5" s="79" t="str">
        <x:v>01-arm.svg</x:v>
      </x:c>
      <x:c r="E5" s="79" t="str">
        <x:v>public/game/assets/v134/gauntlets/jungle-hunter/01-arm.svg</x:v>
      </x:c>
      <x:c r="F5" s="79" t="str">
        <x:v>Source SVG individuelle réelle</x:v>
      </x:c>
      <x:c r="G5" s="79" t="str">
        <x:v>Alpha 1080×580 en CI</x:v>
      </x:c>
      <x:c r="H5" s="79" t="str">
        <x:v>Référence source non homologuée</x:v>
      </x:c>
      <x:c r="I5" s="79" t="str">
        <x:v>0 / 1 : NON VALIDÉ 1:1</x:v>
      </x:c>
      <x:c r="J5" s="79" t="str">
        <x:v>https://github.com/darknigthmare/yautja-la-longue-chasse/actions/runs/41196187434/artifacts/13040272198</x:v>
      </x:c>
      <x:c r="K5" s="79" t="str">
        <x:v>Relever dimensions, UV, pose, charnière et source cinéma</x:v>
      </x:c>
    </x:row>
    <x:row r="6" ht="29" customHeight="1">
      <x:c r="A6" s="79" t="str">
        <x:v>jungle-hunter</x:v>
      </x:c>
      <x:c r="B6" s="79" t="str">
        <x:v>Jungle Hunter · 1987</x:v>
      </x:c>
      <x:c r="C6" s="79" t="str">
        <x:v>V134</x:v>
      </x:c>
      <x:c r="D6" s="79" t="str">
        <x:v>02-housing.svg</x:v>
      </x:c>
      <x:c r="E6" s="79" t="str">
        <x:v>public/game/assets/v134/gauntlets/jungle-hunter/02-housing.svg</x:v>
      </x:c>
      <x:c r="F6" s="79" t="str">
        <x:v>Source SVG individuelle réelle</x:v>
      </x:c>
      <x:c r="G6" s="79" t="str">
        <x:v>Alpha 1080×580 en CI</x:v>
      </x:c>
      <x:c r="H6" s="79" t="str">
        <x:v>Référence source non homologuée</x:v>
      </x:c>
      <x:c r="I6" s="79" t="str">
        <x:v>0 / 1 : NON VALIDÉ 1:1</x:v>
      </x:c>
      <x:c r="J6" s="79" t="str">
        <x:v>https://github.com/darknigthmare/yautja-la-longue-chasse/actions/runs/41196187434/artifacts/13040272198</x:v>
      </x:c>
      <x:c r="K6" s="79" t="str">
        <x:v>Relever dimensions, UV, pose, charnière et source cinéma</x:v>
      </x:c>
    </x:row>
    <x:row r="7" ht="29" customHeight="1">
      <x:c r="A7" s="79" t="str">
        <x:v>jungle-hunter</x:v>
      </x:c>
      <x:c r="B7" s="79" t="str">
        <x:v>Jungle Hunter · 1987</x:v>
      </x:c>
      <x:c r="C7" s="79" t="str">
        <x:v>V134</x:v>
      </x:c>
      <x:c r="D7" s="79" t="str">
        <x:v>03-display-glyphs.svg</x:v>
      </x:c>
      <x:c r="E7" s="79" t="str">
        <x:v>public/game/assets/v134/gauntlets/jungle-hunter/03-display-glyphs.svg</x:v>
      </x:c>
      <x:c r="F7" s="79" t="str">
        <x:v>Source SVG individuelle réelle</x:v>
      </x:c>
      <x:c r="G7" s="79" t="str">
        <x:v>Alpha 1080×580 en CI</x:v>
      </x:c>
      <x:c r="H7" s="79" t="str">
        <x:v>Référence source non homologuée</x:v>
      </x:c>
      <x:c r="I7" s="79" t="str">
        <x:v>0 / 1 : NON VALIDÉ 1:1</x:v>
      </x:c>
      <x:c r="J7" s="79" t="str">
        <x:v>https://github.com/darknigthmare/yautja-la-longue-chasse/actions/runs/41196187434/artifacts/13040272198</x:v>
      </x:c>
      <x:c r="K7" s="79" t="str">
        <x:v>Relever dimensions, UV, pose, charnière et source cinéma</x:v>
      </x:c>
    </x:row>
    <x:row r="8" ht="29" customHeight="1">
      <x:c r="A8" s="79" t="str">
        <x:v>jungle-hunter</x:v>
      </x:c>
      <x:c r="B8" s="79" t="str">
        <x:v>Jungle Hunter · 1987</x:v>
      </x:c>
      <x:c r="C8" s="79" t="str">
        <x:v>V134</x:v>
      </x:c>
      <x:c r="D8" s="79" t="str">
        <x:v>04-hinge.svg</x:v>
      </x:c>
      <x:c r="E8" s="79" t="str">
        <x:v>public/game/assets/v134/gauntlets/jungle-hunter/04-hinge.svg</x:v>
      </x:c>
      <x:c r="F8" s="79" t="str">
        <x:v>Source SVG individuelle réelle</x:v>
      </x:c>
      <x:c r="G8" s="79" t="str">
        <x:v>Alpha 1080×580 en CI</x:v>
      </x:c>
      <x:c r="H8" s="79" t="str">
        <x:v>Référence source non homologuée</x:v>
      </x:c>
      <x:c r="I8" s="79" t="str">
        <x:v>0 / 1 : NON VALIDÉ 1:1</x:v>
      </x:c>
      <x:c r="J8" s="79" t="str">
        <x:v>https://github.com/darknigthmare/yautja-la-longue-chasse/actions/runs/41196187434/artifacts/13040272198</x:v>
      </x:c>
      <x:c r="K8" s="79" t="str">
        <x:v>Relever dimensions, UV, pose, charnière et source cinéma</x:v>
      </x:c>
    </x:row>
    <x:row r="9" ht="29" customHeight="1">
      <x:c r="A9" s="79" t="str">
        <x:v>jungle-hunter</x:v>
      </x:c>
      <x:c r="B9" s="79" t="str">
        <x:v>Jungle Hunter · 1987</x:v>
      </x:c>
      <x:c r="C9" s="79" t="str">
        <x:v>V134</x:v>
      </x:c>
      <x:c r="D9" s="79" t="str">
        <x:v>05-lid.svg</x:v>
      </x:c>
      <x:c r="E9" s="79" t="str">
        <x:v>public/game/assets/v134/gauntlets/jungle-hunter/05-lid.svg</x:v>
      </x:c>
      <x:c r="F9" s="79" t="str">
        <x:v>Source SVG individuelle réelle</x:v>
      </x:c>
      <x:c r="G9" s="79" t="str">
        <x:v>Alpha 1080×580 en CI</x:v>
      </x:c>
      <x:c r="H9" s="79" t="str">
        <x:v>Référence source non homologuée</x:v>
      </x:c>
      <x:c r="I9" s="79" t="str">
        <x:v>0 / 1 : NON VALIDÉ 1:1</x:v>
      </x:c>
      <x:c r="J9" s="79" t="str">
        <x:v>https://github.com/darknigthmare/yautja-la-longue-chasse/actions/runs/41196187434/artifacts/13040272198</x:v>
      </x:c>
      <x:c r="K9" s="79" t="str">
        <x:v>Relever dimensions, UV, pose, charnière et source cinéma</x:v>
      </x:c>
    </x:row>
    <x:row r="10" ht="29" customHeight="1">
      <x:c r="A10" s="79" t="str">
        <x:v>jungle-hunter</x:v>
      </x:c>
      <x:c r="B10" s="79" t="str">
        <x:v>Jungle Hunter · 1987</x:v>
      </x:c>
      <x:c r="C10" s="79" t="str">
        <x:v>V134</x:v>
      </x:c>
      <x:c r="D10" s="79" t="str">
        <x:v>06-emitter.svg</x:v>
      </x:c>
      <x:c r="E10" s="79" t="str">
        <x:v>public/game/assets/v134/gauntlets/jungle-hunter/06-emitter.svg</x:v>
      </x:c>
      <x:c r="F10" s="79" t="str">
        <x:v>Source SVG individuelle réelle</x:v>
      </x:c>
      <x:c r="G10" s="79" t="str">
        <x:v>Alpha 1080×580 en CI</x:v>
      </x:c>
      <x:c r="H10" s="79" t="str">
        <x:v>Référence source non homologuée</x:v>
      </x:c>
      <x:c r="I10" s="79" t="str">
        <x:v>0 / 1 : NON VALIDÉ 1:1</x:v>
      </x:c>
      <x:c r="J10" s="79" t="str">
        <x:v>https://github.com/darknigthmare/yautja-la-longue-chasse/actions/runs/41196187434/artifacts/13040272198</x:v>
      </x:c>
      <x:c r="K10" s="79" t="str">
        <x:v>Relever dimensions, UV, pose, charnière et source cinéma</x:v>
      </x:c>
    </x:row>
    <x:row r="11" ht="29" customHeight="1">
      <x:c r="A11" s="79" t="str">
        <x:v>jungle-hunter</x:v>
      </x:c>
      <x:c r="B11" s="79" t="str">
        <x:v>Jungle Hunter · 1987</x:v>
      </x:c>
      <x:c r="C11" s="79" t="str">
        <x:v>V134</x:v>
      </x:c>
      <x:c r="D11" s="79" t="str">
        <x:v>07-beam.svg</x:v>
      </x:c>
      <x:c r="E11" s="79" t="str">
        <x:v>public/game/assets/v134/gauntlets/jungle-hunter/07-beam.svg</x:v>
      </x:c>
      <x:c r="F11" s="79" t="str">
        <x:v>Source SVG individuelle réelle</x:v>
      </x:c>
      <x:c r="G11" s="79" t="str">
        <x:v>Alpha 1080×580 en CI</x:v>
      </x:c>
      <x:c r="H11" s="79" t="str">
        <x:v>Référence source non homologuée</x:v>
      </x:c>
      <x:c r="I11" s="79" t="str">
        <x:v>0 / 1 : NON VALIDÉ 1:1</x:v>
      </x:c>
      <x:c r="J11" s="79" t="str">
        <x:v>https://github.com/darknigthmare/yautja-la-longue-chasse/actions/runs/41196187434/artifacts/13040272198</x:v>
      </x:c>
      <x:c r="K11" s="79" t="str">
        <x:v>Relever dimensions, UV, pose, charnière et source cinéma</x:v>
      </x:c>
    </x:row>
    <x:row r="12" ht="29" customHeight="1">
      <x:c r="A12" s="79" t="str">
        <x:v>city-hunter</x:v>
      </x:c>
      <x:c r="B12" s="79" t="str">
        <x:v>City Hunter · 1990</x:v>
      </x:c>
      <x:c r="C12" s="79" t="str">
        <x:v>V135</x:v>
      </x:c>
      <x:c r="D12" s="79" t="str">
        <x:v>01-forearm.svg</x:v>
      </x:c>
      <x:c r="E12" s="79" t="str">
        <x:v>public/game/assets/v135/gauntlets/city-hunter/01-forearm.svg</x:v>
      </x:c>
      <x:c r="F12" s="79" t="str">
        <x:v>Source SVG individuelle réelle</x:v>
      </x:c>
      <x:c r="G12" s="79" t="str">
        <x:v>Alpha 1080×580 en CI</x:v>
      </x:c>
      <x:c r="H12" s="79" t="str">
        <x:v>Référence source non homologuée</x:v>
      </x:c>
      <x:c r="I12" s="79" t="str">
        <x:v>0 / 1 : NON VALIDÉ 1:1</x:v>
      </x:c>
      <x:c r="J12" s="79" t="str">
        <x:v>https://github.com/darknigthmare/yautja-la-longue-chasse/actions/runs/41196187434/artifacts/13040272198</x:v>
      </x:c>
      <x:c r="K12" s="79" t="str">
        <x:v>Relever dimensions, UV, pose, charnière et source cinéma</x:v>
      </x:c>
    </x:row>
    <x:row r="13" ht="29" customHeight="1">
      <x:c r="A13" s="79" t="str">
        <x:v>city-hunter</x:v>
      </x:c>
      <x:c r="B13" s="79" t="str">
        <x:v>City Hunter · 1990</x:v>
      </x:c>
      <x:c r="C13" s="79" t="str">
        <x:v>V135</x:v>
      </x:c>
      <x:c r="D13" s="79" t="str">
        <x:v>02-shell.svg</x:v>
      </x:c>
      <x:c r="E13" s="79" t="str">
        <x:v>public/game/assets/v135/gauntlets/city-hunter/02-shell.svg</x:v>
      </x:c>
      <x:c r="F13" s="79" t="str">
        <x:v>Source SVG individuelle réelle</x:v>
      </x:c>
      <x:c r="G13" s="79" t="str">
        <x:v>Alpha 1080×580 en CI</x:v>
      </x:c>
      <x:c r="H13" s="79" t="str">
        <x:v>Référence source non homologuée</x:v>
      </x:c>
      <x:c r="I13" s="79" t="str">
        <x:v>0 / 1 : NON VALIDÉ 1:1</x:v>
      </x:c>
      <x:c r="J13" s="79" t="str">
        <x:v>https://github.com/darknigthmare/yautja-la-longue-chasse/actions/runs/41196187434/artifacts/13040272198</x:v>
      </x:c>
      <x:c r="K13" s="79" t="str">
        <x:v>Relever dimensions, UV, pose, charnière et source cinéma</x:v>
      </x:c>
    </x:row>
    <x:row r="14" ht="29" customHeight="1">
      <x:c r="A14" s="79" t="str">
        <x:v>city-hunter</x:v>
      </x:c>
      <x:c r="B14" s="79" t="str">
        <x:v>City Hunter · 1990</x:v>
      </x:c>
      <x:c r="C14" s="79" t="str">
        <x:v>V135</x:v>
      </x:c>
      <x:c r="D14" s="79" t="str">
        <x:v>03-panel.svg</x:v>
      </x:c>
      <x:c r="E14" s="79" t="str">
        <x:v>public/game/assets/v135/gauntlets/city-hunter/03-panel.svg</x:v>
      </x:c>
      <x:c r="F14" s="79" t="str">
        <x:v>Source SVG individuelle réelle</x:v>
      </x:c>
      <x:c r="G14" s="79" t="str">
        <x:v>Alpha 1080×580 en CI</x:v>
      </x:c>
      <x:c r="H14" s="79" t="str">
        <x:v>Référence source non homologuée</x:v>
      </x:c>
      <x:c r="I14" s="79" t="str">
        <x:v>0 / 1 : NON VALIDÉ 1:1</x:v>
      </x:c>
      <x:c r="J14" s="79" t="str">
        <x:v>https://github.com/darknigthmare/yautja-la-longue-chasse/actions/runs/41196187434/artifacts/13040272198</x:v>
      </x:c>
      <x:c r="K14" s="79" t="str">
        <x:v>Relever dimensions, UV, pose, charnière et source cinéma</x:v>
      </x:c>
    </x:row>
    <x:row r="15" ht="29" customHeight="1">
      <x:c r="A15" s="79" t="str">
        <x:v>city-hunter</x:v>
      </x:c>
      <x:c r="B15" s="79" t="str">
        <x:v>City Hunter · 1990</x:v>
      </x:c>
      <x:c r="C15" s="79" t="str">
        <x:v>V135</x:v>
      </x:c>
      <x:c r="D15" s="79" t="str">
        <x:v>04-cover.svg</x:v>
      </x:c>
      <x:c r="E15" s="79" t="str">
        <x:v>public/game/assets/v135/gauntlets/city-hunter/04-cover.svg</x:v>
      </x:c>
      <x:c r="F15" s="79" t="str">
        <x:v>Source SVG individuelle réelle</x:v>
      </x:c>
      <x:c r="G15" s="79" t="str">
        <x:v>Alpha 1080×580 en CI</x:v>
      </x:c>
      <x:c r="H15" s="79" t="str">
        <x:v>Référence source non homologuée</x:v>
      </x:c>
      <x:c r="I15" s="79" t="str">
        <x:v>0 / 1 : NON VALIDÉ 1:1</x:v>
      </x:c>
      <x:c r="J15" s="79" t="str">
        <x:v>https://github.com/darknigthmare/yautja-la-longue-chasse/actions/runs/41196187434/artifacts/13040272198</x:v>
      </x:c>
      <x:c r="K15" s="79" t="str">
        <x:v>Relever dimensions, UV, pose, charnière et source cinéma</x:v>
      </x:c>
    </x:row>
    <x:row r="16" ht="29" customHeight="1">
      <x:c r="A16" s="79" t="str">
        <x:v>greyback</x:v>
      </x:c>
      <x:c r="B16" s="79" t="str">
        <x:v>Greyback / Elder · 1990</x:v>
      </x:c>
      <x:c r="C16" s="79" t="str">
        <x:v>V136</x:v>
      </x:c>
      <x:c r="D16" s="79" t="str">
        <x:v>01-arm.svg</x:v>
      </x:c>
      <x:c r="E16" s="79" t="str">
        <x:v>public/game/assets/v136/gauntlets/greyback/01-arm.svg</x:v>
      </x:c>
      <x:c r="F16" s="79" t="str">
        <x:v>Source SVG individuelle réelle</x:v>
      </x:c>
      <x:c r="G16" s="79" t="str">
        <x:v>Alpha 1080×580 en CI</x:v>
      </x:c>
      <x:c r="H16" s="79" t="str">
        <x:v>Concept original</x:v>
      </x:c>
      <x:c r="I16" s="79" t="str">
        <x:v>0 / 1 : NON VALIDÉ 1:1</x:v>
      </x:c>
      <x:c r="J16" s="79" t="str">
        <x:v>https://github.com/darknigthmare/yautja-la-longue-chasse/actions/runs/41196187434/artifacts/13040272198</x:v>
      </x:c>
      <x:c r="K16" s="79" t="str">
        <x:v>Relever dimensions, UV, pose, charnière et source cinéma</x:v>
      </x:c>
    </x:row>
    <x:row r="17" ht="29" customHeight="1">
      <x:c r="A17" s="79" t="str">
        <x:v>greyback</x:v>
      </x:c>
      <x:c r="B17" s="79" t="str">
        <x:v>Greyback / Elder · 1990</x:v>
      </x:c>
      <x:c r="C17" s="79" t="str">
        <x:v>V136</x:v>
      </x:c>
      <x:c r="D17" s="79" t="str">
        <x:v>02-shell.svg</x:v>
      </x:c>
      <x:c r="E17" s="79" t="str">
        <x:v>public/game/assets/v136/gauntlets/greyback/02-shell.svg</x:v>
      </x:c>
      <x:c r="F17" s="79" t="str">
        <x:v>Source SVG individuelle réelle</x:v>
      </x:c>
      <x:c r="G17" s="79" t="str">
        <x:v>Alpha 1080×580 en CI</x:v>
      </x:c>
      <x:c r="H17" s="79" t="str">
        <x:v>Concept original</x:v>
      </x:c>
      <x:c r="I17" s="79" t="str">
        <x:v>0 / 1 : NON VALIDÉ 1:1</x:v>
      </x:c>
      <x:c r="J17" s="79" t="str">
        <x:v>https://github.com/darknigthmare/yautja-la-longue-chasse/actions/runs/41196187434/artifacts/13040272198</x:v>
      </x:c>
      <x:c r="K17" s="79" t="str">
        <x:v>Relever dimensions, UV, pose, charnière et source cinéma</x:v>
      </x:c>
    </x:row>
    <x:row r="18" ht="29" customHeight="1">
      <x:c r="A18" s="79" t="str">
        <x:v>greyback</x:v>
      </x:c>
      <x:c r="B18" s="79" t="str">
        <x:v>Greyback / Elder · 1990</x:v>
      </x:c>
      <x:c r="C18" s="79" t="str">
        <x:v>V136</x:v>
      </x:c>
      <x:c r="D18" s="79" t="str">
        <x:v>03-interface.svg</x:v>
      </x:c>
      <x:c r="E18" s="79" t="str">
        <x:v>public/game/assets/v136/gauntlets/greyback/03-interface.svg</x:v>
      </x:c>
      <x:c r="F18" s="79" t="str">
        <x:v>Source SVG individuelle réelle</x:v>
      </x:c>
      <x:c r="G18" s="79" t="str">
        <x:v>Alpha 1080×580 en CI</x:v>
      </x:c>
      <x:c r="H18" s="79" t="str">
        <x:v>Concept original</x:v>
      </x:c>
      <x:c r="I18" s="79" t="str">
        <x:v>0 / 1 : NON VALIDÉ 1:1</x:v>
      </x:c>
      <x:c r="J18" s="79" t="str">
        <x:v>https://github.com/darknigthmare/yautja-la-longue-chasse/actions/runs/41196187434/artifacts/13040272198</x:v>
      </x:c>
      <x:c r="K18" s="79" t="str">
        <x:v>Relever dimensions, UV, pose, charnière et source cinéma</x:v>
      </x:c>
    </x:row>
    <x:row r="19" ht="29" customHeight="1">
      <x:c r="A19" s="79" t="str">
        <x:v>greyback</x:v>
      </x:c>
      <x:c r="B19" s="79" t="str">
        <x:v>Greyback / Elder · 1990</x:v>
      </x:c>
      <x:c r="C19" s="79" t="str">
        <x:v>V136</x:v>
      </x:c>
      <x:c r="D19" s="79" t="str">
        <x:v>04-lid.svg</x:v>
      </x:c>
      <x:c r="E19" s="79" t="str">
        <x:v>public/game/assets/v136/gauntlets/greyback/04-lid.svg</x:v>
      </x:c>
      <x:c r="F19" s="79" t="str">
        <x:v>Source SVG individuelle réelle</x:v>
      </x:c>
      <x:c r="G19" s="79" t="str">
        <x:v>Alpha 1080×580 en CI</x:v>
      </x:c>
      <x:c r="H19" s="79" t="str">
        <x:v>Concept original</x:v>
      </x:c>
      <x:c r="I19" s="79" t="str">
        <x:v>0 / 1 : NON VALIDÉ 1:1</x:v>
      </x:c>
      <x:c r="J19" s="79" t="str">
        <x:v>https://github.com/darknigthmare/yautja-la-longue-chasse/actions/runs/41196187434/artifacts/13040272198</x:v>
      </x:c>
      <x:c r="K19" s="79" t="str">
        <x:v>Relever dimensions, UV, pose, charnière et source cinéma</x:v>
      </x:c>
    </x:row>
    <x:row r="20" ht="29" customHeight="1">
      <x:c r="A20" s="79" t="str">
        <x:v>lost-boar</x:v>
      </x:c>
      <x:c r="B20" s="79" t="str">
        <x:v>Boar · Lost Tribe</x:v>
      </x:c>
      <x:c r="C20" s="79" t="str">
        <x:v>V136</x:v>
      </x:c>
      <x:c r="D20" s="79" t="str">
        <x:v>01-arm.svg</x:v>
      </x:c>
      <x:c r="E20" s="79" t="str">
        <x:v>public/game/assets/v136/gauntlets/lost-boar/01-arm.svg</x:v>
      </x:c>
      <x:c r="F20" s="79" t="str">
        <x:v>Source SVG individuelle réelle</x:v>
      </x:c>
      <x:c r="G20" s="79" t="str">
        <x:v>Alpha 1080×580 en CI</x:v>
      </x:c>
      <x:c r="H20" s="79" t="str">
        <x:v>Concept original</x:v>
      </x:c>
      <x:c r="I20" s="79" t="str">
        <x:v>0 / 1 : NON VALIDÉ 1:1</x:v>
      </x:c>
      <x:c r="J20" s="79" t="str">
        <x:v>https://github.com/darknigthmare/yautja-la-longue-chasse/actions/runs/41196187434/artifacts/13040272198</x:v>
      </x:c>
      <x:c r="K20" s="79" t="str">
        <x:v>Relever dimensions, UV, pose, charnière et source cinéma</x:v>
      </x:c>
    </x:row>
    <x:row r="21" ht="29" customHeight="1">
      <x:c r="A21" s="79" t="str">
        <x:v>lost-boar</x:v>
      </x:c>
      <x:c r="B21" s="79" t="str">
        <x:v>Boar · Lost Tribe</x:v>
      </x:c>
      <x:c r="C21" s="79" t="str">
        <x:v>V136</x:v>
      </x:c>
      <x:c r="D21" s="79" t="str">
        <x:v>02-shell.svg</x:v>
      </x:c>
      <x:c r="E21" s="79" t="str">
        <x:v>public/game/assets/v136/gauntlets/lost-boar/02-shell.svg</x:v>
      </x:c>
      <x:c r="F21" s="79" t="str">
        <x:v>Source SVG individuelle réelle</x:v>
      </x:c>
      <x:c r="G21" s="79" t="str">
        <x:v>Alpha 1080×580 en CI</x:v>
      </x:c>
      <x:c r="H21" s="79" t="str">
        <x:v>Concept original</x:v>
      </x:c>
      <x:c r="I21" s="79" t="str">
        <x:v>0 / 1 : NON VALIDÉ 1:1</x:v>
      </x:c>
      <x:c r="J21" s="79" t="str">
        <x:v>https://github.com/darknigthmare/yautja-la-longue-chasse/actions/runs/41196187434/artifacts/13040272198</x:v>
      </x:c>
      <x:c r="K21" s="79" t="str">
        <x:v>Relever dimensions, UV, pose, charnière et source cinéma</x:v>
      </x:c>
    </x:row>
    <x:row r="22" ht="29" customHeight="1">
      <x:c r="A22" s="79" t="str">
        <x:v>lost-boar</x:v>
      </x:c>
      <x:c r="B22" s="79" t="str">
        <x:v>Boar · Lost Tribe</x:v>
      </x:c>
      <x:c r="C22" s="79" t="str">
        <x:v>V136</x:v>
      </x:c>
      <x:c r="D22" s="79" t="str">
        <x:v>03-interface.svg</x:v>
      </x:c>
      <x:c r="E22" s="79" t="str">
        <x:v>public/game/assets/v136/gauntlets/lost-boar/03-interface.svg</x:v>
      </x:c>
      <x:c r="F22" s="79" t="str">
        <x:v>Source SVG individuelle réelle</x:v>
      </x:c>
      <x:c r="G22" s="79" t="str">
        <x:v>Alpha 1080×580 en CI</x:v>
      </x:c>
      <x:c r="H22" s="79" t="str">
        <x:v>Concept original</x:v>
      </x:c>
      <x:c r="I22" s="79" t="str">
        <x:v>0 / 1 : NON VALIDÉ 1:1</x:v>
      </x:c>
      <x:c r="J22" s="79" t="str">
        <x:v>https://github.com/darknigthmare/yautja-la-longue-chasse/actions/runs/41196187434/artifacts/13040272198</x:v>
      </x:c>
      <x:c r="K22" s="79" t="str">
        <x:v>Relever dimensions, UV, pose, charnière et source cinéma</x:v>
      </x:c>
    </x:row>
    <x:row r="23" ht="29" customHeight="1">
      <x:c r="A23" s="79" t="str">
        <x:v>lost-boar</x:v>
      </x:c>
      <x:c r="B23" s="79" t="str">
        <x:v>Boar · Lost Tribe</x:v>
      </x:c>
      <x:c r="C23" s="79" t="str">
        <x:v>V136</x:v>
      </x:c>
      <x:c r="D23" s="79" t="str">
        <x:v>04-lid.svg</x:v>
      </x:c>
      <x:c r="E23" s="79" t="str">
        <x:v>public/game/assets/v136/gauntlets/lost-boar/04-lid.svg</x:v>
      </x:c>
      <x:c r="F23" s="79" t="str">
        <x:v>Source SVG individuelle réelle</x:v>
      </x:c>
      <x:c r="G23" s="79" t="str">
        <x:v>Alpha 1080×580 en CI</x:v>
      </x:c>
      <x:c r="H23" s="79" t="str">
        <x:v>Concept original</x:v>
      </x:c>
      <x:c r="I23" s="79" t="str">
        <x:v>0 / 1 : NON VALIDÉ 1:1</x:v>
      </x:c>
      <x:c r="J23" s="79" t="str">
        <x:v>https://github.com/darknigthmare/yautja-la-longue-chasse/actions/runs/41196187434/artifacts/13040272198</x:v>
      </x:c>
      <x:c r="K23" s="79" t="str">
        <x:v>Relever dimensions, UV, pose, charnière et source cinéma</x:v>
      </x:c>
    </x:row>
    <x:row r="24" ht="29" customHeight="1">
      <x:c r="A24" s="79" t="str">
        <x:v>lost-shaman</x:v>
      </x:c>
      <x:c r="B24" s="79" t="str">
        <x:v>Shaman · Lost Tribe</x:v>
      </x:c>
      <x:c r="C24" s="79" t="str">
        <x:v>V136</x:v>
      </x:c>
      <x:c r="D24" s="79" t="str">
        <x:v>01-arm.svg</x:v>
      </x:c>
      <x:c r="E24" s="79" t="str">
        <x:v>public/game/assets/v136/gauntlets/lost-shaman/01-arm.svg</x:v>
      </x:c>
      <x:c r="F24" s="79" t="str">
        <x:v>Source SVG individuelle réelle</x:v>
      </x:c>
      <x:c r="G24" s="79" t="str">
        <x:v>Alpha 1080×580 en CI</x:v>
      </x:c>
      <x:c r="H24" s="79" t="str">
        <x:v>Concept original</x:v>
      </x:c>
      <x:c r="I24" s="79" t="str">
        <x:v>0 / 1 : NON VALIDÉ 1:1</x:v>
      </x:c>
      <x:c r="J24" s="79" t="str">
        <x:v>https://github.com/darknigthmare/yautja-la-longue-chasse/actions/runs/41196187434/artifacts/13040272198</x:v>
      </x:c>
      <x:c r="K24" s="79" t="str">
        <x:v>Relever dimensions, UV, pose, charnière et source cinéma</x:v>
      </x:c>
    </x:row>
    <x:row r="25" ht="29" customHeight="1">
      <x:c r="A25" s="79" t="str">
        <x:v>lost-shaman</x:v>
      </x:c>
      <x:c r="B25" s="79" t="str">
        <x:v>Shaman · Lost Tribe</x:v>
      </x:c>
      <x:c r="C25" s="79" t="str">
        <x:v>V136</x:v>
      </x:c>
      <x:c r="D25" s="79" t="str">
        <x:v>02-shell.svg</x:v>
      </x:c>
      <x:c r="E25" s="79" t="str">
        <x:v>public/game/assets/v136/gauntlets/lost-shaman/02-shell.svg</x:v>
      </x:c>
      <x:c r="F25" s="79" t="str">
        <x:v>Source SVG individuelle réelle</x:v>
      </x:c>
      <x:c r="G25" s="79" t="str">
        <x:v>Alpha 1080×580 en CI</x:v>
      </x:c>
      <x:c r="H25" s="79" t="str">
        <x:v>Concept original</x:v>
      </x:c>
      <x:c r="I25" s="79" t="str">
        <x:v>0 / 1 : NON VALIDÉ 1:1</x:v>
      </x:c>
      <x:c r="J25" s="79" t="str">
        <x:v>https://github.com/darknigthmare/yautja-la-longue-chasse/actions/runs/41196187434/artifacts/13040272198</x:v>
      </x:c>
      <x:c r="K25" s="79" t="str">
        <x:v>Relever dimensions, UV, pose, charnière et source cinéma</x:v>
      </x:c>
    </x:row>
    <x:row r="26" ht="29" customHeight="1">
      <x:c r="A26" s="79" t="str">
        <x:v>lost-shaman</x:v>
      </x:c>
      <x:c r="B26" s="79" t="str">
        <x:v>Shaman · Lost Tribe</x:v>
      </x:c>
      <x:c r="C26" s="79" t="str">
        <x:v>V136</x:v>
      </x:c>
      <x:c r="D26" s="79" t="str">
        <x:v>03-interface.svg</x:v>
      </x:c>
      <x:c r="E26" s="79" t="str">
        <x:v>public/game/assets/v136/gauntlets/lost-shaman/03-interface.svg</x:v>
      </x:c>
      <x:c r="F26" s="79" t="str">
        <x:v>Source SVG individuelle réelle</x:v>
      </x:c>
      <x:c r="G26" s="79" t="str">
        <x:v>Alpha 1080×580 en CI</x:v>
      </x:c>
      <x:c r="H26" s="79" t="str">
        <x:v>Concept original</x:v>
      </x:c>
      <x:c r="I26" s="79" t="str">
        <x:v>0 / 1 : NON VALIDÉ 1:1</x:v>
      </x:c>
      <x:c r="J26" s="79" t="str">
        <x:v>https://github.com/darknigthmare/yautja-la-longue-chasse/actions/runs/41196187434/artifacts/13040272198</x:v>
      </x:c>
      <x:c r="K26" s="79" t="str">
        <x:v>Relever dimensions, UV, pose, charnière et source cinéma</x:v>
      </x:c>
    </x:row>
    <x:row r="27" ht="29" customHeight="1">
      <x:c r="A27" s="79" t="str">
        <x:v>lost-shaman</x:v>
      </x:c>
      <x:c r="B27" s="79" t="str">
        <x:v>Shaman · Lost Tribe</x:v>
      </x:c>
      <x:c r="C27" s="79" t="str">
        <x:v>V136</x:v>
      </x:c>
      <x:c r="D27" s="79" t="str">
        <x:v>04-lid.svg</x:v>
      </x:c>
      <x:c r="E27" s="79" t="str">
        <x:v>public/game/assets/v136/gauntlets/lost-shaman/04-lid.svg</x:v>
      </x:c>
      <x:c r="F27" s="79" t="str">
        <x:v>Source SVG individuelle réelle</x:v>
      </x:c>
      <x:c r="G27" s="79" t="str">
        <x:v>Alpha 1080×580 en CI</x:v>
      </x:c>
      <x:c r="H27" s="79" t="str">
        <x:v>Concept original</x:v>
      </x:c>
      <x:c r="I27" s="79" t="str">
        <x:v>0 / 1 : NON VALIDÉ 1:1</x:v>
      </x:c>
      <x:c r="J27" s="79" t="str">
        <x:v>https://github.com/darknigthmare/yautja-la-longue-chasse/actions/runs/41196187434/artifacts/13040272198</x:v>
      </x:c>
      <x:c r="K27" s="79" t="str">
        <x:v>Relever dimensions, UV, pose, charnière et source cinéma</x:v>
      </x:c>
    </x:row>
    <x:row r="28" ht="29" customHeight="1">
      <x:c r="A28" s="79" t="str">
        <x:v>lost-guardian</x:v>
      </x:c>
      <x:c r="B28" s="79" t="str">
        <x:v>Guardian · Lost Tribe</x:v>
      </x:c>
      <x:c r="C28" s="79" t="str">
        <x:v>V136</x:v>
      </x:c>
      <x:c r="D28" s="79" t="str">
        <x:v>01-arm.svg</x:v>
      </x:c>
      <x:c r="E28" s="79" t="str">
        <x:v>public/game/assets/v136/gauntlets/lost-guardian/01-arm.svg</x:v>
      </x:c>
      <x:c r="F28" s="79" t="str">
        <x:v>Source SVG individuelle réelle</x:v>
      </x:c>
      <x:c r="G28" s="79" t="str">
        <x:v>Alpha 1080×580 en CI</x:v>
      </x:c>
      <x:c r="H28" s="79" t="str">
        <x:v>Concept original</x:v>
      </x:c>
      <x:c r="I28" s="79" t="str">
        <x:v>0 / 1 : NON VALIDÉ 1:1</x:v>
      </x:c>
      <x:c r="J28" s="79" t="str">
        <x:v>https://github.com/darknigthmare/yautja-la-longue-chasse/actions/runs/41196187434/artifacts/13040272198</x:v>
      </x:c>
      <x:c r="K28" s="79" t="str">
        <x:v>Relever dimensions, UV, pose, charnière et source cinéma</x:v>
      </x:c>
    </x:row>
    <x:row r="29" ht="29" customHeight="1">
      <x:c r="A29" s="79" t="str">
        <x:v>lost-guardian</x:v>
      </x:c>
      <x:c r="B29" s="79" t="str">
        <x:v>Guardian · Lost Tribe</x:v>
      </x:c>
      <x:c r="C29" s="79" t="str">
        <x:v>V136</x:v>
      </x:c>
      <x:c r="D29" s="79" t="str">
        <x:v>02-shell.svg</x:v>
      </x:c>
      <x:c r="E29" s="79" t="str">
        <x:v>public/game/assets/v136/gauntlets/lost-guardian/02-shell.svg</x:v>
      </x:c>
      <x:c r="F29" s="79" t="str">
        <x:v>Source SVG individuelle réelle</x:v>
      </x:c>
      <x:c r="G29" s="79" t="str">
        <x:v>Alpha 1080×580 en CI</x:v>
      </x:c>
      <x:c r="H29" s="79" t="str">
        <x:v>Concept original</x:v>
      </x:c>
      <x:c r="I29" s="79" t="str">
        <x:v>0 / 1 : NON VALIDÉ 1:1</x:v>
      </x:c>
      <x:c r="J29" s="79" t="str">
        <x:v>https://github.com/darknigthmare/yautja-la-longue-chasse/actions/runs/41196187434/artifacts/13040272198</x:v>
      </x:c>
      <x:c r="K29" s="79" t="str">
        <x:v>Relever dimensions, UV, pose, charnière et source cinéma</x:v>
      </x:c>
    </x:row>
    <x:row r="30" ht="29" customHeight="1">
      <x:c r="A30" s="79" t="str">
        <x:v>lost-guardian</x:v>
      </x:c>
      <x:c r="B30" s="79" t="str">
        <x:v>Guardian · Lost Tribe</x:v>
      </x:c>
      <x:c r="C30" s="79" t="str">
        <x:v>V136</x:v>
      </x:c>
      <x:c r="D30" s="79" t="str">
        <x:v>03-interface.svg</x:v>
      </x:c>
      <x:c r="E30" s="79" t="str">
        <x:v>public/game/assets/v136/gauntlets/lost-guardian/03-interface.svg</x:v>
      </x:c>
      <x:c r="F30" s="79" t="str">
        <x:v>Source SVG individuelle réelle</x:v>
      </x:c>
      <x:c r="G30" s="79" t="str">
        <x:v>Alpha 1080×580 en CI</x:v>
      </x:c>
      <x:c r="H30" s="79" t="str">
        <x:v>Concept original</x:v>
      </x:c>
      <x:c r="I30" s="79" t="str">
        <x:v>0 / 1 : NON VALIDÉ 1:1</x:v>
      </x:c>
      <x:c r="J30" s="79" t="str">
        <x:v>https://github.com/darknigthmare/yautja-la-longue-chasse/actions/runs/41196187434/artifacts/13040272198</x:v>
      </x:c>
      <x:c r="K30" s="79" t="str">
        <x:v>Relever dimensions, UV, pose, charnière et source cinéma</x:v>
      </x:c>
    </x:row>
    <x:row r="31" ht="29" customHeight="1">
      <x:c r="A31" s="79" t="str">
        <x:v>lost-guardian</x:v>
      </x:c>
      <x:c r="B31" s="79" t="str">
        <x:v>Guardian · Lost Tribe</x:v>
      </x:c>
      <x:c r="C31" s="79" t="str">
        <x:v>V136</x:v>
      </x:c>
      <x:c r="D31" s="79" t="str">
        <x:v>04-lid.svg</x:v>
      </x:c>
      <x:c r="E31" s="79" t="str">
        <x:v>public/game/assets/v136/gauntlets/lost-guardian/04-lid.svg</x:v>
      </x:c>
      <x:c r="F31" s="79" t="str">
        <x:v>Source SVG individuelle réelle</x:v>
      </x:c>
      <x:c r="G31" s="79" t="str">
        <x:v>Alpha 1080×580 en CI</x:v>
      </x:c>
      <x:c r="H31" s="79" t="str">
        <x:v>Concept original</x:v>
      </x:c>
      <x:c r="I31" s="79" t="str">
        <x:v>0 / 1 : NON VALIDÉ 1:1</x:v>
      </x:c>
      <x:c r="J31" s="79" t="str">
        <x:v>https://github.com/darknigthmare/yautja-la-longue-chasse/actions/runs/41196187434/artifacts/13040272198</x:v>
      </x:c>
      <x:c r="K31" s="79" t="str">
        <x:v>Relever dimensions, UV, pose, charnière et source cinéma</x:v>
      </x:c>
    </x:row>
    <x:row r="32" ht="29" customHeight="1">
      <x:c r="A32" s="79" t="str">
        <x:v>lost-stalker</x:v>
      </x:c>
      <x:c r="B32" s="79" t="str">
        <x:v>Stalker · Lost Tribe</x:v>
      </x:c>
      <x:c r="C32" s="79" t="str">
        <x:v>V136</x:v>
      </x:c>
      <x:c r="D32" s="79" t="str">
        <x:v>01-arm.svg</x:v>
      </x:c>
      <x:c r="E32" s="79" t="str">
        <x:v>public/game/assets/v136/gauntlets/lost-stalker/01-arm.svg</x:v>
      </x:c>
      <x:c r="F32" s="79" t="str">
        <x:v>Source SVG individuelle réelle</x:v>
      </x:c>
      <x:c r="G32" s="79" t="str">
        <x:v>Alpha 1080×580 en CI</x:v>
      </x:c>
      <x:c r="H32" s="79" t="str">
        <x:v>Concept original</x:v>
      </x:c>
      <x:c r="I32" s="79" t="str">
        <x:v>0 / 1 : NON VALIDÉ 1:1</x:v>
      </x:c>
      <x:c r="J32" s="79" t="str">
        <x:v>https://github.com/darknigthmare/yautja-la-longue-chasse/actions/runs/41196187434/artifacts/13040272198</x:v>
      </x:c>
      <x:c r="K32" s="79" t="str">
        <x:v>Relever dimensions, UV, pose, charnière et source cinéma</x:v>
      </x:c>
    </x:row>
    <x:row r="33" ht="29" customHeight="1">
      <x:c r="A33" s="79" t="str">
        <x:v>lost-stalker</x:v>
      </x:c>
      <x:c r="B33" s="79" t="str">
        <x:v>Stalker · Lost Tribe</x:v>
      </x:c>
      <x:c r="C33" s="79" t="str">
        <x:v>V136</x:v>
      </x:c>
      <x:c r="D33" s="79" t="str">
        <x:v>02-shell.svg</x:v>
      </x:c>
      <x:c r="E33" s="79" t="str">
        <x:v>public/game/assets/v136/gauntlets/lost-stalker/02-shell.svg</x:v>
      </x:c>
      <x:c r="F33" s="79" t="str">
        <x:v>Source SVG individuelle réelle</x:v>
      </x:c>
      <x:c r="G33" s="79" t="str">
        <x:v>Alpha 1080×580 en CI</x:v>
      </x:c>
      <x:c r="H33" s="79" t="str">
        <x:v>Concept original</x:v>
      </x:c>
      <x:c r="I33" s="79" t="str">
        <x:v>0 / 1 : NON VALIDÉ 1:1</x:v>
      </x:c>
      <x:c r="J33" s="79" t="str">
        <x:v>https://github.com/darknigthmare/yautja-la-longue-chasse/actions/runs/41196187434/artifacts/13040272198</x:v>
      </x:c>
      <x:c r="K33" s="79" t="str">
        <x:v>Relever dimensions, UV, pose, charnière et source cinéma</x:v>
      </x:c>
    </x:row>
    <x:row r="34" ht="29" customHeight="1">
      <x:c r="A34" s="79" t="str">
        <x:v>lost-stalker</x:v>
      </x:c>
      <x:c r="B34" s="79" t="str">
        <x:v>Stalker · Lost Tribe</x:v>
      </x:c>
      <x:c r="C34" s="79" t="str">
        <x:v>V136</x:v>
      </x:c>
      <x:c r="D34" s="79" t="str">
        <x:v>03-interface.svg</x:v>
      </x:c>
      <x:c r="E34" s="79" t="str">
        <x:v>public/game/assets/v136/gauntlets/lost-stalker/03-interface.svg</x:v>
      </x:c>
      <x:c r="F34" s="79" t="str">
        <x:v>Source SVG individuelle réelle</x:v>
      </x:c>
      <x:c r="G34" s="79" t="str">
        <x:v>Alpha 1080×580 en CI</x:v>
      </x:c>
      <x:c r="H34" s="79" t="str">
        <x:v>Concept original</x:v>
      </x:c>
      <x:c r="I34" s="79" t="str">
        <x:v>0 / 1 : NON VALIDÉ 1:1</x:v>
      </x:c>
      <x:c r="J34" s="79" t="str">
        <x:v>https://github.com/darknigthmare/yautja-la-longue-chasse/actions/runs/41196187434/artifacts/13040272198</x:v>
      </x:c>
      <x:c r="K34" s="79" t="str">
        <x:v>Relever dimensions, UV, pose, charnière et source cinéma</x:v>
      </x:c>
    </x:row>
    <x:row r="35" ht="29" customHeight="1">
      <x:c r="A35" s="79" t="str">
        <x:v>lost-stalker</x:v>
      </x:c>
      <x:c r="B35" s="79" t="str">
        <x:v>Stalker · Lost Tribe</x:v>
      </x:c>
      <x:c r="C35" s="79" t="str">
        <x:v>V136</x:v>
      </x:c>
      <x:c r="D35" s="79" t="str">
        <x:v>04-lid.svg</x:v>
      </x:c>
      <x:c r="E35" s="79" t="str">
        <x:v>public/game/assets/v136/gauntlets/lost-stalker/04-lid.svg</x:v>
      </x:c>
      <x:c r="F35" s="79" t="str">
        <x:v>Source SVG individuelle réelle</x:v>
      </x:c>
      <x:c r="G35" s="79" t="str">
        <x:v>Alpha 1080×580 en CI</x:v>
      </x:c>
      <x:c r="H35" s="79" t="str">
        <x:v>Concept original</x:v>
      </x:c>
      <x:c r="I35" s="79" t="str">
        <x:v>0 / 1 : NON VALIDÉ 1:1</x:v>
      </x:c>
      <x:c r="J35" s="79" t="str">
        <x:v>https://github.com/darknigthmare/yautja-la-longue-chasse/actions/runs/41196187434/artifacts/13040272198</x:v>
      </x:c>
      <x:c r="K35" s="79" t="str">
        <x:v>Relever dimensions, UV, pose, charnière et source cinéma</x:v>
      </x:c>
    </x:row>
    <x:row r="36" ht="29" customHeight="1">
      <x:c r="A36" s="79" t="str">
        <x:v>lost-snake</x:v>
      </x:c>
      <x:c r="B36" s="79" t="str">
        <x:v>Snake · Lost Tribe</x:v>
      </x:c>
      <x:c r="C36" s="79" t="str">
        <x:v>V136</x:v>
      </x:c>
      <x:c r="D36" s="79" t="str">
        <x:v>01-arm.svg</x:v>
      </x:c>
      <x:c r="E36" s="79" t="str">
        <x:v>public/game/assets/v136/gauntlets/lost-snake/01-arm.svg</x:v>
      </x:c>
      <x:c r="F36" s="79" t="str">
        <x:v>Source SVG individuelle réelle</x:v>
      </x:c>
      <x:c r="G36" s="79" t="str">
        <x:v>Alpha 1080×580 en CI</x:v>
      </x:c>
      <x:c r="H36" s="79" t="str">
        <x:v>Concept original</x:v>
      </x:c>
      <x:c r="I36" s="79" t="str">
        <x:v>0 / 1 : NON VALIDÉ 1:1</x:v>
      </x:c>
      <x:c r="J36" s="79" t="str">
        <x:v>https://github.com/darknigthmare/yautja-la-longue-chasse/actions/runs/41196187434/artifacts/13040272198</x:v>
      </x:c>
      <x:c r="K36" s="79" t="str">
        <x:v>Relever dimensions, UV, pose, charnière et source cinéma</x:v>
      </x:c>
    </x:row>
    <x:row r="37" ht="29" customHeight="1">
      <x:c r="A37" s="79" t="str">
        <x:v>lost-snake</x:v>
      </x:c>
      <x:c r="B37" s="79" t="str">
        <x:v>Snake · Lost Tribe</x:v>
      </x:c>
      <x:c r="C37" s="79" t="str">
        <x:v>V136</x:v>
      </x:c>
      <x:c r="D37" s="79" t="str">
        <x:v>02-shell.svg</x:v>
      </x:c>
      <x:c r="E37" s="79" t="str">
        <x:v>public/game/assets/v136/gauntlets/lost-snake/02-shell.svg</x:v>
      </x:c>
      <x:c r="F37" s="79" t="str">
        <x:v>Source SVG individuelle réelle</x:v>
      </x:c>
      <x:c r="G37" s="79" t="str">
        <x:v>Alpha 1080×580 en CI</x:v>
      </x:c>
      <x:c r="H37" s="79" t="str">
        <x:v>Concept original</x:v>
      </x:c>
      <x:c r="I37" s="79" t="str">
        <x:v>0 / 1 : NON VALIDÉ 1:1</x:v>
      </x:c>
      <x:c r="J37" s="79" t="str">
        <x:v>https://github.com/darknigthmare/yautja-la-longue-chasse/actions/runs/41196187434/artifacts/13040272198</x:v>
      </x:c>
      <x:c r="K37" s="79" t="str">
        <x:v>Relever dimensions, UV, pose, charnière et source cinéma</x:v>
      </x:c>
    </x:row>
    <x:row r="38" ht="29" customHeight="1">
      <x:c r="A38" s="79" t="str">
        <x:v>lost-snake</x:v>
      </x:c>
      <x:c r="B38" s="79" t="str">
        <x:v>Snake · Lost Tribe</x:v>
      </x:c>
      <x:c r="C38" s="79" t="str">
        <x:v>V136</x:v>
      </x:c>
      <x:c r="D38" s="79" t="str">
        <x:v>03-interface.svg</x:v>
      </x:c>
      <x:c r="E38" s="79" t="str">
        <x:v>public/game/assets/v136/gauntlets/lost-snake/03-interface.svg</x:v>
      </x:c>
      <x:c r="F38" s="79" t="str">
        <x:v>Source SVG individuelle réelle</x:v>
      </x:c>
      <x:c r="G38" s="79" t="str">
        <x:v>Alpha 1080×580 en CI</x:v>
      </x:c>
      <x:c r="H38" s="79" t="str">
        <x:v>Concept original</x:v>
      </x:c>
      <x:c r="I38" s="79" t="str">
        <x:v>0 / 1 : NON VALIDÉ 1:1</x:v>
      </x:c>
      <x:c r="J38" s="79" t="str">
        <x:v>https://github.com/darknigthmare/yautja-la-longue-chasse/actions/runs/41196187434/artifacts/13040272198</x:v>
      </x:c>
      <x:c r="K38" s="79" t="str">
        <x:v>Relever dimensions, UV, pose, charnière et source cinéma</x:v>
      </x:c>
    </x:row>
    <x:row r="39" ht="29" customHeight="1">
      <x:c r="A39" s="79" t="str">
        <x:v>lost-snake</x:v>
      </x:c>
      <x:c r="B39" s="79" t="str">
        <x:v>Snake · Lost Tribe</x:v>
      </x:c>
      <x:c r="C39" s="79" t="str">
        <x:v>V136</x:v>
      </x:c>
      <x:c r="D39" s="79" t="str">
        <x:v>04-lid.svg</x:v>
      </x:c>
      <x:c r="E39" s="79" t="str">
        <x:v>public/game/assets/v136/gauntlets/lost-snake/04-lid.svg</x:v>
      </x:c>
      <x:c r="F39" s="79" t="str">
        <x:v>Source SVG individuelle réelle</x:v>
      </x:c>
      <x:c r="G39" s="79" t="str">
        <x:v>Alpha 1080×580 en CI</x:v>
      </x:c>
      <x:c r="H39" s="79" t="str">
        <x:v>Concept original</x:v>
      </x:c>
      <x:c r="I39" s="79" t="str">
        <x:v>0 / 1 : NON VALIDÉ 1:1</x:v>
      </x:c>
      <x:c r="J39" s="79" t="str">
        <x:v>https://github.com/darknigthmare/yautja-la-longue-chasse/actions/runs/41196187434/artifacts/13040272198</x:v>
      </x:c>
      <x:c r="K39" s="79" t="str">
        <x:v>Relever dimensions, UV, pose, charnière et source cinéma</x:v>
      </x:c>
    </x:row>
    <x:row r="40" ht="29" customHeight="1">
      <x:c r="A40" s="79" t="str">
        <x:v>lost-warrior</x:v>
      </x:c>
      <x:c r="B40" s="79" t="str">
        <x:v>Warrior · Lost Tribe</x:v>
      </x:c>
      <x:c r="C40" s="79" t="str">
        <x:v>V136</x:v>
      </x:c>
      <x:c r="D40" s="79" t="str">
        <x:v>01-arm.svg</x:v>
      </x:c>
      <x:c r="E40" s="79" t="str">
        <x:v>public/game/assets/v136/gauntlets/lost-warrior/01-arm.svg</x:v>
      </x:c>
      <x:c r="F40" s="79" t="str">
        <x:v>Source SVG individuelle réelle</x:v>
      </x:c>
      <x:c r="G40" s="79" t="str">
        <x:v>Alpha 1080×580 en CI</x:v>
      </x:c>
      <x:c r="H40" s="79" t="str">
        <x:v>Concept original</x:v>
      </x:c>
      <x:c r="I40" s="79" t="str">
        <x:v>0 / 1 : NON VALIDÉ 1:1</x:v>
      </x:c>
      <x:c r="J40" s="79" t="str">
        <x:v>https://github.com/darknigthmare/yautja-la-longue-chasse/actions/runs/41196187434/artifacts/13040272198</x:v>
      </x:c>
      <x:c r="K40" s="79" t="str">
        <x:v>Relever dimensions, UV, pose, charnière et source cinéma</x:v>
      </x:c>
    </x:row>
    <x:row r="41" ht="29" customHeight="1">
      <x:c r="A41" s="79" t="str">
        <x:v>lost-warrior</x:v>
      </x:c>
      <x:c r="B41" s="79" t="str">
        <x:v>Warrior · Lost Tribe</x:v>
      </x:c>
      <x:c r="C41" s="79" t="str">
        <x:v>V136</x:v>
      </x:c>
      <x:c r="D41" s="79" t="str">
        <x:v>02-shell.svg</x:v>
      </x:c>
      <x:c r="E41" s="79" t="str">
        <x:v>public/game/assets/v136/gauntlets/lost-warrior/02-shell.svg</x:v>
      </x:c>
      <x:c r="F41" s="79" t="str">
        <x:v>Source SVG individuelle réelle</x:v>
      </x:c>
      <x:c r="G41" s="79" t="str">
        <x:v>Alpha 1080×580 en CI</x:v>
      </x:c>
      <x:c r="H41" s="79" t="str">
        <x:v>Concept original</x:v>
      </x:c>
      <x:c r="I41" s="79" t="str">
        <x:v>0 / 1 : NON VALIDÉ 1:1</x:v>
      </x:c>
      <x:c r="J41" s="79" t="str">
        <x:v>https://github.com/darknigthmare/yautja-la-longue-chasse/actions/runs/41196187434/artifacts/13040272198</x:v>
      </x:c>
      <x:c r="K41" s="79" t="str">
        <x:v>Relever dimensions, UV, pose, charnière et source cinéma</x:v>
      </x:c>
    </x:row>
    <x:row r="42" ht="29" customHeight="1">
      <x:c r="A42" s="79" t="str">
        <x:v>lost-warrior</x:v>
      </x:c>
      <x:c r="B42" s="79" t="str">
        <x:v>Warrior · Lost Tribe</x:v>
      </x:c>
      <x:c r="C42" s="79" t="str">
        <x:v>V136</x:v>
      </x:c>
      <x:c r="D42" s="79" t="str">
        <x:v>03-interface.svg</x:v>
      </x:c>
      <x:c r="E42" s="79" t="str">
        <x:v>public/game/assets/v136/gauntlets/lost-warrior/03-interface.svg</x:v>
      </x:c>
      <x:c r="F42" s="79" t="str">
        <x:v>Source SVG individuelle réelle</x:v>
      </x:c>
      <x:c r="G42" s="79" t="str">
        <x:v>Alpha 1080×580 en CI</x:v>
      </x:c>
      <x:c r="H42" s="79" t="str">
        <x:v>Concept original</x:v>
      </x:c>
      <x:c r="I42" s="79" t="str">
        <x:v>0 / 1 : NON VALIDÉ 1:1</x:v>
      </x:c>
      <x:c r="J42" s="79" t="str">
        <x:v>https://github.com/darknigthmare/yautja-la-longue-chasse/actions/runs/41196187434/artifacts/13040272198</x:v>
      </x:c>
      <x:c r="K42" s="79" t="str">
        <x:v>Relever dimensions, UV, pose, charnière et source cinéma</x:v>
      </x:c>
    </x:row>
    <x:row r="43" ht="29" customHeight="1">
      <x:c r="A43" s="79" t="str">
        <x:v>lost-warrior</x:v>
      </x:c>
      <x:c r="B43" s="79" t="str">
        <x:v>Warrior · Lost Tribe</x:v>
      </x:c>
      <x:c r="C43" s="79" t="str">
        <x:v>V136</x:v>
      </x:c>
      <x:c r="D43" s="79" t="str">
        <x:v>04-lid.svg</x:v>
      </x:c>
      <x:c r="E43" s="79" t="str">
        <x:v>public/game/assets/v136/gauntlets/lost-warrior/04-lid.svg</x:v>
      </x:c>
      <x:c r="F43" s="79" t="str">
        <x:v>Source SVG individuelle réelle</x:v>
      </x:c>
      <x:c r="G43" s="79" t="str">
        <x:v>Alpha 1080×580 en CI</x:v>
      </x:c>
      <x:c r="H43" s="79" t="str">
        <x:v>Concept original</x:v>
      </x:c>
      <x:c r="I43" s="79" t="str">
        <x:v>0 / 1 : NON VALIDÉ 1:1</x:v>
      </x:c>
      <x:c r="J43" s="79" t="str">
        <x:v>https://github.com/darknigthmare/yautja-la-longue-chasse/actions/runs/41196187434/artifacts/13040272198</x:v>
      </x:c>
      <x:c r="K43" s="79" t="str">
        <x:v>Relever dimensions, UV, pose, charnière et source cinéma</x:v>
      </x:c>
    </x:row>
    <x:row r="44" ht="29" customHeight="1">
      <x:c r="A44" s="79" t="str">
        <x:v>lost-scout</x:v>
      </x:c>
      <x:c r="B44" s="79" t="str">
        <x:v>Scout · Lost Tribe</x:v>
      </x:c>
      <x:c r="C44" s="79" t="str">
        <x:v>V136</x:v>
      </x:c>
      <x:c r="D44" s="79" t="str">
        <x:v>01-arm.svg</x:v>
      </x:c>
      <x:c r="E44" s="79" t="str">
        <x:v>public/game/assets/v136/gauntlets/lost-scout/01-arm.svg</x:v>
      </x:c>
      <x:c r="F44" s="79" t="str">
        <x:v>Source SVG individuelle réelle</x:v>
      </x:c>
      <x:c r="G44" s="79" t="str">
        <x:v>Alpha 1080×580 en CI</x:v>
      </x:c>
      <x:c r="H44" s="79" t="str">
        <x:v>Concept original</x:v>
      </x:c>
      <x:c r="I44" s="79" t="str">
        <x:v>0 / 1 : NON VALIDÉ 1:1</x:v>
      </x:c>
      <x:c r="J44" s="79" t="str">
        <x:v>https://github.com/darknigthmare/yautja-la-longue-chasse/actions/runs/41196187434/artifacts/13040272198</x:v>
      </x:c>
      <x:c r="K44" s="79" t="str">
        <x:v>Relever dimensions, UV, pose, charnière et source cinéma</x:v>
      </x:c>
    </x:row>
    <x:row r="45" ht="29" customHeight="1">
      <x:c r="A45" s="79" t="str">
        <x:v>lost-scout</x:v>
      </x:c>
      <x:c r="B45" s="79" t="str">
        <x:v>Scout · Lost Tribe</x:v>
      </x:c>
      <x:c r="C45" s="79" t="str">
        <x:v>V136</x:v>
      </x:c>
      <x:c r="D45" s="79" t="str">
        <x:v>02-shell.svg</x:v>
      </x:c>
      <x:c r="E45" s="79" t="str">
        <x:v>public/game/assets/v136/gauntlets/lost-scout/02-shell.svg</x:v>
      </x:c>
      <x:c r="F45" s="79" t="str">
        <x:v>Source SVG individuelle réelle</x:v>
      </x:c>
      <x:c r="G45" s="79" t="str">
        <x:v>Alpha 1080×580 en CI</x:v>
      </x:c>
      <x:c r="H45" s="79" t="str">
        <x:v>Concept original</x:v>
      </x:c>
      <x:c r="I45" s="79" t="str">
        <x:v>0 / 1 : NON VALIDÉ 1:1</x:v>
      </x:c>
      <x:c r="J45" s="79" t="str">
        <x:v>https://github.com/darknigthmare/yautja-la-longue-chasse/actions/runs/41196187434/artifacts/13040272198</x:v>
      </x:c>
      <x:c r="K45" s="79" t="str">
        <x:v>Relever dimensions, UV, pose, charnière et source cinéma</x:v>
      </x:c>
    </x:row>
    <x:row r="46" ht="29" customHeight="1">
      <x:c r="A46" s="79" t="str">
        <x:v>lost-scout</x:v>
      </x:c>
      <x:c r="B46" s="79" t="str">
        <x:v>Scout · Lost Tribe</x:v>
      </x:c>
      <x:c r="C46" s="79" t="str">
        <x:v>V136</x:v>
      </x:c>
      <x:c r="D46" s="79" t="str">
        <x:v>03-interface.svg</x:v>
      </x:c>
      <x:c r="E46" s="79" t="str">
        <x:v>public/game/assets/v136/gauntlets/lost-scout/03-interface.svg</x:v>
      </x:c>
      <x:c r="F46" s="79" t="str">
        <x:v>Source SVG individuelle réelle</x:v>
      </x:c>
      <x:c r="G46" s="79" t="str">
        <x:v>Alpha 1080×580 en CI</x:v>
      </x:c>
      <x:c r="H46" s="79" t="str">
        <x:v>Concept original</x:v>
      </x:c>
      <x:c r="I46" s="79" t="str">
        <x:v>0 / 1 : NON VALIDÉ 1:1</x:v>
      </x:c>
      <x:c r="J46" s="79" t="str">
        <x:v>https://github.com/darknigthmare/yautja-la-longue-chasse/actions/runs/41196187434/artifacts/13040272198</x:v>
      </x:c>
      <x:c r="K46" s="79" t="str">
        <x:v>Relever dimensions, UV, pose, charnière et source cinéma</x:v>
      </x:c>
    </x:row>
    <x:row r="47" ht="29" customHeight="1">
      <x:c r="A47" s="79" t="str">
        <x:v>lost-scout</x:v>
      </x:c>
      <x:c r="B47" s="79" t="str">
        <x:v>Scout · Lost Tribe</x:v>
      </x:c>
      <x:c r="C47" s="79" t="str">
        <x:v>V136</x:v>
      </x:c>
      <x:c r="D47" s="79" t="str">
        <x:v>04-lid.svg</x:v>
      </x:c>
      <x:c r="E47" s="79" t="str">
        <x:v>public/game/assets/v136/gauntlets/lost-scout/04-lid.svg</x:v>
      </x:c>
      <x:c r="F47" s="79" t="str">
        <x:v>Source SVG individuelle réelle</x:v>
      </x:c>
      <x:c r="G47" s="79" t="str">
        <x:v>Alpha 1080×580 en CI</x:v>
      </x:c>
      <x:c r="H47" s="79" t="str">
        <x:v>Concept original</x:v>
      </x:c>
      <x:c r="I47" s="79" t="str">
        <x:v>0 / 1 : NON VALIDÉ 1:1</x:v>
      </x:c>
      <x:c r="J47" s="79" t="str">
        <x:v>https://github.com/darknigthmare/yautja-la-longue-chasse/actions/runs/41196187434/artifacts/13040272198</x:v>
      </x:c>
      <x:c r="K47" s="79" t="str">
        <x:v>Relever dimensions, UV, pose, charnière et source cinéma</x:v>
      </x:c>
    </x:row>
    <x:row r="48" ht="29" customHeight="1">
      <x:c r="A48" s="79" t="str">
        <x:v>lost-borg</x:v>
      </x:c>
      <x:c r="B48" s="79" t="str">
        <x:v>Lost / Borg · Lost Tribe</x:v>
      </x:c>
      <x:c r="C48" s="79" t="str">
        <x:v>V136</x:v>
      </x:c>
      <x:c r="D48" s="79" t="str">
        <x:v>01-arm.svg</x:v>
      </x:c>
      <x:c r="E48" s="79" t="str">
        <x:v>public/game/assets/v136/gauntlets/lost-borg/01-arm.svg</x:v>
      </x:c>
      <x:c r="F48" s="79" t="str">
        <x:v>Source SVG individuelle réelle</x:v>
      </x:c>
      <x:c r="G48" s="79" t="str">
        <x:v>Alpha 1080×580 en CI</x:v>
      </x:c>
      <x:c r="H48" s="79" t="str">
        <x:v>Concept original</x:v>
      </x:c>
      <x:c r="I48" s="79" t="str">
        <x:v>0 / 1 : NON VALIDÉ 1:1</x:v>
      </x:c>
      <x:c r="J48" s="79" t="str">
        <x:v>https://github.com/darknigthmare/yautja-la-longue-chasse/actions/runs/41196187434/artifacts/13040272198</x:v>
      </x:c>
      <x:c r="K48" s="79" t="str">
        <x:v>Relever dimensions, UV, pose, charnière et source cinéma</x:v>
      </x:c>
    </x:row>
    <x:row r="49" ht="29" customHeight="1">
      <x:c r="A49" s="79" t="str">
        <x:v>lost-borg</x:v>
      </x:c>
      <x:c r="B49" s="79" t="str">
        <x:v>Lost / Borg · Lost Tribe</x:v>
      </x:c>
      <x:c r="C49" s="79" t="str">
        <x:v>V136</x:v>
      </x:c>
      <x:c r="D49" s="79" t="str">
        <x:v>02-shell.svg</x:v>
      </x:c>
      <x:c r="E49" s="79" t="str">
        <x:v>public/game/assets/v136/gauntlets/lost-borg/02-shell.svg</x:v>
      </x:c>
      <x:c r="F49" s="79" t="str">
        <x:v>Source SVG individuelle réelle</x:v>
      </x:c>
      <x:c r="G49" s="79" t="str">
        <x:v>Alpha 1080×580 en CI</x:v>
      </x:c>
      <x:c r="H49" s="79" t="str">
        <x:v>Concept original</x:v>
      </x:c>
      <x:c r="I49" s="79" t="str">
        <x:v>0 / 1 : NON VALIDÉ 1:1</x:v>
      </x:c>
      <x:c r="J49" s="79" t="str">
        <x:v>https://github.com/darknigthmare/yautja-la-longue-chasse/actions/runs/41196187434/artifacts/13040272198</x:v>
      </x:c>
      <x:c r="K49" s="79" t="str">
        <x:v>Relever dimensions, UV, pose, charnière et source cinéma</x:v>
      </x:c>
    </x:row>
    <x:row r="50" ht="29" customHeight="1">
      <x:c r="A50" s="79" t="str">
        <x:v>lost-borg</x:v>
      </x:c>
      <x:c r="B50" s="79" t="str">
        <x:v>Lost / Borg · Lost Tribe</x:v>
      </x:c>
      <x:c r="C50" s="79" t="str">
        <x:v>V136</x:v>
      </x:c>
      <x:c r="D50" s="79" t="str">
        <x:v>03-interface.svg</x:v>
      </x:c>
      <x:c r="E50" s="79" t="str">
        <x:v>public/game/assets/v136/gauntlets/lost-borg/03-interface.svg</x:v>
      </x:c>
      <x:c r="F50" s="79" t="str">
        <x:v>Source SVG individuelle réelle</x:v>
      </x:c>
      <x:c r="G50" s="79" t="str">
        <x:v>Alpha 1080×580 en CI</x:v>
      </x:c>
      <x:c r="H50" s="79" t="str">
        <x:v>Concept original</x:v>
      </x:c>
      <x:c r="I50" s="79" t="str">
        <x:v>0 / 1 : NON VALIDÉ 1:1</x:v>
      </x:c>
      <x:c r="J50" s="79" t="str">
        <x:v>https://github.com/darknigthmare/yautja-la-longue-chasse/actions/runs/41196187434/artifacts/13040272198</x:v>
      </x:c>
      <x:c r="K50" s="79" t="str">
        <x:v>Relever dimensions, UV, pose, charnière et source cinéma</x:v>
      </x:c>
    </x:row>
    <x:row r="51" ht="29" customHeight="1">
      <x:c r="A51" s="79" t="str">
        <x:v>lost-borg</x:v>
      </x:c>
      <x:c r="B51" s="79" t="str">
        <x:v>Lost / Borg · Lost Tribe</x:v>
      </x:c>
      <x:c r="C51" s="79" t="str">
        <x:v>V136</x:v>
      </x:c>
      <x:c r="D51" s="79" t="str">
        <x:v>04-lid.svg</x:v>
      </x:c>
      <x:c r="E51" s="79" t="str">
        <x:v>public/game/assets/v136/gauntlets/lost-borg/04-lid.svg</x:v>
      </x:c>
      <x:c r="F51" s="79" t="str">
        <x:v>Source SVG individuelle réelle</x:v>
      </x:c>
      <x:c r="G51" s="79" t="str">
        <x:v>Alpha 1080×580 en CI</x:v>
      </x:c>
      <x:c r="H51" s="79" t="str">
        <x:v>Concept original</x:v>
      </x:c>
      <x:c r="I51" s="79" t="str">
        <x:v>0 / 1 : NON VALIDÉ 1:1</x:v>
      </x:c>
      <x:c r="J51" s="79" t="str">
        <x:v>https://github.com/darknigthmare/yautja-la-longue-chasse/actions/runs/41196187434/artifacts/13040272198</x:v>
      </x:c>
      <x:c r="K51" s="79" t="str">
        <x:v>Relever dimensions, UV, pose, charnière et source cinéma</x:v>
      </x:c>
    </x:row>
    <x:row r="52" ht="29" customHeight="1">
      <x:c r="A52" s="79" t="str">
        <x:v>scar</x:v>
      </x:c>
      <x:c r="B52" s="79" t="str">
        <x:v>Scar · AVP 2004</x:v>
      </x:c>
      <x:c r="C52" s="79" t="str">
        <x:v>V136</x:v>
      </x:c>
      <x:c r="D52" s="79" t="str">
        <x:v>01-arm.svg</x:v>
      </x:c>
      <x:c r="E52" s="79" t="str">
        <x:v>public/game/assets/v136/gauntlets/scar/01-arm.svg</x:v>
      </x:c>
      <x:c r="F52" s="79" t="str">
        <x:v>Source SVG individuelle réelle</x:v>
      </x:c>
      <x:c r="G52" s="79" t="str">
        <x:v>Alpha 1080×580 en CI</x:v>
      </x:c>
      <x:c r="H52" s="79" t="str">
        <x:v>Concept original</x:v>
      </x:c>
      <x:c r="I52" s="79" t="str">
        <x:v>0 / 1 : NON VALIDÉ 1:1</x:v>
      </x:c>
      <x:c r="J52" s="79" t="str">
        <x:v>https://github.com/darknigthmare/yautja-la-longue-chasse/actions/runs/41196187434/artifacts/13040272198</x:v>
      </x:c>
      <x:c r="K52" s="79" t="str">
        <x:v>Relever dimensions, UV, pose, charnière et source cinéma</x:v>
      </x:c>
    </x:row>
    <x:row r="53" ht="29" customHeight="1">
      <x:c r="A53" s="79" t="str">
        <x:v>scar</x:v>
      </x:c>
      <x:c r="B53" s="79" t="str">
        <x:v>Scar · AVP 2004</x:v>
      </x:c>
      <x:c r="C53" s="79" t="str">
        <x:v>V136</x:v>
      </x:c>
      <x:c r="D53" s="79" t="str">
        <x:v>02-shell.svg</x:v>
      </x:c>
      <x:c r="E53" s="79" t="str">
        <x:v>public/game/assets/v136/gauntlets/scar/02-shell.svg</x:v>
      </x:c>
      <x:c r="F53" s="79" t="str">
        <x:v>Source SVG individuelle réelle</x:v>
      </x:c>
      <x:c r="G53" s="79" t="str">
        <x:v>Alpha 1080×580 en CI</x:v>
      </x:c>
      <x:c r="H53" s="79" t="str">
        <x:v>Concept original</x:v>
      </x:c>
      <x:c r="I53" s="79" t="str">
        <x:v>0 / 1 : NON VALIDÉ 1:1</x:v>
      </x:c>
      <x:c r="J53" s="79" t="str">
        <x:v>https://github.com/darknigthmare/yautja-la-longue-chasse/actions/runs/41196187434/artifacts/13040272198</x:v>
      </x:c>
      <x:c r="K53" s="79" t="str">
        <x:v>Relever dimensions, UV, pose, charnière et source cinéma</x:v>
      </x:c>
    </x:row>
    <x:row r="54" ht="29" customHeight="1">
      <x:c r="A54" s="79" t="str">
        <x:v>scar</x:v>
      </x:c>
      <x:c r="B54" s="79" t="str">
        <x:v>Scar · AVP 2004</x:v>
      </x:c>
      <x:c r="C54" s="79" t="str">
        <x:v>V136</x:v>
      </x:c>
      <x:c r="D54" s="79" t="str">
        <x:v>03-interface.svg</x:v>
      </x:c>
      <x:c r="E54" s="79" t="str">
        <x:v>public/game/assets/v136/gauntlets/scar/03-interface.svg</x:v>
      </x:c>
      <x:c r="F54" s="79" t="str">
        <x:v>Source SVG individuelle réelle</x:v>
      </x:c>
      <x:c r="G54" s="79" t="str">
        <x:v>Alpha 1080×580 en CI</x:v>
      </x:c>
      <x:c r="H54" s="79" t="str">
        <x:v>Concept original</x:v>
      </x:c>
      <x:c r="I54" s="79" t="str">
        <x:v>0 / 1 : NON VALIDÉ 1:1</x:v>
      </x:c>
      <x:c r="J54" s="79" t="str">
        <x:v>https://github.com/darknigthmare/yautja-la-longue-chasse/actions/runs/41196187434/artifacts/13040272198</x:v>
      </x:c>
      <x:c r="K54" s="79" t="str">
        <x:v>Relever dimensions, UV, pose, charnière et source cinéma</x:v>
      </x:c>
    </x:row>
    <x:row r="55" ht="29" customHeight="1">
      <x:c r="A55" s="79" t="str">
        <x:v>scar</x:v>
      </x:c>
      <x:c r="B55" s="79" t="str">
        <x:v>Scar · AVP 2004</x:v>
      </x:c>
      <x:c r="C55" s="79" t="str">
        <x:v>V136</x:v>
      </x:c>
      <x:c r="D55" s="79" t="str">
        <x:v>04-lid.svg</x:v>
      </x:c>
      <x:c r="E55" s="79" t="str">
        <x:v>public/game/assets/v136/gauntlets/scar/04-lid.svg</x:v>
      </x:c>
      <x:c r="F55" s="79" t="str">
        <x:v>Source SVG individuelle réelle</x:v>
      </x:c>
      <x:c r="G55" s="79" t="str">
        <x:v>Alpha 1080×580 en CI</x:v>
      </x:c>
      <x:c r="H55" s="79" t="str">
        <x:v>Concept original</x:v>
      </x:c>
      <x:c r="I55" s="79" t="str">
        <x:v>0 / 1 : NON VALIDÉ 1:1</x:v>
      </x:c>
      <x:c r="J55" s="79" t="str">
        <x:v>https://github.com/darknigthmare/yautja-la-longue-chasse/actions/runs/41196187434/artifacts/13040272198</x:v>
      </x:c>
      <x:c r="K55" s="79" t="str">
        <x:v>Relever dimensions, UV, pose, charnière et source cinéma</x:v>
      </x:c>
    </x:row>
    <x:row r="56" ht="29" customHeight="1">
      <x:c r="A56" s="79" t="str">
        <x:v>celtic</x:v>
      </x:c>
      <x:c r="B56" s="79" t="str">
        <x:v>Celtic · AVP 2004</x:v>
      </x:c>
      <x:c r="C56" s="79" t="str">
        <x:v>V136</x:v>
      </x:c>
      <x:c r="D56" s="79" t="str">
        <x:v>01-arm.svg</x:v>
      </x:c>
      <x:c r="E56" s="79" t="str">
        <x:v>public/game/assets/v136/gauntlets/celtic/01-arm.svg</x:v>
      </x:c>
      <x:c r="F56" s="79" t="str">
        <x:v>Source SVG individuelle réelle</x:v>
      </x:c>
      <x:c r="G56" s="79" t="str">
        <x:v>Alpha 1080×580 en CI</x:v>
      </x:c>
      <x:c r="H56" s="79" t="str">
        <x:v>Concept original</x:v>
      </x:c>
      <x:c r="I56" s="79" t="str">
        <x:v>0 / 1 : NON VALIDÉ 1:1</x:v>
      </x:c>
      <x:c r="J56" s="79" t="str">
        <x:v>https://github.com/darknigthmare/yautja-la-longue-chasse/actions/runs/41196187434/artifacts/13040272198</x:v>
      </x:c>
      <x:c r="K56" s="79" t="str">
        <x:v>Relever dimensions, UV, pose, charnière et source cinéma</x:v>
      </x:c>
    </x:row>
    <x:row r="57" ht="29" customHeight="1">
      <x:c r="A57" s="79" t="str">
        <x:v>celtic</x:v>
      </x:c>
      <x:c r="B57" s="79" t="str">
        <x:v>Celtic · AVP 2004</x:v>
      </x:c>
      <x:c r="C57" s="79" t="str">
        <x:v>V136</x:v>
      </x:c>
      <x:c r="D57" s="79" t="str">
        <x:v>02-shell.svg</x:v>
      </x:c>
      <x:c r="E57" s="79" t="str">
        <x:v>public/game/assets/v136/gauntlets/celtic/02-shell.svg</x:v>
      </x:c>
      <x:c r="F57" s="79" t="str">
        <x:v>Source SVG individuelle réelle</x:v>
      </x:c>
      <x:c r="G57" s="79" t="str">
        <x:v>Alpha 1080×580 en CI</x:v>
      </x:c>
      <x:c r="H57" s="79" t="str">
        <x:v>Concept original</x:v>
      </x:c>
      <x:c r="I57" s="79" t="str">
        <x:v>0 / 1 : NON VALIDÉ 1:1</x:v>
      </x:c>
      <x:c r="J57" s="79" t="str">
        <x:v>https://github.com/darknigthmare/yautja-la-longue-chasse/actions/runs/41196187434/artifacts/13040272198</x:v>
      </x:c>
      <x:c r="K57" s="79" t="str">
        <x:v>Relever dimensions, UV, pose, charnière et source cinéma</x:v>
      </x:c>
    </x:row>
    <x:row r="58" ht="29" customHeight="1">
      <x:c r="A58" s="79" t="str">
        <x:v>celtic</x:v>
      </x:c>
      <x:c r="B58" s="79" t="str">
        <x:v>Celtic · AVP 2004</x:v>
      </x:c>
      <x:c r="C58" s="79" t="str">
        <x:v>V136</x:v>
      </x:c>
      <x:c r="D58" s="79" t="str">
        <x:v>03-interface.svg</x:v>
      </x:c>
      <x:c r="E58" s="79" t="str">
        <x:v>public/game/assets/v136/gauntlets/celtic/03-interface.svg</x:v>
      </x:c>
      <x:c r="F58" s="79" t="str">
        <x:v>Source SVG individuelle réelle</x:v>
      </x:c>
      <x:c r="G58" s="79" t="str">
        <x:v>Alpha 1080×580 en CI</x:v>
      </x:c>
      <x:c r="H58" s="79" t="str">
        <x:v>Concept original</x:v>
      </x:c>
      <x:c r="I58" s="79" t="str">
        <x:v>0 / 1 : NON VALIDÉ 1:1</x:v>
      </x:c>
      <x:c r="J58" s="79" t="str">
        <x:v>https://github.com/darknigthmare/yautja-la-longue-chasse/actions/runs/41196187434/artifacts/13040272198</x:v>
      </x:c>
      <x:c r="K58" s="79" t="str">
        <x:v>Relever dimensions, UV, pose, charnière et source cinéma</x:v>
      </x:c>
    </x:row>
    <x:row r="59" ht="29" customHeight="1">
      <x:c r="A59" s="79" t="str">
        <x:v>celtic</x:v>
      </x:c>
      <x:c r="B59" s="79" t="str">
        <x:v>Celtic · AVP 2004</x:v>
      </x:c>
      <x:c r="C59" s="79" t="str">
        <x:v>V136</x:v>
      </x:c>
      <x:c r="D59" s="79" t="str">
        <x:v>04-lid.svg</x:v>
      </x:c>
      <x:c r="E59" s="79" t="str">
        <x:v>public/game/assets/v136/gauntlets/celtic/04-lid.svg</x:v>
      </x:c>
      <x:c r="F59" s="79" t="str">
        <x:v>Source SVG individuelle réelle</x:v>
      </x:c>
      <x:c r="G59" s="79" t="str">
        <x:v>Alpha 1080×580 en CI</x:v>
      </x:c>
      <x:c r="H59" s="79" t="str">
        <x:v>Concept original</x:v>
      </x:c>
      <x:c r="I59" s="79" t="str">
        <x:v>0 / 1 : NON VALIDÉ 1:1</x:v>
      </x:c>
      <x:c r="J59" s="79" t="str">
        <x:v>https://github.com/darknigthmare/yautja-la-longue-chasse/actions/runs/41196187434/artifacts/13040272198</x:v>
      </x:c>
      <x:c r="K59" s="79" t="str">
        <x:v>Relever dimensions, UV, pose, charnière et source cinéma</x:v>
      </x:c>
    </x:row>
    <x:row r="60" ht="29" customHeight="1">
      <x:c r="A60" s="79" t="str">
        <x:v>chopper</x:v>
      </x:c>
      <x:c r="B60" s="79" t="str">
        <x:v>Chopper · AVP 2004</x:v>
      </x:c>
      <x:c r="C60" s="79" t="str">
        <x:v>V136</x:v>
      </x:c>
      <x:c r="D60" s="79" t="str">
        <x:v>01-arm.svg</x:v>
      </x:c>
      <x:c r="E60" s="79" t="str">
        <x:v>public/game/assets/v136/gauntlets/chopper/01-arm.svg</x:v>
      </x:c>
      <x:c r="F60" s="79" t="str">
        <x:v>Source SVG individuelle réelle</x:v>
      </x:c>
      <x:c r="G60" s="79" t="str">
        <x:v>Alpha 1080×580 en CI</x:v>
      </x:c>
      <x:c r="H60" s="79" t="str">
        <x:v>Concept original</x:v>
      </x:c>
      <x:c r="I60" s="79" t="str">
        <x:v>0 / 1 : NON VALIDÉ 1:1</x:v>
      </x:c>
      <x:c r="J60" s="79" t="str">
        <x:v>https://github.com/darknigthmare/yautja-la-longue-chasse/actions/runs/41196187434/artifacts/13040272198</x:v>
      </x:c>
      <x:c r="K60" s="79" t="str">
        <x:v>Relever dimensions, UV, pose, charnière et source cinéma</x:v>
      </x:c>
    </x:row>
    <x:row r="61" ht="29" customHeight="1">
      <x:c r="A61" s="79" t="str">
        <x:v>chopper</x:v>
      </x:c>
      <x:c r="B61" s="79" t="str">
        <x:v>Chopper · AVP 2004</x:v>
      </x:c>
      <x:c r="C61" s="79" t="str">
        <x:v>V136</x:v>
      </x:c>
      <x:c r="D61" s="79" t="str">
        <x:v>02-shell.svg</x:v>
      </x:c>
      <x:c r="E61" s="79" t="str">
        <x:v>public/game/assets/v136/gauntlets/chopper/02-shell.svg</x:v>
      </x:c>
      <x:c r="F61" s="79" t="str">
        <x:v>Source SVG individuelle réelle</x:v>
      </x:c>
      <x:c r="G61" s="79" t="str">
        <x:v>Alpha 1080×580 en CI</x:v>
      </x:c>
      <x:c r="H61" s="79" t="str">
        <x:v>Concept original</x:v>
      </x:c>
      <x:c r="I61" s="79" t="str">
        <x:v>0 / 1 : NON VALIDÉ 1:1</x:v>
      </x:c>
      <x:c r="J61" s="79" t="str">
        <x:v>https://github.com/darknigthmare/yautja-la-longue-chasse/actions/runs/41196187434/artifacts/13040272198</x:v>
      </x:c>
      <x:c r="K61" s="79" t="str">
        <x:v>Relever dimensions, UV, pose, charnière et source cinéma</x:v>
      </x:c>
    </x:row>
    <x:row r="62" ht="29" customHeight="1">
      <x:c r="A62" s="79" t="str">
        <x:v>chopper</x:v>
      </x:c>
      <x:c r="B62" s="79" t="str">
        <x:v>Chopper · AVP 2004</x:v>
      </x:c>
      <x:c r="C62" s="79" t="str">
        <x:v>V136</x:v>
      </x:c>
      <x:c r="D62" s="79" t="str">
        <x:v>03-interface.svg</x:v>
      </x:c>
      <x:c r="E62" s="79" t="str">
        <x:v>public/game/assets/v136/gauntlets/chopper/03-interface.svg</x:v>
      </x:c>
      <x:c r="F62" s="79" t="str">
        <x:v>Source SVG individuelle réelle</x:v>
      </x:c>
      <x:c r="G62" s="79" t="str">
        <x:v>Alpha 1080×580 en CI</x:v>
      </x:c>
      <x:c r="H62" s="79" t="str">
        <x:v>Concept original</x:v>
      </x:c>
      <x:c r="I62" s="79" t="str">
        <x:v>0 / 1 : NON VALIDÉ 1:1</x:v>
      </x:c>
      <x:c r="J62" s="79" t="str">
        <x:v>https://github.com/darknigthmare/yautja-la-longue-chasse/actions/runs/41196187434/artifacts/13040272198</x:v>
      </x:c>
      <x:c r="K62" s="79" t="str">
        <x:v>Relever dimensions, UV, pose, charnière et source cinéma</x:v>
      </x:c>
    </x:row>
    <x:row r="63" ht="29" customHeight="1">
      <x:c r="A63" s="79" t="str">
        <x:v>chopper</x:v>
      </x:c>
      <x:c r="B63" s="79" t="str">
        <x:v>Chopper · AVP 2004</x:v>
      </x:c>
      <x:c r="C63" s="79" t="str">
        <x:v>V136</x:v>
      </x:c>
      <x:c r="D63" s="79" t="str">
        <x:v>04-lid.svg</x:v>
      </x:c>
      <x:c r="E63" s="79" t="str">
        <x:v>public/game/assets/v136/gauntlets/chopper/04-lid.svg</x:v>
      </x:c>
      <x:c r="F63" s="79" t="str">
        <x:v>Source SVG individuelle réelle</x:v>
      </x:c>
      <x:c r="G63" s="79" t="str">
        <x:v>Alpha 1080×580 en CI</x:v>
      </x:c>
      <x:c r="H63" s="79" t="str">
        <x:v>Concept original</x:v>
      </x:c>
      <x:c r="I63" s="79" t="str">
        <x:v>0 / 1 : NON VALIDÉ 1:1</x:v>
      </x:c>
      <x:c r="J63" s="79" t="str">
        <x:v>https://github.com/darknigthmare/yautja-la-longue-chasse/actions/runs/41196187434/artifacts/13040272198</x:v>
      </x:c>
      <x:c r="K63" s="79" t="str">
        <x:v>Relever dimensions, UV, pose, charnière et source cinéma</x:v>
      </x:c>
    </x:row>
    <x:row r="64" ht="29" customHeight="1">
      <x:c r="A64" s="79" t="str">
        <x:v>avp-elder</x:v>
      </x:c>
      <x:c r="B64" s="79" t="str">
        <x:v>Elder · AVP 2004</x:v>
      </x:c>
      <x:c r="C64" s="79" t="str">
        <x:v>V136</x:v>
      </x:c>
      <x:c r="D64" s="79" t="str">
        <x:v>01-arm.svg</x:v>
      </x:c>
      <x:c r="E64" s="79" t="str">
        <x:v>public/game/assets/v136/gauntlets/avp-elder/01-arm.svg</x:v>
      </x:c>
      <x:c r="F64" s="79" t="str">
        <x:v>Source SVG individuelle réelle</x:v>
      </x:c>
      <x:c r="G64" s="79" t="str">
        <x:v>Alpha 1080×580 en CI</x:v>
      </x:c>
      <x:c r="H64" s="79" t="str">
        <x:v>Concept original</x:v>
      </x:c>
      <x:c r="I64" s="79" t="str">
        <x:v>0 / 1 : NON VALIDÉ 1:1</x:v>
      </x:c>
      <x:c r="J64" s="79" t="str">
        <x:v>https://github.com/darknigthmare/yautja-la-longue-chasse/actions/runs/41196187434/artifacts/13040272198</x:v>
      </x:c>
      <x:c r="K64" s="79" t="str">
        <x:v>Relever dimensions, UV, pose, charnière et source cinéma</x:v>
      </x:c>
    </x:row>
    <x:row r="65" ht="29" customHeight="1">
      <x:c r="A65" s="79" t="str">
        <x:v>avp-elder</x:v>
      </x:c>
      <x:c r="B65" s="79" t="str">
        <x:v>Elder · AVP 2004</x:v>
      </x:c>
      <x:c r="C65" s="79" t="str">
        <x:v>V136</x:v>
      </x:c>
      <x:c r="D65" s="79" t="str">
        <x:v>02-shell.svg</x:v>
      </x:c>
      <x:c r="E65" s="79" t="str">
        <x:v>public/game/assets/v136/gauntlets/avp-elder/02-shell.svg</x:v>
      </x:c>
      <x:c r="F65" s="79" t="str">
        <x:v>Source SVG individuelle réelle</x:v>
      </x:c>
      <x:c r="G65" s="79" t="str">
        <x:v>Alpha 1080×580 en CI</x:v>
      </x:c>
      <x:c r="H65" s="79" t="str">
        <x:v>Concept original</x:v>
      </x:c>
      <x:c r="I65" s="79" t="str">
        <x:v>0 / 1 : NON VALIDÉ 1:1</x:v>
      </x:c>
      <x:c r="J65" s="79" t="str">
        <x:v>https://github.com/darknigthmare/yautja-la-longue-chasse/actions/runs/41196187434/artifacts/13040272198</x:v>
      </x:c>
      <x:c r="K65" s="79" t="str">
        <x:v>Relever dimensions, UV, pose, charnière et source cinéma</x:v>
      </x:c>
    </x:row>
    <x:row r="66" ht="29" customHeight="1">
      <x:c r="A66" s="79" t="str">
        <x:v>avp-elder</x:v>
      </x:c>
      <x:c r="B66" s="79" t="str">
        <x:v>Elder · AVP 2004</x:v>
      </x:c>
      <x:c r="C66" s="79" t="str">
        <x:v>V136</x:v>
      </x:c>
      <x:c r="D66" s="79" t="str">
        <x:v>03-interface.svg</x:v>
      </x:c>
      <x:c r="E66" s="79" t="str">
        <x:v>public/game/assets/v136/gauntlets/avp-elder/03-interface.svg</x:v>
      </x:c>
      <x:c r="F66" s="79" t="str">
        <x:v>Source SVG individuelle réelle</x:v>
      </x:c>
      <x:c r="G66" s="79" t="str">
        <x:v>Alpha 1080×580 en CI</x:v>
      </x:c>
      <x:c r="H66" s="79" t="str">
        <x:v>Concept original</x:v>
      </x:c>
      <x:c r="I66" s="79" t="str">
        <x:v>0 / 1 : NON VALIDÉ 1:1</x:v>
      </x:c>
      <x:c r="J66" s="79" t="str">
        <x:v>https://github.com/darknigthmare/yautja-la-longue-chasse/actions/runs/41196187434/artifacts/13040272198</x:v>
      </x:c>
      <x:c r="K66" s="79" t="str">
        <x:v>Relever dimensions, UV, pose, charnière et source cinéma</x:v>
      </x:c>
    </x:row>
    <x:row r="67" ht="29" customHeight="1">
      <x:c r="A67" s="79" t="str">
        <x:v>avp-elder</x:v>
      </x:c>
      <x:c r="B67" s="79" t="str">
        <x:v>Elder · AVP 2004</x:v>
      </x:c>
      <x:c r="C67" s="79" t="str">
        <x:v>V136</x:v>
      </x:c>
      <x:c r="D67" s="79" t="str">
        <x:v>04-lid.svg</x:v>
      </x:c>
      <x:c r="E67" s="79" t="str">
        <x:v>public/game/assets/v136/gauntlets/avp-elder/04-lid.svg</x:v>
      </x:c>
      <x:c r="F67" s="79" t="str">
        <x:v>Source SVG individuelle réelle</x:v>
      </x:c>
      <x:c r="G67" s="79" t="str">
        <x:v>Alpha 1080×580 en CI</x:v>
      </x:c>
      <x:c r="H67" s="79" t="str">
        <x:v>Concept original</x:v>
      </x:c>
      <x:c r="I67" s="79" t="str">
        <x:v>0 / 1 : NON VALIDÉ 1:1</x:v>
      </x:c>
      <x:c r="J67" s="79" t="str">
        <x:v>https://github.com/darknigthmare/yautja-la-longue-chasse/actions/runs/41196187434/artifacts/13040272198</x:v>
      </x:c>
      <x:c r="K67" s="79" t="str">
        <x:v>Relever dimensions, UV, pose, charnière et source cinéma</x:v>
      </x:c>
    </x:row>
    <x:row r="68" ht="29" customHeight="1">
      <x:c r="A68" s="79" t="str">
        <x:v>wolf</x:v>
      </x:c>
      <x:c r="B68" s="79" t="str">
        <x:v>Wolf · AVP-R 2007</x:v>
      </x:c>
      <x:c r="C68" s="79" t="str">
        <x:v>V135</x:v>
      </x:c>
      <x:c r="D68" s="79" t="str">
        <x:v>01-forearm.svg</x:v>
      </x:c>
      <x:c r="E68" s="79" t="str">
        <x:v>public/game/assets/v135/gauntlets/wolf/01-forearm.svg</x:v>
      </x:c>
      <x:c r="F68" s="79" t="str">
        <x:v>Source SVG individuelle réelle</x:v>
      </x:c>
      <x:c r="G68" s="79" t="str">
        <x:v>Alpha 1080×580 en CI</x:v>
      </x:c>
      <x:c r="H68" s="79" t="str">
        <x:v>Référence source non homologuée</x:v>
      </x:c>
      <x:c r="I68" s="79" t="str">
        <x:v>0 / 1 : NON VALIDÉ 1:1</x:v>
      </x:c>
      <x:c r="J68" s="79" t="str">
        <x:v>https://github.com/darknigthmare/yautja-la-longue-chasse/actions/runs/41196187434/artifacts/13040272198</x:v>
      </x:c>
      <x:c r="K68" s="79" t="str">
        <x:v>Relever dimensions, UV, pose, charnière et source cinéma</x:v>
      </x:c>
    </x:row>
    <x:row r="69" ht="29" customHeight="1">
      <x:c r="A69" s="79" t="str">
        <x:v>wolf</x:v>
      </x:c>
      <x:c r="B69" s="79" t="str">
        <x:v>Wolf · AVP-R 2007</x:v>
      </x:c>
      <x:c r="C69" s="79" t="str">
        <x:v>V135</x:v>
      </x:c>
      <x:c r="D69" s="79" t="str">
        <x:v>02-shell.svg</x:v>
      </x:c>
      <x:c r="E69" s="79" t="str">
        <x:v>public/game/assets/v135/gauntlets/wolf/02-shell.svg</x:v>
      </x:c>
      <x:c r="F69" s="79" t="str">
        <x:v>Source SVG individuelle réelle</x:v>
      </x:c>
      <x:c r="G69" s="79" t="str">
        <x:v>Alpha 1080×580 en CI</x:v>
      </x:c>
      <x:c r="H69" s="79" t="str">
        <x:v>Référence source non homologuée</x:v>
      </x:c>
      <x:c r="I69" s="79" t="str">
        <x:v>0 / 1 : NON VALIDÉ 1:1</x:v>
      </x:c>
      <x:c r="J69" s="79" t="str">
        <x:v>https://github.com/darknigthmare/yautja-la-longue-chasse/actions/runs/41196187434/artifacts/13040272198</x:v>
      </x:c>
      <x:c r="K69" s="79" t="str">
        <x:v>Relever dimensions, UV, pose, charnière et source cinéma</x:v>
      </x:c>
    </x:row>
    <x:row r="70" ht="29" customHeight="1">
      <x:c r="A70" s="79" t="str">
        <x:v>wolf</x:v>
      </x:c>
      <x:c r="B70" s="79" t="str">
        <x:v>Wolf · AVP-R 2007</x:v>
      </x:c>
      <x:c r="C70" s="79" t="str">
        <x:v>V135</x:v>
      </x:c>
      <x:c r="D70" s="79" t="str">
        <x:v>03-panel.svg</x:v>
      </x:c>
      <x:c r="E70" s="79" t="str">
        <x:v>public/game/assets/v135/gauntlets/wolf/03-panel.svg</x:v>
      </x:c>
      <x:c r="F70" s="79" t="str">
        <x:v>Source SVG individuelle réelle</x:v>
      </x:c>
      <x:c r="G70" s="79" t="str">
        <x:v>Alpha 1080×580 en CI</x:v>
      </x:c>
      <x:c r="H70" s="79" t="str">
        <x:v>Référence source non homologuée</x:v>
      </x:c>
      <x:c r="I70" s="79" t="str">
        <x:v>0 / 1 : NON VALIDÉ 1:1</x:v>
      </x:c>
      <x:c r="J70" s="79" t="str">
        <x:v>https://github.com/darknigthmare/yautja-la-longue-chasse/actions/runs/41196187434/artifacts/13040272198</x:v>
      </x:c>
      <x:c r="K70" s="79" t="str">
        <x:v>Relever dimensions, UV, pose, charnière et source cinéma</x:v>
      </x:c>
    </x:row>
    <x:row r="71" ht="29" customHeight="1">
      <x:c r="A71" s="79" t="str">
        <x:v>wolf</x:v>
      </x:c>
      <x:c r="B71" s="79" t="str">
        <x:v>Wolf · AVP-R 2007</x:v>
      </x:c>
      <x:c r="C71" s="79" t="str">
        <x:v>V135</x:v>
      </x:c>
      <x:c r="D71" s="79" t="str">
        <x:v>04-cover.svg</x:v>
      </x:c>
      <x:c r="E71" s="79" t="str">
        <x:v>public/game/assets/v135/gauntlets/wolf/04-cover.svg</x:v>
      </x:c>
      <x:c r="F71" s="79" t="str">
        <x:v>Source SVG individuelle réelle</x:v>
      </x:c>
      <x:c r="G71" s="79" t="str">
        <x:v>Alpha 1080×580 en CI</x:v>
      </x:c>
      <x:c r="H71" s="79" t="str">
        <x:v>Référence source non homologuée</x:v>
      </x:c>
      <x:c r="I71" s="79" t="str">
        <x:v>0 / 1 : NON VALIDÉ 1:1</x:v>
      </x:c>
      <x:c r="J71" s="79" t="str">
        <x:v>https://github.com/darknigthmare/yautja-la-longue-chasse/actions/runs/41196187434/artifacts/13040272198</x:v>
      </x:c>
      <x:c r="K71" s="79" t="str">
        <x:v>Relever dimensions, UV, pose, charnière et source cinéma</x:v>
      </x:c>
    </x:row>
    <x:row r="72" ht="29" customHeight="1">
      <x:c r="A72" s="79" t="str">
        <x:v>captured-classic</x:v>
      </x:c>
      <x:c r="B72" s="79" t="str">
        <x:v>Captured / Classic · Predators 2010</x:v>
      </x:c>
      <x:c r="C72" s="79" t="str">
        <x:v>V136</x:v>
      </x:c>
      <x:c r="D72" s="79" t="str">
        <x:v>01-arm.svg</x:v>
      </x:c>
      <x:c r="E72" s="79" t="str">
        <x:v>public/game/assets/v136/gauntlets/captured-classic/01-arm.svg</x:v>
      </x:c>
      <x:c r="F72" s="79" t="str">
        <x:v>Source SVG individuelle réelle</x:v>
      </x:c>
      <x:c r="G72" s="79" t="str">
        <x:v>Alpha 1080×580 en CI</x:v>
      </x:c>
      <x:c r="H72" s="79" t="str">
        <x:v>Concept original</x:v>
      </x:c>
      <x:c r="I72" s="79" t="str">
        <x:v>0 / 1 : NON VALIDÉ 1:1</x:v>
      </x:c>
      <x:c r="J72" s="79" t="str">
        <x:v>https://github.com/darknigthmare/yautja-la-longue-chasse/actions/runs/41196187434/artifacts/13040272198</x:v>
      </x:c>
      <x:c r="K72" s="79" t="str">
        <x:v>Relever dimensions, UV, pose, charnière et source cinéma</x:v>
      </x:c>
    </x:row>
    <x:row r="73" ht="29" customHeight="1">
      <x:c r="A73" s="79" t="str">
        <x:v>captured-classic</x:v>
      </x:c>
      <x:c r="B73" s="79" t="str">
        <x:v>Captured / Classic · Predators 2010</x:v>
      </x:c>
      <x:c r="C73" s="79" t="str">
        <x:v>V136</x:v>
      </x:c>
      <x:c r="D73" s="79" t="str">
        <x:v>02-shell.svg</x:v>
      </x:c>
      <x:c r="E73" s="79" t="str">
        <x:v>public/game/assets/v136/gauntlets/captured-classic/02-shell.svg</x:v>
      </x:c>
      <x:c r="F73" s="79" t="str">
        <x:v>Source SVG individuelle réelle</x:v>
      </x:c>
      <x:c r="G73" s="79" t="str">
        <x:v>Alpha 1080×580 en CI</x:v>
      </x:c>
      <x:c r="H73" s="79" t="str">
        <x:v>Concept original</x:v>
      </x:c>
      <x:c r="I73" s="79" t="str">
        <x:v>0 / 1 : NON VALIDÉ 1:1</x:v>
      </x:c>
      <x:c r="J73" s="79" t="str">
        <x:v>https://github.com/darknigthmare/yautja-la-longue-chasse/actions/runs/41196187434/artifacts/13040272198</x:v>
      </x:c>
      <x:c r="K73" s="79" t="str">
        <x:v>Relever dimensions, UV, pose, charnière et source cinéma</x:v>
      </x:c>
    </x:row>
    <x:row r="74" ht="29" customHeight="1">
      <x:c r="A74" s="79" t="str">
        <x:v>captured-classic</x:v>
      </x:c>
      <x:c r="B74" s="79" t="str">
        <x:v>Captured / Classic · Predators 2010</x:v>
      </x:c>
      <x:c r="C74" s="79" t="str">
        <x:v>V136</x:v>
      </x:c>
      <x:c r="D74" s="79" t="str">
        <x:v>03-interface.svg</x:v>
      </x:c>
      <x:c r="E74" s="79" t="str">
        <x:v>public/game/assets/v136/gauntlets/captured-classic/03-interface.svg</x:v>
      </x:c>
      <x:c r="F74" s="79" t="str">
        <x:v>Source SVG individuelle réelle</x:v>
      </x:c>
      <x:c r="G74" s="79" t="str">
        <x:v>Alpha 1080×580 en CI</x:v>
      </x:c>
      <x:c r="H74" s="79" t="str">
        <x:v>Concept original</x:v>
      </x:c>
      <x:c r="I74" s="79" t="str">
        <x:v>0 / 1 : NON VALIDÉ 1:1</x:v>
      </x:c>
      <x:c r="J74" s="79" t="str">
        <x:v>https://github.com/darknigthmare/yautja-la-longue-chasse/actions/runs/41196187434/artifacts/13040272198</x:v>
      </x:c>
      <x:c r="K74" s="79" t="str">
        <x:v>Relever dimensions, UV, pose, charnière et source cinéma</x:v>
      </x:c>
    </x:row>
    <x:row r="75" ht="29" customHeight="1">
      <x:c r="A75" s="79" t="str">
        <x:v>captured-classic</x:v>
      </x:c>
      <x:c r="B75" s="79" t="str">
        <x:v>Captured / Classic · Predators 2010</x:v>
      </x:c>
      <x:c r="C75" s="79" t="str">
        <x:v>V136</x:v>
      </x:c>
      <x:c r="D75" s="79" t="str">
        <x:v>04-lid.svg</x:v>
      </x:c>
      <x:c r="E75" s="79" t="str">
        <x:v>public/game/assets/v136/gauntlets/captured-classic/04-lid.svg</x:v>
      </x:c>
      <x:c r="F75" s="79" t="str">
        <x:v>Source SVG individuelle réelle</x:v>
      </x:c>
      <x:c r="G75" s="79" t="str">
        <x:v>Alpha 1080×580 en CI</x:v>
      </x:c>
      <x:c r="H75" s="79" t="str">
        <x:v>Concept original</x:v>
      </x:c>
      <x:c r="I75" s="79" t="str">
        <x:v>0 / 1 : NON VALIDÉ 1:1</x:v>
      </x:c>
      <x:c r="J75" s="79" t="str">
        <x:v>https://github.com/darknigthmare/yautja-la-longue-chasse/actions/runs/41196187434/artifacts/13040272198</x:v>
      </x:c>
      <x:c r="K75" s="79" t="str">
        <x:v>Relever dimensions, UV, pose, charnière et source cinéma</x:v>
      </x:c>
    </x:row>
    <x:row r="76" ht="29" customHeight="1">
      <x:c r="A76" s="79" t="str">
        <x:v>berserker-2010</x:v>
      </x:c>
      <x:c r="B76" s="79" t="str">
        <x:v>Mr Black / Berserker · 2010</x:v>
      </x:c>
      <x:c r="C76" s="79" t="str">
        <x:v>V136</x:v>
      </x:c>
      <x:c r="D76" s="79" t="str">
        <x:v>01-arm.svg</x:v>
      </x:c>
      <x:c r="E76" s="79" t="str">
        <x:v>public/game/assets/v136/gauntlets/berserker-2010/01-arm.svg</x:v>
      </x:c>
      <x:c r="F76" s="79" t="str">
        <x:v>Source SVG individuelle réelle</x:v>
      </x:c>
      <x:c r="G76" s="79" t="str">
        <x:v>Alpha 1080×580 en CI</x:v>
      </x:c>
      <x:c r="H76" s="79" t="str">
        <x:v>Concept original</x:v>
      </x:c>
      <x:c r="I76" s="79" t="str">
        <x:v>0 / 1 : NON VALIDÉ 1:1</x:v>
      </x:c>
      <x:c r="J76" s="79" t="str">
        <x:v>https://github.com/darknigthmare/yautja-la-longue-chasse/actions/runs/41196187434/artifacts/13040272198</x:v>
      </x:c>
      <x:c r="K76" s="79" t="str">
        <x:v>Relever dimensions, UV, pose, charnière et source cinéma</x:v>
      </x:c>
    </x:row>
    <x:row r="77" ht="29" customHeight="1">
      <x:c r="A77" s="79" t="str">
        <x:v>berserker-2010</x:v>
      </x:c>
      <x:c r="B77" s="79" t="str">
        <x:v>Mr Black / Berserker · 2010</x:v>
      </x:c>
      <x:c r="C77" s="79" t="str">
        <x:v>V136</x:v>
      </x:c>
      <x:c r="D77" s="79" t="str">
        <x:v>02-shell.svg</x:v>
      </x:c>
      <x:c r="E77" s="79" t="str">
        <x:v>public/game/assets/v136/gauntlets/berserker-2010/02-shell.svg</x:v>
      </x:c>
      <x:c r="F77" s="79" t="str">
        <x:v>Source SVG individuelle réelle</x:v>
      </x:c>
      <x:c r="G77" s="79" t="str">
        <x:v>Alpha 1080×580 en CI</x:v>
      </x:c>
      <x:c r="H77" s="79" t="str">
        <x:v>Concept original</x:v>
      </x:c>
      <x:c r="I77" s="79" t="str">
        <x:v>0 / 1 : NON VALIDÉ 1:1</x:v>
      </x:c>
      <x:c r="J77" s="79" t="str">
        <x:v>https://github.com/darknigthmare/yautja-la-longue-chasse/actions/runs/41196187434/artifacts/13040272198</x:v>
      </x:c>
      <x:c r="K77" s="79" t="str">
        <x:v>Relever dimensions, UV, pose, charnière et source cinéma</x:v>
      </x:c>
    </x:row>
    <x:row r="78" ht="29" customHeight="1">
      <x:c r="A78" s="79" t="str">
        <x:v>berserker-2010</x:v>
      </x:c>
      <x:c r="B78" s="79" t="str">
        <x:v>Mr Black / Berserker · 2010</x:v>
      </x:c>
      <x:c r="C78" s="79" t="str">
        <x:v>V136</x:v>
      </x:c>
      <x:c r="D78" s="79" t="str">
        <x:v>03-interface.svg</x:v>
      </x:c>
      <x:c r="E78" s="79" t="str">
        <x:v>public/game/assets/v136/gauntlets/berserker-2010/03-interface.svg</x:v>
      </x:c>
      <x:c r="F78" s="79" t="str">
        <x:v>Source SVG individuelle réelle</x:v>
      </x:c>
      <x:c r="G78" s="79" t="str">
        <x:v>Alpha 1080×580 en CI</x:v>
      </x:c>
      <x:c r="H78" s="79" t="str">
        <x:v>Concept original</x:v>
      </x:c>
      <x:c r="I78" s="79" t="str">
        <x:v>0 / 1 : NON VALIDÉ 1:1</x:v>
      </x:c>
      <x:c r="J78" s="79" t="str">
        <x:v>https://github.com/darknigthmare/yautja-la-longue-chasse/actions/runs/41196187434/artifacts/13040272198</x:v>
      </x:c>
      <x:c r="K78" s="79" t="str">
        <x:v>Relever dimensions, UV, pose, charnière et source cinéma</x:v>
      </x:c>
    </x:row>
    <x:row r="79" ht="29" customHeight="1">
      <x:c r="A79" s="79" t="str">
        <x:v>berserker-2010</x:v>
      </x:c>
      <x:c r="B79" s="79" t="str">
        <x:v>Mr Black / Berserker · 2010</x:v>
      </x:c>
      <x:c r="C79" s="79" t="str">
        <x:v>V136</x:v>
      </x:c>
      <x:c r="D79" s="79" t="str">
        <x:v>04-lid.svg</x:v>
      </x:c>
      <x:c r="E79" s="79" t="str">
        <x:v>public/game/assets/v136/gauntlets/berserker-2010/04-lid.svg</x:v>
      </x:c>
      <x:c r="F79" s="79" t="str">
        <x:v>Source SVG individuelle réelle</x:v>
      </x:c>
      <x:c r="G79" s="79" t="str">
        <x:v>Alpha 1080×580 en CI</x:v>
      </x:c>
      <x:c r="H79" s="79" t="str">
        <x:v>Concept original</x:v>
      </x:c>
      <x:c r="I79" s="79" t="str">
        <x:v>0 / 1 : NON VALIDÉ 1:1</x:v>
      </x:c>
      <x:c r="J79" s="79" t="str">
        <x:v>https://github.com/darknigthmare/yautja-la-longue-chasse/actions/runs/41196187434/artifacts/13040272198</x:v>
      </x:c>
      <x:c r="K79" s="79" t="str">
        <x:v>Relever dimensions, UV, pose, charnière et source cinéma</x:v>
      </x:c>
    </x:row>
    <x:row r="80" ht="29" customHeight="1">
      <x:c r="A80" s="79" t="str">
        <x:v>falconer-2010</x:v>
      </x:c>
      <x:c r="B80" s="79" t="str">
        <x:v>Falconer · 2010</x:v>
      </x:c>
      <x:c r="C80" s="79" t="str">
        <x:v>V136</x:v>
      </x:c>
      <x:c r="D80" s="79" t="str">
        <x:v>01-arm.svg</x:v>
      </x:c>
      <x:c r="E80" s="79" t="str">
        <x:v>public/game/assets/v136/gauntlets/falconer-2010/01-arm.svg</x:v>
      </x:c>
      <x:c r="F80" s="79" t="str">
        <x:v>Source SVG individuelle réelle</x:v>
      </x:c>
      <x:c r="G80" s="79" t="str">
        <x:v>Alpha 1080×580 en CI</x:v>
      </x:c>
      <x:c r="H80" s="79" t="str">
        <x:v>Concept original</x:v>
      </x:c>
      <x:c r="I80" s="79" t="str">
        <x:v>0 / 1 : NON VALIDÉ 1:1</x:v>
      </x:c>
      <x:c r="J80" s="79" t="str">
        <x:v>https://github.com/darknigthmare/yautja-la-longue-chasse/actions/runs/41196187434/artifacts/13040272198</x:v>
      </x:c>
      <x:c r="K80" s="79" t="str">
        <x:v>Relever dimensions, UV, pose, charnière et source cinéma</x:v>
      </x:c>
    </x:row>
    <x:row r="81" ht="29" customHeight="1">
      <x:c r="A81" s="79" t="str">
        <x:v>falconer-2010</x:v>
      </x:c>
      <x:c r="B81" s="79" t="str">
        <x:v>Falconer · 2010</x:v>
      </x:c>
      <x:c r="C81" s="79" t="str">
        <x:v>V136</x:v>
      </x:c>
      <x:c r="D81" s="79" t="str">
        <x:v>02-shell.svg</x:v>
      </x:c>
      <x:c r="E81" s="79" t="str">
        <x:v>public/game/assets/v136/gauntlets/falconer-2010/02-shell.svg</x:v>
      </x:c>
      <x:c r="F81" s="79" t="str">
        <x:v>Source SVG individuelle réelle</x:v>
      </x:c>
      <x:c r="G81" s="79" t="str">
        <x:v>Alpha 1080×580 en CI</x:v>
      </x:c>
      <x:c r="H81" s="79" t="str">
        <x:v>Concept original</x:v>
      </x:c>
      <x:c r="I81" s="79" t="str">
        <x:v>0 / 1 : NON VALIDÉ 1:1</x:v>
      </x:c>
      <x:c r="J81" s="79" t="str">
        <x:v>https://github.com/darknigthmare/yautja-la-longue-chasse/actions/runs/41196187434/artifacts/13040272198</x:v>
      </x:c>
      <x:c r="K81" s="79" t="str">
        <x:v>Relever dimensions, UV, pose, charnière et source cinéma</x:v>
      </x:c>
    </x:row>
    <x:row r="82" ht="29" customHeight="1">
      <x:c r="A82" s="79" t="str">
        <x:v>falconer-2010</x:v>
      </x:c>
      <x:c r="B82" s="79" t="str">
        <x:v>Falconer · 2010</x:v>
      </x:c>
      <x:c r="C82" s="79" t="str">
        <x:v>V136</x:v>
      </x:c>
      <x:c r="D82" s="79" t="str">
        <x:v>03-interface.svg</x:v>
      </x:c>
      <x:c r="E82" s="79" t="str">
        <x:v>public/game/assets/v136/gauntlets/falconer-2010/03-interface.svg</x:v>
      </x:c>
      <x:c r="F82" s="79" t="str">
        <x:v>Source SVG individuelle réelle</x:v>
      </x:c>
      <x:c r="G82" s="79" t="str">
        <x:v>Alpha 1080×580 en CI</x:v>
      </x:c>
      <x:c r="H82" s="79" t="str">
        <x:v>Concept original</x:v>
      </x:c>
      <x:c r="I82" s="79" t="str">
        <x:v>0 / 1 : NON VALIDÉ 1:1</x:v>
      </x:c>
      <x:c r="J82" s="79" t="str">
        <x:v>https://github.com/darknigthmare/yautja-la-longue-chasse/actions/runs/41196187434/artifacts/13040272198</x:v>
      </x:c>
      <x:c r="K82" s="79" t="str">
        <x:v>Relever dimensions, UV, pose, charnière et source cinéma</x:v>
      </x:c>
    </x:row>
    <x:row r="83" ht="29" customHeight="1">
      <x:c r="A83" s="79" t="str">
        <x:v>falconer-2010</x:v>
      </x:c>
      <x:c r="B83" s="79" t="str">
        <x:v>Falconer · 2010</x:v>
      </x:c>
      <x:c r="C83" s="79" t="str">
        <x:v>V136</x:v>
      </x:c>
      <x:c r="D83" s="79" t="str">
        <x:v>04-lid.svg</x:v>
      </x:c>
      <x:c r="E83" s="79" t="str">
        <x:v>public/game/assets/v136/gauntlets/falconer-2010/04-lid.svg</x:v>
      </x:c>
      <x:c r="F83" s="79" t="str">
        <x:v>Source SVG individuelle réelle</x:v>
      </x:c>
      <x:c r="G83" s="79" t="str">
        <x:v>Alpha 1080×580 en CI</x:v>
      </x:c>
      <x:c r="H83" s="79" t="str">
        <x:v>Concept original</x:v>
      </x:c>
      <x:c r="I83" s="79" t="str">
        <x:v>0 / 1 : NON VALIDÉ 1:1</x:v>
      </x:c>
      <x:c r="J83" s="79" t="str">
        <x:v>https://github.com/darknigthmare/yautja-la-longue-chasse/actions/runs/41196187434/artifacts/13040272198</x:v>
      </x:c>
      <x:c r="K83" s="79" t="str">
        <x:v>Relever dimensions, UV, pose, charnière et source cinéma</x:v>
      </x:c>
    </x:row>
    <x:row r="84" ht="29" customHeight="1">
      <x:c r="A84" s="79" t="str">
        <x:v>tracker-2010</x:v>
      </x:c>
      <x:c r="B84" s="79" t="str">
        <x:v>Tracker · 2010</x:v>
      </x:c>
      <x:c r="C84" s="79" t="str">
        <x:v>V136</x:v>
      </x:c>
      <x:c r="D84" s="79" t="str">
        <x:v>01-arm.svg</x:v>
      </x:c>
      <x:c r="E84" s="79" t="str">
        <x:v>public/game/assets/v136/gauntlets/tracker-2010/01-arm.svg</x:v>
      </x:c>
      <x:c r="F84" s="79" t="str">
        <x:v>Source SVG individuelle réelle</x:v>
      </x:c>
      <x:c r="G84" s="79" t="str">
        <x:v>Alpha 1080×580 en CI</x:v>
      </x:c>
      <x:c r="H84" s="79" t="str">
        <x:v>Concept original</x:v>
      </x:c>
      <x:c r="I84" s="79" t="str">
        <x:v>0 / 1 : NON VALIDÉ 1:1</x:v>
      </x:c>
      <x:c r="J84" s="79" t="str">
        <x:v>https://github.com/darknigthmare/yautja-la-longue-chasse/actions/runs/41196187434/artifacts/13040272198</x:v>
      </x:c>
      <x:c r="K84" s="79" t="str">
        <x:v>Relever dimensions, UV, pose, charnière et source cinéma</x:v>
      </x:c>
    </x:row>
    <x:row r="85" ht="29" customHeight="1">
      <x:c r="A85" s="79" t="str">
        <x:v>tracker-2010</x:v>
      </x:c>
      <x:c r="B85" s="79" t="str">
        <x:v>Tracker · 2010</x:v>
      </x:c>
      <x:c r="C85" s="79" t="str">
        <x:v>V136</x:v>
      </x:c>
      <x:c r="D85" s="79" t="str">
        <x:v>02-shell.svg</x:v>
      </x:c>
      <x:c r="E85" s="79" t="str">
        <x:v>public/game/assets/v136/gauntlets/tracker-2010/02-shell.svg</x:v>
      </x:c>
      <x:c r="F85" s="79" t="str">
        <x:v>Source SVG individuelle réelle</x:v>
      </x:c>
      <x:c r="G85" s="79" t="str">
        <x:v>Alpha 1080×580 en CI</x:v>
      </x:c>
      <x:c r="H85" s="79" t="str">
        <x:v>Concept original</x:v>
      </x:c>
      <x:c r="I85" s="79" t="str">
        <x:v>0 / 1 : NON VALIDÉ 1:1</x:v>
      </x:c>
      <x:c r="J85" s="79" t="str">
        <x:v>https://github.com/darknigthmare/yautja-la-longue-chasse/actions/runs/41196187434/artifacts/13040272198</x:v>
      </x:c>
      <x:c r="K85" s="79" t="str">
        <x:v>Relever dimensions, UV, pose, charnière et source cinéma</x:v>
      </x:c>
    </x:row>
    <x:row r="86" ht="29" customHeight="1">
      <x:c r="A86" s="79" t="str">
        <x:v>tracker-2010</x:v>
      </x:c>
      <x:c r="B86" s="79" t="str">
        <x:v>Tracker · 2010</x:v>
      </x:c>
      <x:c r="C86" s="79" t="str">
        <x:v>V136</x:v>
      </x:c>
      <x:c r="D86" s="79" t="str">
        <x:v>03-interface.svg</x:v>
      </x:c>
      <x:c r="E86" s="79" t="str">
        <x:v>public/game/assets/v136/gauntlets/tracker-2010/03-interface.svg</x:v>
      </x:c>
      <x:c r="F86" s="79" t="str">
        <x:v>Source SVG individuelle réelle</x:v>
      </x:c>
      <x:c r="G86" s="79" t="str">
        <x:v>Alpha 1080×580 en CI</x:v>
      </x:c>
      <x:c r="H86" s="79" t="str">
        <x:v>Concept original</x:v>
      </x:c>
      <x:c r="I86" s="79" t="str">
        <x:v>0 / 1 : NON VALIDÉ 1:1</x:v>
      </x:c>
      <x:c r="J86" s="79" t="str">
        <x:v>https://github.com/darknigthmare/yautja-la-longue-chasse/actions/runs/41196187434/artifacts/13040272198</x:v>
      </x:c>
      <x:c r="K86" s="79" t="str">
        <x:v>Relever dimensions, UV, pose, charnière et source cinéma</x:v>
      </x:c>
    </x:row>
    <x:row r="87" ht="29" customHeight="1">
      <x:c r="A87" s="79" t="str">
        <x:v>tracker-2010</x:v>
      </x:c>
      <x:c r="B87" s="79" t="str">
        <x:v>Tracker · 2010</x:v>
      </x:c>
      <x:c r="C87" s="79" t="str">
        <x:v>V136</x:v>
      </x:c>
      <x:c r="D87" s="79" t="str">
        <x:v>04-lid.svg</x:v>
      </x:c>
      <x:c r="E87" s="79" t="str">
        <x:v>public/game/assets/v136/gauntlets/tracker-2010/04-lid.svg</x:v>
      </x:c>
      <x:c r="F87" s="79" t="str">
        <x:v>Source SVG individuelle réelle</x:v>
      </x:c>
      <x:c r="G87" s="79" t="str">
        <x:v>Alpha 1080×580 en CI</x:v>
      </x:c>
      <x:c r="H87" s="79" t="str">
        <x:v>Concept original</x:v>
      </x:c>
      <x:c r="I87" s="79" t="str">
        <x:v>0 / 1 : NON VALIDÉ 1:1</x:v>
      </x:c>
      <x:c r="J87" s="79" t="str">
        <x:v>https://github.com/darknigthmare/yautja-la-longue-chasse/actions/runs/41196187434/artifacts/13040272198</x:v>
      </x:c>
      <x:c r="K87" s="79" t="str">
        <x:v>Relever dimensions, UV, pose, charnière et source cinéma</x:v>
      </x:c>
    </x:row>
    <x:row r="88" ht="29" customHeight="1">
      <x:c r="A88" s="79" t="str">
        <x:v>fugitive</x:v>
      </x:c>
      <x:c r="B88" s="79" t="str">
        <x:v>Fugitive · The Predator 2018</x:v>
      </x:c>
      <x:c r="C88" s="79" t="str">
        <x:v>V136</x:v>
      </x:c>
      <x:c r="D88" s="79" t="str">
        <x:v>01-arm.svg</x:v>
      </x:c>
      <x:c r="E88" s="79" t="str">
        <x:v>public/game/assets/v136/gauntlets/fugitive/01-arm.svg</x:v>
      </x:c>
      <x:c r="F88" s="79" t="str">
        <x:v>Source SVG individuelle réelle</x:v>
      </x:c>
      <x:c r="G88" s="79" t="str">
        <x:v>Alpha 1080×580 en CI</x:v>
      </x:c>
      <x:c r="H88" s="79" t="str">
        <x:v>Concept original</x:v>
      </x:c>
      <x:c r="I88" s="79" t="str">
        <x:v>0 / 1 : NON VALIDÉ 1:1</x:v>
      </x:c>
      <x:c r="J88" s="79" t="str">
        <x:v>https://github.com/darknigthmare/yautja-la-longue-chasse/actions/runs/41196187434/artifacts/13040272198</x:v>
      </x:c>
      <x:c r="K88" s="79" t="str">
        <x:v>Relever dimensions, UV, pose, charnière et source cinéma</x:v>
      </x:c>
    </x:row>
    <x:row r="89" ht="29" customHeight="1">
      <x:c r="A89" s="79" t="str">
        <x:v>fugitive</x:v>
      </x:c>
      <x:c r="B89" s="79" t="str">
        <x:v>Fugitive · The Predator 2018</x:v>
      </x:c>
      <x:c r="C89" s="79" t="str">
        <x:v>V136</x:v>
      </x:c>
      <x:c r="D89" s="79" t="str">
        <x:v>02-shell.svg</x:v>
      </x:c>
      <x:c r="E89" s="79" t="str">
        <x:v>public/game/assets/v136/gauntlets/fugitive/02-shell.svg</x:v>
      </x:c>
      <x:c r="F89" s="79" t="str">
        <x:v>Source SVG individuelle réelle</x:v>
      </x:c>
      <x:c r="G89" s="79" t="str">
        <x:v>Alpha 1080×580 en CI</x:v>
      </x:c>
      <x:c r="H89" s="79" t="str">
        <x:v>Concept original</x:v>
      </x:c>
      <x:c r="I89" s="79" t="str">
        <x:v>0 / 1 : NON VALIDÉ 1:1</x:v>
      </x:c>
      <x:c r="J89" s="79" t="str">
        <x:v>https://github.com/darknigthmare/yautja-la-longue-chasse/actions/runs/41196187434/artifacts/13040272198</x:v>
      </x:c>
      <x:c r="K89" s="79" t="str">
        <x:v>Relever dimensions, UV, pose, charnière et source cinéma</x:v>
      </x:c>
    </x:row>
    <x:row r="90" ht="29" customHeight="1">
      <x:c r="A90" s="79" t="str">
        <x:v>fugitive</x:v>
      </x:c>
      <x:c r="B90" s="79" t="str">
        <x:v>Fugitive · The Predator 2018</x:v>
      </x:c>
      <x:c r="C90" s="79" t="str">
        <x:v>V136</x:v>
      </x:c>
      <x:c r="D90" s="79" t="str">
        <x:v>03-interface.svg</x:v>
      </x:c>
      <x:c r="E90" s="79" t="str">
        <x:v>public/game/assets/v136/gauntlets/fugitive/03-interface.svg</x:v>
      </x:c>
      <x:c r="F90" s="79" t="str">
        <x:v>Source SVG individuelle réelle</x:v>
      </x:c>
      <x:c r="G90" s="79" t="str">
        <x:v>Alpha 1080×580 en CI</x:v>
      </x:c>
      <x:c r="H90" s="79" t="str">
        <x:v>Concept original</x:v>
      </x:c>
      <x:c r="I90" s="79" t="str">
        <x:v>0 / 1 : NON VALIDÉ 1:1</x:v>
      </x:c>
      <x:c r="J90" s="79" t="str">
        <x:v>https://github.com/darknigthmare/yautja-la-longue-chasse/actions/runs/41196187434/artifacts/13040272198</x:v>
      </x:c>
      <x:c r="K90" s="79" t="str">
        <x:v>Relever dimensions, UV, pose, charnière et source cinéma</x:v>
      </x:c>
    </x:row>
    <x:row r="91" ht="29" customHeight="1">
      <x:c r="A91" s="79" t="str">
        <x:v>fugitive</x:v>
      </x:c>
      <x:c r="B91" s="79" t="str">
        <x:v>Fugitive · The Predator 2018</x:v>
      </x:c>
      <x:c r="C91" s="79" t="str">
        <x:v>V136</x:v>
      </x:c>
      <x:c r="D91" s="79" t="str">
        <x:v>04-lid.svg</x:v>
      </x:c>
      <x:c r="E91" s="79" t="str">
        <x:v>public/game/assets/v136/gauntlets/fugitive/04-lid.svg</x:v>
      </x:c>
      <x:c r="F91" s="79" t="str">
        <x:v>Source SVG individuelle réelle</x:v>
      </x:c>
      <x:c r="G91" s="79" t="str">
        <x:v>Alpha 1080×580 en CI</x:v>
      </x:c>
      <x:c r="H91" s="79" t="str">
        <x:v>Concept original</x:v>
      </x:c>
      <x:c r="I91" s="79" t="str">
        <x:v>0 / 1 : NON VALIDÉ 1:1</x:v>
      </x:c>
      <x:c r="J91" s="79" t="str">
        <x:v>https://github.com/darknigthmare/yautja-la-longue-chasse/actions/runs/41196187434/artifacts/13040272198</x:v>
      </x:c>
      <x:c r="K91" s="79" t="str">
        <x:v>Relever dimensions, UV, pose, charnière et source cinéma</x:v>
      </x:c>
    </x:row>
    <x:row r="92" ht="29" customHeight="1">
      <x:c r="A92" s="79" t="str">
        <x:v>assassin</x:v>
      </x:c>
      <x:c r="B92" s="79" t="str">
        <x:v>Upgrade / Assassin · The Predator 2018</x:v>
      </x:c>
      <x:c r="C92" s="79" t="str">
        <x:v>V136</x:v>
      </x:c>
      <x:c r="D92" s="79" t="str">
        <x:v>01-arm.svg</x:v>
      </x:c>
      <x:c r="E92" s="79" t="str">
        <x:v>public/game/assets/v136/gauntlets/assassin/01-arm.svg</x:v>
      </x:c>
      <x:c r="F92" s="79" t="str">
        <x:v>Source SVG individuelle réelle</x:v>
      </x:c>
      <x:c r="G92" s="79" t="str">
        <x:v>Alpha 1080×580 en CI</x:v>
      </x:c>
      <x:c r="H92" s="79" t="str">
        <x:v>Concept original</x:v>
      </x:c>
      <x:c r="I92" s="79" t="str">
        <x:v>0 / 1 : NON VALIDÉ 1:1</x:v>
      </x:c>
      <x:c r="J92" s="79" t="str">
        <x:v>https://github.com/darknigthmare/yautja-la-longue-chasse/actions/runs/41196187434/artifacts/13040272198</x:v>
      </x:c>
      <x:c r="K92" s="79" t="str">
        <x:v>Relever dimensions, UV, pose, charnière et source cinéma</x:v>
      </x:c>
    </x:row>
    <x:row r="93" ht="29" customHeight="1">
      <x:c r="A93" s="79" t="str">
        <x:v>assassin</x:v>
      </x:c>
      <x:c r="B93" s="79" t="str">
        <x:v>Upgrade / Assassin · The Predator 2018</x:v>
      </x:c>
      <x:c r="C93" s="79" t="str">
        <x:v>V136</x:v>
      </x:c>
      <x:c r="D93" s="79" t="str">
        <x:v>02-shell.svg</x:v>
      </x:c>
      <x:c r="E93" s="79" t="str">
        <x:v>public/game/assets/v136/gauntlets/assassin/02-shell.svg</x:v>
      </x:c>
      <x:c r="F93" s="79" t="str">
        <x:v>Source SVG individuelle réelle</x:v>
      </x:c>
      <x:c r="G93" s="79" t="str">
        <x:v>Alpha 1080×580 en CI</x:v>
      </x:c>
      <x:c r="H93" s="79" t="str">
        <x:v>Concept original</x:v>
      </x:c>
      <x:c r="I93" s="79" t="str">
        <x:v>0 / 1 : NON VALIDÉ 1:1</x:v>
      </x:c>
      <x:c r="J93" s="79" t="str">
        <x:v>https://github.com/darknigthmare/yautja-la-longue-chasse/actions/runs/41196187434/artifacts/13040272198</x:v>
      </x:c>
      <x:c r="K93" s="79" t="str">
        <x:v>Relever dimensions, UV, pose, charnière et source cinéma</x:v>
      </x:c>
    </x:row>
    <x:row r="94" ht="29" customHeight="1">
      <x:c r="A94" s="79" t="str">
        <x:v>assassin</x:v>
      </x:c>
      <x:c r="B94" s="79" t="str">
        <x:v>Upgrade / Assassin · The Predator 2018</x:v>
      </x:c>
      <x:c r="C94" s="79" t="str">
        <x:v>V136</x:v>
      </x:c>
      <x:c r="D94" s="79" t="str">
        <x:v>03-interface.svg</x:v>
      </x:c>
      <x:c r="E94" s="79" t="str">
        <x:v>public/game/assets/v136/gauntlets/assassin/03-interface.svg</x:v>
      </x:c>
      <x:c r="F94" s="79" t="str">
        <x:v>Source SVG individuelle réelle</x:v>
      </x:c>
      <x:c r="G94" s="79" t="str">
        <x:v>Alpha 1080×580 en CI</x:v>
      </x:c>
      <x:c r="H94" s="79" t="str">
        <x:v>Concept original</x:v>
      </x:c>
      <x:c r="I94" s="79" t="str">
        <x:v>0 / 1 : NON VALIDÉ 1:1</x:v>
      </x:c>
      <x:c r="J94" s="79" t="str">
        <x:v>https://github.com/darknigthmare/yautja-la-longue-chasse/actions/runs/41196187434/artifacts/13040272198</x:v>
      </x:c>
      <x:c r="K94" s="79" t="str">
        <x:v>Relever dimensions, UV, pose, charnière et source cinéma</x:v>
      </x:c>
    </x:row>
    <x:row r="95" ht="29" customHeight="1">
      <x:c r="A95" s="79" t="str">
        <x:v>assassin</x:v>
      </x:c>
      <x:c r="B95" s="79" t="str">
        <x:v>Upgrade / Assassin · The Predator 2018</x:v>
      </x:c>
      <x:c r="C95" s="79" t="str">
        <x:v>V136</x:v>
      </x:c>
      <x:c r="D95" s="79" t="str">
        <x:v>04-lid.svg</x:v>
      </x:c>
      <x:c r="E95" s="79" t="str">
        <x:v>public/game/assets/v136/gauntlets/assassin/04-lid.svg</x:v>
      </x:c>
      <x:c r="F95" s="79" t="str">
        <x:v>Source SVG individuelle réelle</x:v>
      </x:c>
      <x:c r="G95" s="79" t="str">
        <x:v>Alpha 1080×580 en CI</x:v>
      </x:c>
      <x:c r="H95" s="79" t="str">
        <x:v>Concept original</x:v>
      </x:c>
      <x:c r="I95" s="79" t="str">
        <x:v>0 / 1 : NON VALIDÉ 1:1</x:v>
      </x:c>
      <x:c r="J95" s="79" t="str">
        <x:v>https://github.com/darknigthmare/yautja-la-longue-chasse/actions/runs/41196187434/artifacts/13040272198</x:v>
      </x:c>
      <x:c r="K95" s="79" t="str">
        <x:v>Relever dimensions, UV, pose, charnière et source cinéma</x:v>
      </x:c>
    </x:row>
    <x:row r="96" ht="29" customHeight="1">
      <x:c r="A96" s="79" t="str">
        <x:v>feral</x:v>
      </x:c>
      <x:c r="B96" s="79" t="str">
        <x:v>Feral · Prey 2022</x:v>
      </x:c>
      <x:c r="C96" s="79" t="str">
        <x:v>V135</x:v>
      </x:c>
      <x:c r="D96" s="79" t="str">
        <x:v>01-forearm.svg</x:v>
      </x:c>
      <x:c r="E96" s="79" t="str">
        <x:v>public/game/assets/v135/gauntlets/feral/01-forearm.svg</x:v>
      </x:c>
      <x:c r="F96" s="79" t="str">
        <x:v>Source SVG individuelle réelle</x:v>
      </x:c>
      <x:c r="G96" s="79" t="str">
        <x:v>Alpha 1080×580 en CI</x:v>
      </x:c>
      <x:c r="H96" s="79" t="str">
        <x:v>Référence source non homologuée</x:v>
      </x:c>
      <x:c r="I96" s="79" t="str">
        <x:v>0 / 1 : NON VALIDÉ 1:1</x:v>
      </x:c>
      <x:c r="J96" s="79" t="str">
        <x:v>https://github.com/darknigthmare/yautja-la-longue-chasse/actions/runs/41196187434/artifacts/13040272198</x:v>
      </x:c>
      <x:c r="K96" s="79" t="str">
        <x:v>Relever dimensions, UV, pose, charnière et source cinéma</x:v>
      </x:c>
    </x:row>
    <x:row r="97" ht="29" customHeight="1">
      <x:c r="A97" s="79" t="str">
        <x:v>feral</x:v>
      </x:c>
      <x:c r="B97" s="79" t="str">
        <x:v>Feral · Prey 2022</x:v>
      </x:c>
      <x:c r="C97" s="79" t="str">
        <x:v>V135</x:v>
      </x:c>
      <x:c r="D97" s="79" t="str">
        <x:v>02-shell.svg</x:v>
      </x:c>
      <x:c r="E97" s="79" t="str">
        <x:v>public/game/assets/v135/gauntlets/feral/02-shell.svg</x:v>
      </x:c>
      <x:c r="F97" s="79" t="str">
        <x:v>Source SVG individuelle réelle</x:v>
      </x:c>
      <x:c r="G97" s="79" t="str">
        <x:v>Alpha 1080×580 en CI</x:v>
      </x:c>
      <x:c r="H97" s="79" t="str">
        <x:v>Référence source non homologuée</x:v>
      </x:c>
      <x:c r="I97" s="79" t="str">
        <x:v>0 / 1 : NON VALIDÉ 1:1</x:v>
      </x:c>
      <x:c r="J97" s="79" t="str">
        <x:v>https://github.com/darknigthmare/yautja-la-longue-chasse/actions/runs/41196187434/artifacts/13040272198</x:v>
      </x:c>
      <x:c r="K97" s="79" t="str">
        <x:v>Relever dimensions, UV, pose, charnière et source cinéma</x:v>
      </x:c>
    </x:row>
    <x:row r="98" ht="29" customHeight="1">
      <x:c r="A98" s="79" t="str">
        <x:v>feral</x:v>
      </x:c>
      <x:c r="B98" s="79" t="str">
        <x:v>Feral · Prey 2022</x:v>
      </x:c>
      <x:c r="C98" s="79" t="str">
        <x:v>V135</x:v>
      </x:c>
      <x:c r="D98" s="79" t="str">
        <x:v>03-panel.svg</x:v>
      </x:c>
      <x:c r="E98" s="79" t="str">
        <x:v>public/game/assets/v135/gauntlets/feral/03-panel.svg</x:v>
      </x:c>
      <x:c r="F98" s="79" t="str">
        <x:v>Source SVG individuelle réelle</x:v>
      </x:c>
      <x:c r="G98" s="79" t="str">
        <x:v>Alpha 1080×580 en CI</x:v>
      </x:c>
      <x:c r="H98" s="79" t="str">
        <x:v>Référence source non homologuée</x:v>
      </x:c>
      <x:c r="I98" s="79" t="str">
        <x:v>0 / 1 : NON VALIDÉ 1:1</x:v>
      </x:c>
      <x:c r="J98" s="79" t="str">
        <x:v>https://github.com/darknigthmare/yautja-la-longue-chasse/actions/runs/41196187434/artifacts/13040272198</x:v>
      </x:c>
      <x:c r="K98" s="79" t="str">
        <x:v>Relever dimensions, UV, pose, charnière et source cinéma</x:v>
      </x:c>
    </x:row>
    <x:row r="99" ht="29" customHeight="1">
      <x:c r="A99" s="79" t="str">
        <x:v>feral</x:v>
      </x:c>
      <x:c r="B99" s="79" t="str">
        <x:v>Feral · Prey 2022</x:v>
      </x:c>
      <x:c r="C99" s="79" t="str">
        <x:v>V135</x:v>
      </x:c>
      <x:c r="D99" s="79" t="str">
        <x:v>04-cover.svg</x:v>
      </x:c>
      <x:c r="E99" s="79" t="str">
        <x:v>public/game/assets/v135/gauntlets/feral/04-cover.svg</x:v>
      </x:c>
      <x:c r="F99" s="79" t="str">
        <x:v>Source SVG individuelle réelle</x:v>
      </x:c>
      <x:c r="G99" s="79" t="str">
        <x:v>Alpha 1080×580 en CI</x:v>
      </x:c>
      <x:c r="H99" s="79" t="str">
        <x:v>Référence source non homologuée</x:v>
      </x:c>
      <x:c r="I99" s="79" t="str">
        <x:v>0 / 1 : NON VALIDÉ 1:1</x:v>
      </x:c>
      <x:c r="J99" s="79" t="str">
        <x:v>https://github.com/darknigthmare/yautja-la-longue-chasse/actions/runs/41196187434/artifacts/13040272198</x:v>
      </x:c>
      <x:c r="K99" s="79" t="str">
        <x:v>Relever dimensions, UV, pose, charnière et source cinéma</x:v>
      </x:c>
    </x:row>
    <x:row r="100" ht="29" customHeight="1">
      <x:c r="A100" s="79" t="str">
        <x:v>dek</x:v>
      </x:c>
      <x:c r="B100" s="79" t="str">
        <x:v>Dek · Badlands 2025</x:v>
      </x:c>
      <x:c r="C100" s="79" t="str">
        <x:v>V135</x:v>
      </x:c>
      <x:c r="D100" s="79" t="str">
        <x:v>01-forearm.svg</x:v>
      </x:c>
      <x:c r="E100" s="79" t="str">
        <x:v>public/game/assets/v135/gauntlets/dek/01-forearm.svg</x:v>
      </x:c>
      <x:c r="F100" s="79" t="str">
        <x:v>Source SVG individuelle réelle</x:v>
      </x:c>
      <x:c r="G100" s="79" t="str">
        <x:v>Alpha 1080×580 en CI</x:v>
      </x:c>
      <x:c r="H100" s="79" t="str">
        <x:v>Référence source non homologuée</x:v>
      </x:c>
      <x:c r="I100" s="79" t="str">
        <x:v>0 / 1 : NON VALIDÉ 1:1</x:v>
      </x:c>
      <x:c r="J100" s="79" t="str">
        <x:v>https://github.com/darknigthmare/yautja-la-longue-chasse/actions/runs/41196187434/artifacts/13040272198</x:v>
      </x:c>
      <x:c r="K100" s="79" t="str">
        <x:v>Relever dimensions, UV, pose, charnière et source cinéma</x:v>
      </x:c>
    </x:row>
    <x:row r="101" ht="29" customHeight="1">
      <x:c r="A101" s="79" t="str">
        <x:v>dek</x:v>
      </x:c>
      <x:c r="B101" s="79" t="str">
        <x:v>Dek · Badlands 2025</x:v>
      </x:c>
      <x:c r="C101" s="79" t="str">
        <x:v>V135</x:v>
      </x:c>
      <x:c r="D101" s="79" t="str">
        <x:v>02-shell.svg</x:v>
      </x:c>
      <x:c r="E101" s="79" t="str">
        <x:v>public/game/assets/v135/gauntlets/dek/02-shell.svg</x:v>
      </x:c>
      <x:c r="F101" s="79" t="str">
        <x:v>Source SVG individuelle réelle</x:v>
      </x:c>
      <x:c r="G101" s="79" t="str">
        <x:v>Alpha 1080×580 en CI</x:v>
      </x:c>
      <x:c r="H101" s="79" t="str">
        <x:v>Référence source non homologuée</x:v>
      </x:c>
      <x:c r="I101" s="79" t="str">
        <x:v>0 / 1 : NON VALIDÉ 1:1</x:v>
      </x:c>
      <x:c r="J101" s="79" t="str">
        <x:v>https://github.com/darknigthmare/yautja-la-longue-chasse/actions/runs/41196187434/artifacts/13040272198</x:v>
      </x:c>
      <x:c r="K101" s="79" t="str">
        <x:v>Relever dimensions, UV, pose, charnière et source cinéma</x:v>
      </x:c>
    </x:row>
    <x:row r="102" ht="29" customHeight="1">
      <x:c r="A102" s="79" t="str">
        <x:v>dek</x:v>
      </x:c>
      <x:c r="B102" s="79" t="str">
        <x:v>Dek · Badlands 2025</x:v>
      </x:c>
      <x:c r="C102" s="79" t="str">
        <x:v>V135</x:v>
      </x:c>
      <x:c r="D102" s="79" t="str">
        <x:v>03-panel.svg</x:v>
      </x:c>
      <x:c r="E102" s="79" t="str">
        <x:v>public/game/assets/v135/gauntlets/dek/03-panel.svg</x:v>
      </x:c>
      <x:c r="F102" s="79" t="str">
        <x:v>Source SVG individuelle réelle</x:v>
      </x:c>
      <x:c r="G102" s="79" t="str">
        <x:v>Alpha 1080×580 en CI</x:v>
      </x:c>
      <x:c r="H102" s="79" t="str">
        <x:v>Référence source non homologuée</x:v>
      </x:c>
      <x:c r="I102" s="79" t="str">
        <x:v>0 / 1 : NON VALIDÉ 1:1</x:v>
      </x:c>
      <x:c r="J102" s="79" t="str">
        <x:v>https://github.com/darknigthmare/yautja-la-longue-chasse/actions/runs/41196187434/artifacts/13040272198</x:v>
      </x:c>
      <x:c r="K102" s="79" t="str">
        <x:v>Relever dimensions, UV, pose, charnière et source cinéma</x:v>
      </x:c>
    </x:row>
    <x:row r="103" ht="29" customHeight="1">
      <x:c r="A103" s="79" t="str">
        <x:v>dek</x:v>
      </x:c>
      <x:c r="B103" s="79" t="str">
        <x:v>Dek · Badlands 2025</x:v>
      </x:c>
      <x:c r="C103" s="79" t="str">
        <x:v>V135</x:v>
      </x:c>
      <x:c r="D103" s="79" t="str">
        <x:v>04-cover.svg</x:v>
      </x:c>
      <x:c r="E103" s="79" t="str">
        <x:v>public/game/assets/v135/gauntlets/dek/04-cover.svg</x:v>
      </x:c>
      <x:c r="F103" s="79" t="str">
        <x:v>Source SVG individuelle réelle</x:v>
      </x:c>
      <x:c r="G103" s="79" t="str">
        <x:v>Alpha 1080×580 en CI</x:v>
      </x:c>
      <x:c r="H103" s="79" t="str">
        <x:v>Référence source non homologuée</x:v>
      </x:c>
      <x:c r="I103" s="79" t="str">
        <x:v>0 / 1 : NON VALIDÉ 1:1</x:v>
      </x:c>
      <x:c r="J103" s="79" t="str">
        <x:v>https://github.com/darknigthmare/yautja-la-longue-chasse/actions/runs/41196187434/artifacts/13040272198</x:v>
      </x:c>
      <x:c r="K103" s="79" t="str">
        <x:v>Relever dimensions, UV, pose, charnière et source cinéma</x:v>
      </x:c>
    </x:row>
    <x:row r="104" ht="29" customHeight="1">
      <x:c r="A104" s="79" t="str">
        <x:v>kwei</x:v>
      </x:c>
      <x:c r="B104" s="79" t="str">
        <x:v>Kwei · Badlands 2025</x:v>
      </x:c>
      <x:c r="C104" s="79" t="str">
        <x:v>V136</x:v>
      </x:c>
      <x:c r="D104" s="79" t="str">
        <x:v>01-arm.svg</x:v>
      </x:c>
      <x:c r="E104" s="79" t="str">
        <x:v>public/game/assets/v136/gauntlets/kwei/01-arm.svg</x:v>
      </x:c>
      <x:c r="F104" s="79" t="str">
        <x:v>Source SVG individuelle réelle</x:v>
      </x:c>
      <x:c r="G104" s="79" t="str">
        <x:v>Alpha 1080×580 en CI</x:v>
      </x:c>
      <x:c r="H104" s="79" t="str">
        <x:v>Concept original</x:v>
      </x:c>
      <x:c r="I104" s="79" t="str">
        <x:v>0 / 1 : NON VALIDÉ 1:1</x:v>
      </x:c>
      <x:c r="J104" s="79" t="str">
        <x:v>https://github.com/darknigthmare/yautja-la-longue-chasse/actions/runs/41196187434/artifacts/13040272198</x:v>
      </x:c>
      <x:c r="K104" s="79" t="str">
        <x:v>Relever dimensions, UV, pose, charnière et source cinéma</x:v>
      </x:c>
    </x:row>
    <x:row r="105" ht="29" customHeight="1">
      <x:c r="A105" s="79" t="str">
        <x:v>kwei</x:v>
      </x:c>
      <x:c r="B105" s="79" t="str">
        <x:v>Kwei · Badlands 2025</x:v>
      </x:c>
      <x:c r="C105" s="79" t="str">
        <x:v>V136</x:v>
      </x:c>
      <x:c r="D105" s="79" t="str">
        <x:v>02-shell.svg</x:v>
      </x:c>
      <x:c r="E105" s="79" t="str">
        <x:v>public/game/assets/v136/gauntlets/kwei/02-shell.svg</x:v>
      </x:c>
      <x:c r="F105" s="79" t="str">
        <x:v>Source SVG individuelle réelle</x:v>
      </x:c>
      <x:c r="G105" s="79" t="str">
        <x:v>Alpha 1080×580 en CI</x:v>
      </x:c>
      <x:c r="H105" s="79" t="str">
        <x:v>Concept original</x:v>
      </x:c>
      <x:c r="I105" s="79" t="str">
        <x:v>0 / 1 : NON VALIDÉ 1:1</x:v>
      </x:c>
      <x:c r="J105" s="79" t="str">
        <x:v>https://github.com/darknigthmare/yautja-la-longue-chasse/actions/runs/41196187434/artifacts/13040272198</x:v>
      </x:c>
      <x:c r="K105" s="79" t="str">
        <x:v>Relever dimensions, UV, pose, charnière et source cinéma</x:v>
      </x:c>
    </x:row>
    <x:row r="106" ht="29" customHeight="1">
      <x:c r="A106" s="79" t="str">
        <x:v>kwei</x:v>
      </x:c>
      <x:c r="B106" s="79" t="str">
        <x:v>Kwei · Badlands 2025</x:v>
      </x:c>
      <x:c r="C106" s="79" t="str">
        <x:v>V136</x:v>
      </x:c>
      <x:c r="D106" s="79" t="str">
        <x:v>03-interface.svg</x:v>
      </x:c>
      <x:c r="E106" s="79" t="str">
        <x:v>public/game/assets/v136/gauntlets/kwei/03-interface.svg</x:v>
      </x:c>
      <x:c r="F106" s="79" t="str">
        <x:v>Source SVG individuelle réelle</x:v>
      </x:c>
      <x:c r="G106" s="79" t="str">
        <x:v>Alpha 1080×580 en CI</x:v>
      </x:c>
      <x:c r="H106" s="79" t="str">
        <x:v>Concept original</x:v>
      </x:c>
      <x:c r="I106" s="79" t="str">
        <x:v>0 / 1 : NON VALIDÉ 1:1</x:v>
      </x:c>
      <x:c r="J106" s="79" t="str">
        <x:v>https://github.com/darknigthmare/yautja-la-longue-chasse/actions/runs/41196187434/artifacts/13040272198</x:v>
      </x:c>
      <x:c r="K106" s="79" t="str">
        <x:v>Relever dimensions, UV, pose, charnière et source cinéma</x:v>
      </x:c>
    </x:row>
    <x:row r="107" ht="29" customHeight="1">
      <x:c r="A107" s="79" t="str">
        <x:v>kwei</x:v>
      </x:c>
      <x:c r="B107" s="79" t="str">
        <x:v>Kwei · Badlands 2025</x:v>
      </x:c>
      <x:c r="C107" s="79" t="str">
        <x:v>V136</x:v>
      </x:c>
      <x:c r="D107" s="79" t="str">
        <x:v>04-lid.svg</x:v>
      </x:c>
      <x:c r="E107" s="79" t="str">
        <x:v>public/game/assets/v136/gauntlets/kwei/04-lid.svg</x:v>
      </x:c>
      <x:c r="F107" s="79" t="str">
        <x:v>Source SVG individuelle réelle</x:v>
      </x:c>
      <x:c r="G107" s="79" t="str">
        <x:v>Alpha 1080×580 en CI</x:v>
      </x:c>
      <x:c r="H107" s="79" t="str">
        <x:v>Concept original</x:v>
      </x:c>
      <x:c r="I107" s="79" t="str">
        <x:v>0 / 1 : NON VALIDÉ 1:1</x:v>
      </x:c>
      <x:c r="J107" s="79" t="str">
        <x:v>https://github.com/darknigthmare/yautja-la-longue-chasse/actions/runs/41196187434/artifacts/13040272198</x:v>
      </x:c>
      <x:c r="K107" s="79" t="str">
        <x:v>Relever dimensions, UV, pose, charnière et source cinéma</x:v>
      </x:c>
    </x:row>
    <x:row r="108" ht="29" customHeight="1">
      <x:c r="A108" s="79" t="str">
        <x:v>njohrr</x:v>
      </x:c>
      <x:c r="B108" s="79" t="str">
        <x:v>Njohrr · Badlands 2025</x:v>
      </x:c>
      <x:c r="C108" s="79" t="str">
        <x:v>V136</x:v>
      </x:c>
      <x:c r="D108" s="79" t="str">
        <x:v>01-arm.svg</x:v>
      </x:c>
      <x:c r="E108" s="79" t="str">
        <x:v>public/game/assets/v136/gauntlets/njohrr/01-arm.svg</x:v>
      </x:c>
      <x:c r="F108" s="79" t="str">
        <x:v>Source SVG individuelle réelle</x:v>
      </x:c>
      <x:c r="G108" s="79" t="str">
        <x:v>Alpha 1080×580 en CI</x:v>
      </x:c>
      <x:c r="H108" s="79" t="str">
        <x:v>Concept original</x:v>
      </x:c>
      <x:c r="I108" s="79" t="str">
        <x:v>0 / 1 : NON VALIDÉ 1:1</x:v>
      </x:c>
      <x:c r="J108" s="79" t="str">
        <x:v>https://github.com/darknigthmare/yautja-la-longue-chasse/actions/runs/41196187434/artifacts/13040272198</x:v>
      </x:c>
      <x:c r="K108" s="79" t="str">
        <x:v>Relever dimensions, UV, pose, charnière et source cinéma</x:v>
      </x:c>
    </x:row>
    <x:row r="109" ht="29" customHeight="1">
      <x:c r="A109" s="79" t="str">
        <x:v>njohrr</x:v>
      </x:c>
      <x:c r="B109" s="79" t="str">
        <x:v>Njohrr · Badlands 2025</x:v>
      </x:c>
      <x:c r="C109" s="79" t="str">
        <x:v>V136</x:v>
      </x:c>
      <x:c r="D109" s="79" t="str">
        <x:v>02-shell.svg</x:v>
      </x:c>
      <x:c r="E109" s="79" t="str">
        <x:v>public/game/assets/v136/gauntlets/njohrr/02-shell.svg</x:v>
      </x:c>
      <x:c r="F109" s="79" t="str">
        <x:v>Source SVG individuelle réelle</x:v>
      </x:c>
      <x:c r="G109" s="79" t="str">
        <x:v>Alpha 1080×580 en CI</x:v>
      </x:c>
      <x:c r="H109" s="79" t="str">
        <x:v>Concept original</x:v>
      </x:c>
      <x:c r="I109" s="79" t="str">
        <x:v>0 / 1 : NON VALIDÉ 1:1</x:v>
      </x:c>
      <x:c r="J109" s="79" t="str">
        <x:v>https://github.com/darknigthmare/yautja-la-longue-chasse/actions/runs/41196187434/artifacts/13040272198</x:v>
      </x:c>
      <x:c r="K109" s="79" t="str">
        <x:v>Relever dimensions, UV, pose, charnière et source cinéma</x:v>
      </x:c>
    </x:row>
    <x:row r="110" ht="29" customHeight="1">
      <x:c r="A110" s="79" t="str">
        <x:v>njohrr</x:v>
      </x:c>
      <x:c r="B110" s="79" t="str">
        <x:v>Njohrr · Badlands 2025</x:v>
      </x:c>
      <x:c r="C110" s="79" t="str">
        <x:v>V136</x:v>
      </x:c>
      <x:c r="D110" s="79" t="str">
        <x:v>03-interface.svg</x:v>
      </x:c>
      <x:c r="E110" s="79" t="str">
        <x:v>public/game/assets/v136/gauntlets/njohrr/03-interface.svg</x:v>
      </x:c>
      <x:c r="F110" s="79" t="str">
        <x:v>Source SVG individuelle réelle</x:v>
      </x:c>
      <x:c r="G110" s="79" t="str">
        <x:v>Alpha 1080×580 en CI</x:v>
      </x:c>
      <x:c r="H110" s="79" t="str">
        <x:v>Concept original</x:v>
      </x:c>
      <x:c r="I110" s="79" t="str">
        <x:v>0 / 1 : NON VALIDÉ 1:1</x:v>
      </x:c>
      <x:c r="J110" s="79" t="str">
        <x:v>https://github.com/darknigthmare/yautja-la-longue-chasse/actions/runs/41196187434/artifacts/13040272198</x:v>
      </x:c>
      <x:c r="K110" s="79" t="str">
        <x:v>Relever dimensions, UV, pose, charnière et source cinéma</x:v>
      </x:c>
    </x:row>
    <x:row r="111" ht="29" customHeight="1">
      <x:c r="A111" s="79" t="str">
        <x:v>njohrr</x:v>
      </x:c>
      <x:c r="B111" s="79" t="str">
        <x:v>Njohrr · Badlands 2025</x:v>
      </x:c>
      <x:c r="C111" s="79" t="str">
        <x:v>V136</x:v>
      </x:c>
      <x:c r="D111" s="79" t="str">
        <x:v>04-lid.svg</x:v>
      </x:c>
      <x:c r="E111" s="79" t="str">
        <x:v>public/game/assets/v136/gauntlets/njohrr/04-lid.svg</x:v>
      </x:c>
      <x:c r="F111" s="79" t="str">
        <x:v>Source SVG individuelle réelle</x:v>
      </x:c>
      <x:c r="G111" s="79" t="str">
        <x:v>Alpha 1080×580 en CI</x:v>
      </x:c>
      <x:c r="H111" s="79" t="str">
        <x:v>Concept original</x:v>
      </x:c>
      <x:c r="I111" s="79" t="str">
        <x:v>0 / 1 : NON VALIDÉ 1:1</x:v>
      </x:c>
      <x:c r="J111" s="79" t="str">
        <x:v>https://github.com/darknigthmare/yautja-la-longue-chasse/actions/runs/41196187434/artifacts/13040272198</x:v>
      </x:c>
      <x:c r="K111" s="79" t="str">
        <x:v>Relever dimensions, UV, pose, charnière et source cinéma</x:v>
      </x:c>
    </x:row>
    <x:row r="112" ht="29" customHeight="1">
      <x:c r="A112" s="79" t="str">
        <x:v>kok-viking</x:v>
      </x:c>
      <x:c r="B112" s="79" t="str">
        <x:v>Chasseur Viking · Killer of Killers</x:v>
      </x:c>
      <x:c r="C112" s="79" t="str">
        <x:v>V136</x:v>
      </x:c>
      <x:c r="D112" s="79" t="str">
        <x:v>01-arm.svg</x:v>
      </x:c>
      <x:c r="E112" s="79" t="str">
        <x:v>public/game/assets/v136/gauntlets/kok-viking/01-arm.svg</x:v>
      </x:c>
      <x:c r="F112" s="79" t="str">
        <x:v>Source SVG individuelle réelle</x:v>
      </x:c>
      <x:c r="G112" s="79" t="str">
        <x:v>Alpha 1080×580 en CI</x:v>
      </x:c>
      <x:c r="H112" s="79" t="str">
        <x:v>Concept original</x:v>
      </x:c>
      <x:c r="I112" s="79" t="str">
        <x:v>0 / 1 : NON VALIDÉ 1:1</x:v>
      </x:c>
      <x:c r="J112" s="79" t="str">
        <x:v>https://github.com/darknigthmare/yautja-la-longue-chasse/actions/runs/41196187434/artifacts/13040272198</x:v>
      </x:c>
      <x:c r="K112" s="79" t="str">
        <x:v>Relever dimensions, UV, pose, charnière et source cinéma</x:v>
      </x:c>
    </x:row>
    <x:row r="113" ht="29" customHeight="1">
      <x:c r="A113" s="79" t="str">
        <x:v>kok-viking</x:v>
      </x:c>
      <x:c r="B113" s="79" t="str">
        <x:v>Chasseur Viking · Killer of Killers</x:v>
      </x:c>
      <x:c r="C113" s="79" t="str">
        <x:v>V136</x:v>
      </x:c>
      <x:c r="D113" s="79" t="str">
        <x:v>02-shell.svg</x:v>
      </x:c>
      <x:c r="E113" s="79" t="str">
        <x:v>public/game/assets/v136/gauntlets/kok-viking/02-shell.svg</x:v>
      </x:c>
      <x:c r="F113" s="79" t="str">
        <x:v>Source SVG individuelle réelle</x:v>
      </x:c>
      <x:c r="G113" s="79" t="str">
        <x:v>Alpha 1080×580 en CI</x:v>
      </x:c>
      <x:c r="H113" s="79" t="str">
        <x:v>Concept original</x:v>
      </x:c>
      <x:c r="I113" s="79" t="str">
        <x:v>0 / 1 : NON VALIDÉ 1:1</x:v>
      </x:c>
      <x:c r="J113" s="79" t="str">
        <x:v>https://github.com/darknigthmare/yautja-la-longue-chasse/actions/runs/41196187434/artifacts/13040272198</x:v>
      </x:c>
      <x:c r="K113" s="79" t="str">
        <x:v>Relever dimensions, UV, pose, charnière et source cinéma</x:v>
      </x:c>
    </x:row>
    <x:row r="114" ht="29" customHeight="1">
      <x:c r="A114" s="79" t="str">
        <x:v>kok-viking</x:v>
      </x:c>
      <x:c r="B114" s="79" t="str">
        <x:v>Chasseur Viking · Killer of Killers</x:v>
      </x:c>
      <x:c r="C114" s="79" t="str">
        <x:v>V136</x:v>
      </x:c>
      <x:c r="D114" s="79" t="str">
        <x:v>03-interface.svg</x:v>
      </x:c>
      <x:c r="E114" s="79" t="str">
        <x:v>public/game/assets/v136/gauntlets/kok-viking/03-interface.svg</x:v>
      </x:c>
      <x:c r="F114" s="79" t="str">
        <x:v>Source SVG individuelle réelle</x:v>
      </x:c>
      <x:c r="G114" s="79" t="str">
        <x:v>Alpha 1080×580 en CI</x:v>
      </x:c>
      <x:c r="H114" s="79" t="str">
        <x:v>Concept original</x:v>
      </x:c>
      <x:c r="I114" s="79" t="str">
        <x:v>0 / 1 : NON VALIDÉ 1:1</x:v>
      </x:c>
      <x:c r="J114" s="79" t="str">
        <x:v>https://github.com/darknigthmare/yautja-la-longue-chasse/actions/runs/41196187434/artifacts/13040272198</x:v>
      </x:c>
      <x:c r="K114" s="79" t="str">
        <x:v>Relever dimensions, UV, pose, charnière et source cinéma</x:v>
      </x:c>
    </x:row>
    <x:row r="115" ht="29" customHeight="1">
      <x:c r="A115" s="79" t="str">
        <x:v>kok-viking</x:v>
      </x:c>
      <x:c r="B115" s="79" t="str">
        <x:v>Chasseur Viking · Killer of Killers</x:v>
      </x:c>
      <x:c r="C115" s="79" t="str">
        <x:v>V136</x:v>
      </x:c>
      <x:c r="D115" s="79" t="str">
        <x:v>04-lid.svg</x:v>
      </x:c>
      <x:c r="E115" s="79" t="str">
        <x:v>public/game/assets/v136/gauntlets/kok-viking/04-lid.svg</x:v>
      </x:c>
      <x:c r="F115" s="79" t="str">
        <x:v>Source SVG individuelle réelle</x:v>
      </x:c>
      <x:c r="G115" s="79" t="str">
        <x:v>Alpha 1080×580 en CI</x:v>
      </x:c>
      <x:c r="H115" s="79" t="str">
        <x:v>Concept original</x:v>
      </x:c>
      <x:c r="I115" s="79" t="str">
        <x:v>0 / 1 : NON VALIDÉ 1:1</x:v>
      </x:c>
      <x:c r="J115" s="79" t="str">
        <x:v>https://github.com/darknigthmare/yautja-la-longue-chasse/actions/runs/41196187434/artifacts/13040272198</x:v>
      </x:c>
      <x:c r="K115" s="79" t="str">
        <x:v>Relever dimensions, UV, pose, charnière et source cinéma</x:v>
      </x:c>
    </x:row>
    <x:row r="116" ht="29" customHeight="1">
      <x:c r="A116" s="79" t="str">
        <x:v>kok-ninja</x:v>
      </x:c>
      <x:c r="B116" s="79" t="str">
        <x:v>Chasseur Ninja · Killer of Killers</x:v>
      </x:c>
      <x:c r="C116" s="79" t="str">
        <x:v>V136</x:v>
      </x:c>
      <x:c r="D116" s="79" t="str">
        <x:v>01-arm.svg</x:v>
      </x:c>
      <x:c r="E116" s="79" t="str">
        <x:v>public/game/assets/v136/gauntlets/kok-ninja/01-arm.svg</x:v>
      </x:c>
      <x:c r="F116" s="79" t="str">
        <x:v>Source SVG individuelle réelle</x:v>
      </x:c>
      <x:c r="G116" s="79" t="str">
        <x:v>Alpha 1080×580 en CI</x:v>
      </x:c>
      <x:c r="H116" s="79" t="str">
        <x:v>Concept original</x:v>
      </x:c>
      <x:c r="I116" s="79" t="str">
        <x:v>0 / 1 : NON VALIDÉ 1:1</x:v>
      </x:c>
      <x:c r="J116" s="79" t="str">
        <x:v>https://github.com/darknigthmare/yautja-la-longue-chasse/actions/runs/41196187434/artifacts/13040272198</x:v>
      </x:c>
      <x:c r="K116" s="79" t="str">
        <x:v>Relever dimensions, UV, pose, charnière et source cinéma</x:v>
      </x:c>
    </x:row>
    <x:row r="117" ht="29" customHeight="1">
      <x:c r="A117" s="79" t="str">
        <x:v>kok-ninja</x:v>
      </x:c>
      <x:c r="B117" s="79" t="str">
        <x:v>Chasseur Ninja · Killer of Killers</x:v>
      </x:c>
      <x:c r="C117" s="79" t="str">
        <x:v>V136</x:v>
      </x:c>
      <x:c r="D117" s="79" t="str">
        <x:v>02-shell.svg</x:v>
      </x:c>
      <x:c r="E117" s="79" t="str">
        <x:v>public/game/assets/v136/gauntlets/kok-ninja/02-shell.svg</x:v>
      </x:c>
      <x:c r="F117" s="79" t="str">
        <x:v>Source SVG individuelle réelle</x:v>
      </x:c>
      <x:c r="G117" s="79" t="str">
        <x:v>Alpha 1080×580 en CI</x:v>
      </x:c>
      <x:c r="H117" s="79" t="str">
        <x:v>Concept original</x:v>
      </x:c>
      <x:c r="I117" s="79" t="str">
        <x:v>0 / 1 : NON VALIDÉ 1:1</x:v>
      </x:c>
      <x:c r="J117" s="79" t="str">
        <x:v>https://github.com/darknigthmare/yautja-la-longue-chasse/actions/runs/41196187434/artifacts/13040272198</x:v>
      </x:c>
      <x:c r="K117" s="79" t="str">
        <x:v>Relever dimensions, UV, pose, charnière et source cinéma</x:v>
      </x:c>
    </x:row>
    <x:row r="118" ht="29" customHeight="1">
      <x:c r="A118" s="79" t="str">
        <x:v>kok-ninja</x:v>
      </x:c>
      <x:c r="B118" s="79" t="str">
        <x:v>Chasseur Ninja · Killer of Killers</x:v>
      </x:c>
      <x:c r="C118" s="79" t="str">
        <x:v>V136</x:v>
      </x:c>
      <x:c r="D118" s="79" t="str">
        <x:v>03-interface.svg</x:v>
      </x:c>
      <x:c r="E118" s="79" t="str">
        <x:v>public/game/assets/v136/gauntlets/kok-ninja/03-interface.svg</x:v>
      </x:c>
      <x:c r="F118" s="79" t="str">
        <x:v>Source SVG individuelle réelle</x:v>
      </x:c>
      <x:c r="G118" s="79" t="str">
        <x:v>Alpha 1080×580 en CI</x:v>
      </x:c>
      <x:c r="H118" s="79" t="str">
        <x:v>Concept original</x:v>
      </x:c>
      <x:c r="I118" s="79" t="str">
        <x:v>0 / 1 : NON VALIDÉ 1:1</x:v>
      </x:c>
      <x:c r="J118" s="79" t="str">
        <x:v>https://github.com/darknigthmare/yautja-la-longue-chasse/actions/runs/41196187434/artifacts/13040272198</x:v>
      </x:c>
      <x:c r="K118" s="79" t="str">
        <x:v>Relever dimensions, UV, pose, charnière et source cinéma</x:v>
      </x:c>
    </x:row>
    <x:row r="119" ht="29" customHeight="1">
      <x:c r="A119" s="79" t="str">
        <x:v>kok-ninja</x:v>
      </x:c>
      <x:c r="B119" s="79" t="str">
        <x:v>Chasseur Ninja · Killer of Killers</x:v>
      </x:c>
      <x:c r="C119" s="79" t="str">
        <x:v>V136</x:v>
      </x:c>
      <x:c r="D119" s="79" t="str">
        <x:v>04-lid.svg</x:v>
      </x:c>
      <x:c r="E119" s="79" t="str">
        <x:v>public/game/assets/v136/gauntlets/kok-ninja/04-lid.svg</x:v>
      </x:c>
      <x:c r="F119" s="79" t="str">
        <x:v>Source SVG individuelle réelle</x:v>
      </x:c>
      <x:c r="G119" s="79" t="str">
        <x:v>Alpha 1080×580 en CI</x:v>
      </x:c>
      <x:c r="H119" s="79" t="str">
        <x:v>Concept original</x:v>
      </x:c>
      <x:c r="I119" s="79" t="str">
        <x:v>0 / 1 : NON VALIDÉ 1:1</x:v>
      </x:c>
      <x:c r="J119" s="79" t="str">
        <x:v>https://github.com/darknigthmare/yautja-la-longue-chasse/actions/runs/41196187434/artifacts/13040272198</x:v>
      </x:c>
      <x:c r="K119" s="79" t="str">
        <x:v>Relever dimensions, UV, pose, charnière et source cinéma</x:v>
      </x:c>
    </x:row>
    <x:row r="120" ht="29" customHeight="1">
      <x:c r="A120" s="79" t="str">
        <x:v>kok-pilot</x:v>
      </x:c>
      <x:c r="B120" s="79" t="str">
        <x:v>Chasseur Pilote · Killer of Killers</x:v>
      </x:c>
      <x:c r="C120" s="79" t="str">
        <x:v>V136</x:v>
      </x:c>
      <x:c r="D120" s="79" t="str">
        <x:v>01-arm.svg</x:v>
      </x:c>
      <x:c r="E120" s="79" t="str">
        <x:v>public/game/assets/v136/gauntlets/kok-pilot/01-arm.svg</x:v>
      </x:c>
      <x:c r="F120" s="79" t="str">
        <x:v>Source SVG individuelle réelle</x:v>
      </x:c>
      <x:c r="G120" s="79" t="str">
        <x:v>Alpha 1080×580 en CI</x:v>
      </x:c>
      <x:c r="H120" s="79" t="str">
        <x:v>Concept original</x:v>
      </x:c>
      <x:c r="I120" s="79" t="str">
        <x:v>0 / 1 : NON VALIDÉ 1:1</x:v>
      </x:c>
      <x:c r="J120" s="79" t="str">
        <x:v>https://github.com/darknigthmare/yautja-la-longue-chasse/actions/runs/41196187434/artifacts/13040272198</x:v>
      </x:c>
      <x:c r="K120" s="79" t="str">
        <x:v>Relever dimensions, UV, pose, charnière et source cinéma</x:v>
      </x:c>
    </x:row>
    <x:row r="121" ht="29" customHeight="1">
      <x:c r="A121" s="79" t="str">
        <x:v>kok-pilot</x:v>
      </x:c>
      <x:c r="B121" s="79" t="str">
        <x:v>Chasseur Pilote · Killer of Killers</x:v>
      </x:c>
      <x:c r="C121" s="79" t="str">
        <x:v>V136</x:v>
      </x:c>
      <x:c r="D121" s="79" t="str">
        <x:v>02-shell.svg</x:v>
      </x:c>
      <x:c r="E121" s="79" t="str">
        <x:v>public/game/assets/v136/gauntlets/kok-pilot/02-shell.svg</x:v>
      </x:c>
      <x:c r="F121" s="79" t="str">
        <x:v>Source SVG individuelle réelle</x:v>
      </x:c>
      <x:c r="G121" s="79" t="str">
        <x:v>Alpha 1080×580 en CI</x:v>
      </x:c>
      <x:c r="H121" s="79" t="str">
        <x:v>Concept original</x:v>
      </x:c>
      <x:c r="I121" s="79" t="str">
        <x:v>0 / 1 : NON VALIDÉ 1:1</x:v>
      </x:c>
      <x:c r="J121" s="79" t="str">
        <x:v>https://github.com/darknigthmare/yautja-la-longue-chasse/actions/runs/41196187434/artifacts/13040272198</x:v>
      </x:c>
      <x:c r="K121" s="79" t="str">
        <x:v>Relever dimensions, UV, pose, charnière et source cinéma</x:v>
      </x:c>
    </x:row>
    <x:row r="122" ht="29" customHeight="1">
      <x:c r="A122" s="79" t="str">
        <x:v>kok-pilot</x:v>
      </x:c>
      <x:c r="B122" s="79" t="str">
        <x:v>Chasseur Pilote · Killer of Killers</x:v>
      </x:c>
      <x:c r="C122" s="79" t="str">
        <x:v>V136</x:v>
      </x:c>
      <x:c r="D122" s="79" t="str">
        <x:v>03-interface.svg</x:v>
      </x:c>
      <x:c r="E122" s="79" t="str">
        <x:v>public/game/assets/v136/gauntlets/kok-pilot/03-interface.svg</x:v>
      </x:c>
      <x:c r="F122" s="79" t="str">
        <x:v>Source SVG individuelle réelle</x:v>
      </x:c>
      <x:c r="G122" s="79" t="str">
        <x:v>Alpha 1080×580 en CI</x:v>
      </x:c>
      <x:c r="H122" s="79" t="str">
        <x:v>Concept original</x:v>
      </x:c>
      <x:c r="I122" s="79" t="str">
        <x:v>0 / 1 : NON VALIDÉ 1:1</x:v>
      </x:c>
      <x:c r="J122" s="79" t="str">
        <x:v>https://github.com/darknigthmare/yautja-la-longue-chasse/actions/runs/41196187434/artifacts/13040272198</x:v>
      </x:c>
      <x:c r="K122" s="79" t="str">
        <x:v>Relever dimensions, UV, pose, charnière et source cinéma</x:v>
      </x:c>
    </x:row>
    <x:row r="123" ht="29" customHeight="1">
      <x:c r="A123" s="79" t="str">
        <x:v>kok-pilot</x:v>
      </x:c>
      <x:c r="B123" s="79" t="str">
        <x:v>Chasseur Pilote · Killer of Killers</x:v>
      </x:c>
      <x:c r="C123" s="79" t="str">
        <x:v>V136</x:v>
      </x:c>
      <x:c r="D123" s="79" t="str">
        <x:v>04-lid.svg</x:v>
      </x:c>
      <x:c r="E123" s="79" t="str">
        <x:v>public/game/assets/v136/gauntlets/kok-pilot/04-lid.svg</x:v>
      </x:c>
      <x:c r="F123" s="79" t="str">
        <x:v>Source SVG individuelle réelle</x:v>
      </x:c>
      <x:c r="G123" s="79" t="str">
        <x:v>Alpha 1080×580 en CI</x:v>
      </x:c>
      <x:c r="H123" s="79" t="str">
        <x:v>Concept original</x:v>
      </x:c>
      <x:c r="I123" s="79" t="str">
        <x:v>0 / 1 : NON VALIDÉ 1:1</x:v>
      </x:c>
      <x:c r="J123" s="79" t="str">
        <x:v>https://github.com/darknigthmare/yautja-la-longue-chasse/actions/runs/41196187434/artifacts/13040272198</x:v>
      </x:c>
      <x:c r="K123" s="79" t="str">
        <x:v>Relever dimensions, UV, pose, charnière et source cinéma</x:v>
      </x:c>
    </x:row>
    <x:row r="124" ht="29" customHeight="1">
      <x:c r="A124" s="79" t="str">
        <x:v>kok-grendel</x:v>
      </x:c>
      <x:c r="B124" s="79" t="str">
        <x:v>Grendel King · Killer of Killers</x:v>
      </x:c>
      <x:c r="C124" s="79" t="str">
        <x:v>V136</x:v>
      </x:c>
      <x:c r="D124" s="79" t="str">
        <x:v>01-arm.svg</x:v>
      </x:c>
      <x:c r="E124" s="79" t="str">
        <x:v>public/game/assets/v136/gauntlets/kok-grendel/01-arm.svg</x:v>
      </x:c>
      <x:c r="F124" s="79" t="str">
        <x:v>Source SVG individuelle réelle</x:v>
      </x:c>
      <x:c r="G124" s="79" t="str">
        <x:v>Alpha 1080×580 en CI</x:v>
      </x:c>
      <x:c r="H124" s="79" t="str">
        <x:v>Concept original</x:v>
      </x:c>
      <x:c r="I124" s="79" t="str">
        <x:v>0 / 1 : NON VALIDÉ 1:1</x:v>
      </x:c>
      <x:c r="J124" s="79" t="str">
        <x:v>https://github.com/darknigthmare/yautja-la-longue-chasse/actions/runs/41196187434/artifacts/13040272198</x:v>
      </x:c>
      <x:c r="K124" s="79" t="str">
        <x:v>Relever dimensions, UV, pose, charnière et source cinéma</x:v>
      </x:c>
    </x:row>
    <x:row r="125" ht="29" customHeight="1">
      <x:c r="A125" s="79" t="str">
        <x:v>kok-grendel</x:v>
      </x:c>
      <x:c r="B125" s="79" t="str">
        <x:v>Grendel King · Killer of Killers</x:v>
      </x:c>
      <x:c r="C125" s="79" t="str">
        <x:v>V136</x:v>
      </x:c>
      <x:c r="D125" s="79" t="str">
        <x:v>02-shell.svg</x:v>
      </x:c>
      <x:c r="E125" s="79" t="str">
        <x:v>public/game/assets/v136/gauntlets/kok-grendel/02-shell.svg</x:v>
      </x:c>
      <x:c r="F125" s="79" t="str">
        <x:v>Source SVG individuelle réelle</x:v>
      </x:c>
      <x:c r="G125" s="79" t="str">
        <x:v>Alpha 1080×580 en CI</x:v>
      </x:c>
      <x:c r="H125" s="79" t="str">
        <x:v>Concept original</x:v>
      </x:c>
      <x:c r="I125" s="79" t="str">
        <x:v>0 / 1 : NON VALIDÉ 1:1</x:v>
      </x:c>
      <x:c r="J125" s="79" t="str">
        <x:v>https://github.com/darknigthmare/yautja-la-longue-chasse/actions/runs/41196187434/artifacts/13040272198</x:v>
      </x:c>
      <x:c r="K125" s="79" t="str">
        <x:v>Relever dimensions, UV, pose, charnière et source cinéma</x:v>
      </x:c>
    </x:row>
    <x:row r="126" ht="29" customHeight="1">
      <x:c r="A126" s="79" t="str">
        <x:v>kok-grendel</x:v>
      </x:c>
      <x:c r="B126" s="79" t="str">
        <x:v>Grendel King · Killer of Killers</x:v>
      </x:c>
      <x:c r="C126" s="79" t="str">
        <x:v>V136</x:v>
      </x:c>
      <x:c r="D126" s="79" t="str">
        <x:v>03-interface.svg</x:v>
      </x:c>
      <x:c r="E126" s="79" t="str">
        <x:v>public/game/assets/v136/gauntlets/kok-grendel/03-interface.svg</x:v>
      </x:c>
      <x:c r="F126" s="79" t="str">
        <x:v>Source SVG individuelle réelle</x:v>
      </x:c>
      <x:c r="G126" s="79" t="str">
        <x:v>Alpha 1080×580 en CI</x:v>
      </x:c>
      <x:c r="H126" s="79" t="str">
        <x:v>Concept original</x:v>
      </x:c>
      <x:c r="I126" s="79" t="str">
        <x:v>0 / 1 : NON VALIDÉ 1:1</x:v>
      </x:c>
      <x:c r="J126" s="79" t="str">
        <x:v>https://github.com/darknigthmare/yautja-la-longue-chasse/actions/runs/41196187434/artifacts/13040272198</x:v>
      </x:c>
      <x:c r="K126" s="79" t="str">
        <x:v>Relever dimensions, UV, pose, charnière et source cinéma</x:v>
      </x:c>
    </x:row>
    <x:row r="127" ht="29" customHeight="1">
      <x:c r="A127" s="79" t="str">
        <x:v>kok-grendel</x:v>
      </x:c>
      <x:c r="B127" s="79" t="str">
        <x:v>Grendel King · Killer of Killers</x:v>
      </x:c>
      <x:c r="C127" s="79" t="str">
        <x:v>V136</x:v>
      </x:c>
      <x:c r="D127" s="79" t="str">
        <x:v>04-lid.svg</x:v>
      </x:c>
      <x:c r="E127" s="79" t="str">
        <x:v>public/game/assets/v136/gauntlets/kok-grendel/04-lid.svg</x:v>
      </x:c>
      <x:c r="F127" s="79" t="str">
        <x:v>Source SVG individuelle réelle</x:v>
      </x:c>
      <x:c r="G127" s="79" t="str">
        <x:v>Alpha 1080×580 en CI</x:v>
      </x:c>
      <x:c r="H127" s="79" t="str">
        <x:v>Concept original</x:v>
      </x:c>
      <x:c r="I127" s="79" t="str">
        <x:v>0 / 1 : NON VALIDÉ 1:1</x:v>
      </x:c>
      <x:c r="J127" s="79" t="str">
        <x:v>https://github.com/darknigthmare/yautja-la-longue-chasse/actions/runs/41196187434/artifacts/13040272198</x:v>
      </x:c>
      <x:c r="K127" s="79" t="str">
        <x:v>Relever dimensions, UV, pose, charnière et source cinéma</x:v>
      </x:c>
    </x:row>
    <x:row r="128" ht="29" customHeight="1">
      <x:c r="A128" s="79" t="str">
        <x:v>phg-hunter</x:v>
      </x:c>
      <x:c r="B128" s="79" t="str">
        <x:v>Hunter · PHG</x:v>
      </x:c>
      <x:c r="C128" s="79" t="str">
        <x:v>V136</x:v>
      </x:c>
      <x:c r="D128" s="79" t="str">
        <x:v>01-arm.svg</x:v>
      </x:c>
      <x:c r="E128" s="79" t="str">
        <x:v>public/game/assets/v136/gauntlets/phg-hunter/01-arm.svg</x:v>
      </x:c>
      <x:c r="F128" s="79" t="str">
        <x:v>Source SVG individuelle réelle</x:v>
      </x:c>
      <x:c r="G128" s="79" t="str">
        <x:v>Alpha 1080×580 en CI</x:v>
      </x:c>
      <x:c r="H128" s="79" t="str">
        <x:v>Concept original</x:v>
      </x:c>
      <x:c r="I128" s="79" t="str">
        <x:v>0 / 1 : NON VALIDÉ 1:1</x:v>
      </x:c>
      <x:c r="J128" s="79" t="str">
        <x:v>https://github.com/darknigthmare/yautja-la-longue-chasse/actions/runs/41196187434/artifacts/13040272198</x:v>
      </x:c>
      <x:c r="K128" s="79" t="str">
        <x:v>Relever dimensions, UV, pose, charnière et source cinéma</x:v>
      </x:c>
    </x:row>
    <x:row r="129" ht="29" customHeight="1">
      <x:c r="A129" s="79" t="str">
        <x:v>phg-hunter</x:v>
      </x:c>
      <x:c r="B129" s="79" t="str">
        <x:v>Hunter · PHG</x:v>
      </x:c>
      <x:c r="C129" s="79" t="str">
        <x:v>V136</x:v>
      </x:c>
      <x:c r="D129" s="79" t="str">
        <x:v>02-shell.svg</x:v>
      </x:c>
      <x:c r="E129" s="79" t="str">
        <x:v>public/game/assets/v136/gauntlets/phg-hunter/02-shell.svg</x:v>
      </x:c>
      <x:c r="F129" s="79" t="str">
        <x:v>Source SVG individuelle réelle</x:v>
      </x:c>
      <x:c r="G129" s="79" t="str">
        <x:v>Alpha 1080×580 en CI</x:v>
      </x:c>
      <x:c r="H129" s="79" t="str">
        <x:v>Concept original</x:v>
      </x:c>
      <x:c r="I129" s="79" t="str">
        <x:v>0 / 1 : NON VALIDÉ 1:1</x:v>
      </x:c>
      <x:c r="J129" s="79" t="str">
        <x:v>https://github.com/darknigthmare/yautja-la-longue-chasse/actions/runs/41196187434/artifacts/13040272198</x:v>
      </x:c>
      <x:c r="K129" s="79" t="str">
        <x:v>Relever dimensions, UV, pose, charnière et source cinéma</x:v>
      </x:c>
    </x:row>
    <x:row r="130" ht="29" customHeight="1">
      <x:c r="A130" s="79" t="str">
        <x:v>phg-hunter</x:v>
      </x:c>
      <x:c r="B130" s="79" t="str">
        <x:v>Hunter · PHG</x:v>
      </x:c>
      <x:c r="C130" s="79" t="str">
        <x:v>V136</x:v>
      </x:c>
      <x:c r="D130" s="79" t="str">
        <x:v>03-interface.svg</x:v>
      </x:c>
      <x:c r="E130" s="79" t="str">
        <x:v>public/game/assets/v136/gauntlets/phg-hunter/03-interface.svg</x:v>
      </x:c>
      <x:c r="F130" s="79" t="str">
        <x:v>Source SVG individuelle réelle</x:v>
      </x:c>
      <x:c r="G130" s="79" t="str">
        <x:v>Alpha 1080×580 en CI</x:v>
      </x:c>
      <x:c r="H130" s="79" t="str">
        <x:v>Concept original</x:v>
      </x:c>
      <x:c r="I130" s="79" t="str">
        <x:v>0 / 1 : NON VALIDÉ 1:1</x:v>
      </x:c>
      <x:c r="J130" s="79" t="str">
        <x:v>https://github.com/darknigthmare/yautja-la-longue-chasse/actions/runs/41196187434/artifacts/13040272198</x:v>
      </x:c>
      <x:c r="K130" s="79" t="str">
        <x:v>Relever dimensions, UV, pose, charnière et source cinéma</x:v>
      </x:c>
    </x:row>
    <x:row r="131" ht="29" customHeight="1">
      <x:c r="A131" s="79" t="str">
        <x:v>phg-hunter</x:v>
      </x:c>
      <x:c r="B131" s="79" t="str">
        <x:v>Hunter · PHG</x:v>
      </x:c>
      <x:c r="C131" s="79" t="str">
        <x:v>V136</x:v>
      </x:c>
      <x:c r="D131" s="79" t="str">
        <x:v>04-lid.svg</x:v>
      </x:c>
      <x:c r="E131" s="79" t="str">
        <x:v>public/game/assets/v136/gauntlets/phg-hunter/04-lid.svg</x:v>
      </x:c>
      <x:c r="F131" s="79" t="str">
        <x:v>Source SVG individuelle réelle</x:v>
      </x:c>
      <x:c r="G131" s="79" t="str">
        <x:v>Alpha 1080×580 en CI</x:v>
      </x:c>
      <x:c r="H131" s="79" t="str">
        <x:v>Concept original</x:v>
      </x:c>
      <x:c r="I131" s="79" t="str">
        <x:v>0 / 1 : NON VALIDÉ 1:1</x:v>
      </x:c>
      <x:c r="J131" s="79" t="str">
        <x:v>https://github.com/darknigthmare/yautja-la-longue-chasse/actions/runs/41196187434/artifacts/13040272198</x:v>
      </x:c>
      <x:c r="K131" s="79" t="str">
        <x:v>Relever dimensions, UV, pose, charnière et source cinéma</x:v>
      </x:c>
    </x:row>
    <x:row r="132" ht="29" customHeight="1">
      <x:c r="A132" s="79" t="str">
        <x:v>phg-scout</x:v>
      </x:c>
      <x:c r="B132" s="79" t="str">
        <x:v>Scout · PHG</x:v>
      </x:c>
      <x:c r="C132" s="79" t="str">
        <x:v>V136</x:v>
      </x:c>
      <x:c r="D132" s="79" t="str">
        <x:v>01-arm.svg</x:v>
      </x:c>
      <x:c r="E132" s="79" t="str">
        <x:v>public/game/assets/v136/gauntlets/phg-scout/01-arm.svg</x:v>
      </x:c>
      <x:c r="F132" s="79" t="str">
        <x:v>Source SVG individuelle réelle</x:v>
      </x:c>
      <x:c r="G132" s="79" t="str">
        <x:v>Alpha 1080×580 en CI</x:v>
      </x:c>
      <x:c r="H132" s="79" t="str">
        <x:v>Concept original</x:v>
      </x:c>
      <x:c r="I132" s="79" t="str">
        <x:v>0 / 1 : NON VALIDÉ 1:1</x:v>
      </x:c>
      <x:c r="J132" s="79" t="str">
        <x:v>https://github.com/darknigthmare/yautja-la-longue-chasse/actions/runs/41196187434/artifacts/13040272198</x:v>
      </x:c>
      <x:c r="K132" s="79" t="str">
        <x:v>Relever dimensions, UV, pose, charnière et source cinéma</x:v>
      </x:c>
    </x:row>
    <x:row r="133" ht="29" customHeight="1">
      <x:c r="A133" s="79" t="str">
        <x:v>phg-scout</x:v>
      </x:c>
      <x:c r="B133" s="79" t="str">
        <x:v>Scout · PHG</x:v>
      </x:c>
      <x:c r="C133" s="79" t="str">
        <x:v>V136</x:v>
      </x:c>
      <x:c r="D133" s="79" t="str">
        <x:v>02-shell.svg</x:v>
      </x:c>
      <x:c r="E133" s="79" t="str">
        <x:v>public/game/assets/v136/gauntlets/phg-scout/02-shell.svg</x:v>
      </x:c>
      <x:c r="F133" s="79" t="str">
        <x:v>Source SVG individuelle réelle</x:v>
      </x:c>
      <x:c r="G133" s="79" t="str">
        <x:v>Alpha 1080×580 en CI</x:v>
      </x:c>
      <x:c r="H133" s="79" t="str">
        <x:v>Concept original</x:v>
      </x:c>
      <x:c r="I133" s="79" t="str">
        <x:v>0 / 1 : NON VALIDÉ 1:1</x:v>
      </x:c>
      <x:c r="J133" s="79" t="str">
        <x:v>https://github.com/darknigthmare/yautja-la-longue-chasse/actions/runs/41196187434/artifacts/13040272198</x:v>
      </x:c>
      <x:c r="K133" s="79" t="str">
        <x:v>Relever dimensions, UV, pose, charnière et source cinéma</x:v>
      </x:c>
    </x:row>
    <x:row r="134" ht="29" customHeight="1">
      <x:c r="A134" s="79" t="str">
        <x:v>phg-scout</x:v>
      </x:c>
      <x:c r="B134" s="79" t="str">
        <x:v>Scout · PHG</x:v>
      </x:c>
      <x:c r="C134" s="79" t="str">
        <x:v>V136</x:v>
      </x:c>
      <x:c r="D134" s="79" t="str">
        <x:v>03-interface.svg</x:v>
      </x:c>
      <x:c r="E134" s="79" t="str">
        <x:v>public/game/assets/v136/gauntlets/phg-scout/03-interface.svg</x:v>
      </x:c>
      <x:c r="F134" s="79" t="str">
        <x:v>Source SVG individuelle réelle</x:v>
      </x:c>
      <x:c r="G134" s="79" t="str">
        <x:v>Alpha 1080×580 en CI</x:v>
      </x:c>
      <x:c r="H134" s="79" t="str">
        <x:v>Concept original</x:v>
      </x:c>
      <x:c r="I134" s="79" t="str">
        <x:v>0 / 1 : NON VALIDÉ 1:1</x:v>
      </x:c>
      <x:c r="J134" s="79" t="str">
        <x:v>https://github.com/darknigthmare/yautja-la-longue-chasse/actions/runs/41196187434/artifacts/13040272198</x:v>
      </x:c>
      <x:c r="K134" s="79" t="str">
        <x:v>Relever dimensions, UV, pose, charnière et source cinéma</x:v>
      </x:c>
    </x:row>
    <x:row r="135" ht="29" customHeight="1">
      <x:c r="A135" s="79" t="str">
        <x:v>phg-scout</x:v>
      </x:c>
      <x:c r="B135" s="79" t="str">
        <x:v>Scout · PHG</x:v>
      </x:c>
      <x:c r="C135" s="79" t="str">
        <x:v>V136</x:v>
      </x:c>
      <x:c r="D135" s="79" t="str">
        <x:v>04-lid.svg</x:v>
      </x:c>
      <x:c r="E135" s="79" t="str">
        <x:v>public/game/assets/v136/gauntlets/phg-scout/04-lid.svg</x:v>
      </x:c>
      <x:c r="F135" s="79" t="str">
        <x:v>Source SVG individuelle réelle</x:v>
      </x:c>
      <x:c r="G135" s="79" t="str">
        <x:v>Alpha 1080×580 en CI</x:v>
      </x:c>
      <x:c r="H135" s="79" t="str">
        <x:v>Concept original</x:v>
      </x:c>
      <x:c r="I135" s="79" t="str">
        <x:v>0 / 1 : NON VALIDÉ 1:1</x:v>
      </x:c>
      <x:c r="J135" s="79" t="str">
        <x:v>https://github.com/darknigthmare/yautja-la-longue-chasse/actions/runs/41196187434/artifacts/13040272198</x:v>
      </x:c>
      <x:c r="K135" s="79" t="str">
        <x:v>Relever dimensions, UV, pose, charnière et source cinéma</x:v>
      </x:c>
    </x:row>
    <x:row r="136" ht="29" customHeight="1">
      <x:c r="A136" s="79" t="str">
        <x:v>phg-berserker</x:v>
      </x:c>
      <x:c r="B136" s="79" t="str">
        <x:v>Berserker · PHG</x:v>
      </x:c>
      <x:c r="C136" s="79" t="str">
        <x:v>V136</x:v>
      </x:c>
      <x:c r="D136" s="79" t="str">
        <x:v>01-arm.svg</x:v>
      </x:c>
      <x:c r="E136" s="79" t="str">
        <x:v>public/game/assets/v136/gauntlets/phg-berserker/01-arm.svg</x:v>
      </x:c>
      <x:c r="F136" s="79" t="str">
        <x:v>Source SVG individuelle réelle</x:v>
      </x:c>
      <x:c r="G136" s="79" t="str">
        <x:v>Alpha 1080×580 en CI</x:v>
      </x:c>
      <x:c r="H136" s="79" t="str">
        <x:v>Concept original</x:v>
      </x:c>
      <x:c r="I136" s="79" t="str">
        <x:v>0 / 1 : NON VALIDÉ 1:1</x:v>
      </x:c>
      <x:c r="J136" s="79" t="str">
        <x:v>https://github.com/darknigthmare/yautja-la-longue-chasse/actions/runs/41196187434/artifacts/13040272198</x:v>
      </x:c>
      <x:c r="K136" s="79" t="str">
        <x:v>Relever dimensions, UV, pose, charnière et source cinéma</x:v>
      </x:c>
    </x:row>
    <x:row r="137" ht="29" customHeight="1">
      <x:c r="A137" s="79" t="str">
        <x:v>phg-berserker</x:v>
      </x:c>
      <x:c r="B137" s="79" t="str">
        <x:v>Berserker · PHG</x:v>
      </x:c>
      <x:c r="C137" s="79" t="str">
        <x:v>V136</x:v>
      </x:c>
      <x:c r="D137" s="79" t="str">
        <x:v>02-shell.svg</x:v>
      </x:c>
      <x:c r="E137" s="79" t="str">
        <x:v>public/game/assets/v136/gauntlets/phg-berserker/02-shell.svg</x:v>
      </x:c>
      <x:c r="F137" s="79" t="str">
        <x:v>Source SVG individuelle réelle</x:v>
      </x:c>
      <x:c r="G137" s="79" t="str">
        <x:v>Alpha 1080×580 en CI</x:v>
      </x:c>
      <x:c r="H137" s="79" t="str">
        <x:v>Concept original</x:v>
      </x:c>
      <x:c r="I137" s="79" t="str">
        <x:v>0 / 1 : NON VALIDÉ 1:1</x:v>
      </x:c>
      <x:c r="J137" s="79" t="str">
        <x:v>https://github.com/darknigthmare/yautja-la-longue-chasse/actions/runs/41196187434/artifacts/13040272198</x:v>
      </x:c>
      <x:c r="K137" s="79" t="str">
        <x:v>Relever dimensions, UV, pose, charnière et source cinéma</x:v>
      </x:c>
    </x:row>
    <x:row r="138" ht="29" customHeight="1">
      <x:c r="A138" s="79" t="str">
        <x:v>phg-berserker</x:v>
      </x:c>
      <x:c r="B138" s="79" t="str">
        <x:v>Berserker · PHG</x:v>
      </x:c>
      <x:c r="C138" s="79" t="str">
        <x:v>V136</x:v>
      </x:c>
      <x:c r="D138" s="79" t="str">
        <x:v>03-interface.svg</x:v>
      </x:c>
      <x:c r="E138" s="79" t="str">
        <x:v>public/game/assets/v136/gauntlets/phg-berserker/03-interface.svg</x:v>
      </x:c>
      <x:c r="F138" s="79" t="str">
        <x:v>Source SVG individuelle réelle</x:v>
      </x:c>
      <x:c r="G138" s="79" t="str">
        <x:v>Alpha 1080×580 en CI</x:v>
      </x:c>
      <x:c r="H138" s="79" t="str">
        <x:v>Concept original</x:v>
      </x:c>
      <x:c r="I138" s="79" t="str">
        <x:v>0 / 1 : NON VALIDÉ 1:1</x:v>
      </x:c>
      <x:c r="J138" s="79" t="str">
        <x:v>https://github.com/darknigthmare/yautja-la-longue-chasse/actions/runs/41196187434/artifacts/13040272198</x:v>
      </x:c>
      <x:c r="K138" s="79" t="str">
        <x:v>Relever dimensions, UV, pose, charnière et source cinéma</x:v>
      </x:c>
    </x:row>
    <x:row r="139" ht="29" customHeight="1">
      <x:c r="A139" s="79" t="str">
        <x:v>phg-berserker</x:v>
      </x:c>
      <x:c r="B139" s="79" t="str">
        <x:v>Berserker · PHG</x:v>
      </x:c>
      <x:c r="C139" s="79" t="str">
        <x:v>V136</x:v>
      </x:c>
      <x:c r="D139" s="79" t="str">
        <x:v>04-lid.svg</x:v>
      </x:c>
      <x:c r="E139" s="79" t="str">
        <x:v>public/game/assets/v136/gauntlets/phg-berserker/04-lid.svg</x:v>
      </x:c>
      <x:c r="F139" s="79" t="str">
        <x:v>Source SVG individuelle réelle</x:v>
      </x:c>
      <x:c r="G139" s="79" t="str">
        <x:v>Alpha 1080×580 en CI</x:v>
      </x:c>
      <x:c r="H139" s="79" t="str">
        <x:v>Concept original</x:v>
      </x:c>
      <x:c r="I139" s="79" t="str">
        <x:v>0 / 1 : NON VALIDÉ 1:1</x:v>
      </x:c>
      <x:c r="J139" s="79" t="str">
        <x:v>https://github.com/darknigthmare/yautja-la-longue-chasse/actions/runs/41196187434/artifacts/13040272198</x:v>
      </x:c>
      <x:c r="K139" s="79" t="str">
        <x:v>Relever dimensions, UV, pose, charnière et source cinéma</x:v>
      </x:c>
    </x:row>
    <x:row r="140" ht="29" customHeight="1">
      <x:c r="A140" s="79" t="str">
        <x:v>phg-alpha</x:v>
      </x:c>
      <x:c r="B140" s="79" t="str">
        <x:v>Alpha · PHG</x:v>
      </x:c>
      <x:c r="C140" s="79" t="str">
        <x:v>V136</x:v>
      </x:c>
      <x:c r="D140" s="79" t="str">
        <x:v>01-arm.svg</x:v>
      </x:c>
      <x:c r="E140" s="79" t="str">
        <x:v>public/game/assets/v136/gauntlets/phg-alpha/01-arm.svg</x:v>
      </x:c>
      <x:c r="F140" s="79" t="str">
        <x:v>Source SVG individuelle réelle</x:v>
      </x:c>
      <x:c r="G140" s="79" t="str">
        <x:v>Alpha 1080×580 en CI</x:v>
      </x:c>
      <x:c r="H140" s="79" t="str">
        <x:v>Concept original</x:v>
      </x:c>
      <x:c r="I140" s="79" t="str">
        <x:v>0 / 1 : NON VALIDÉ 1:1</x:v>
      </x:c>
      <x:c r="J140" s="79" t="str">
        <x:v>https://github.com/darknigthmare/yautja-la-longue-chasse/actions/runs/41196187434/artifacts/13040272198</x:v>
      </x:c>
      <x:c r="K140" s="79" t="str">
        <x:v>Relever dimensions, UV, pose, charnière et source cinéma</x:v>
      </x:c>
    </x:row>
    <x:row r="141" ht="29" customHeight="1">
      <x:c r="A141" s="79" t="str">
        <x:v>phg-alpha</x:v>
      </x:c>
      <x:c r="B141" s="79" t="str">
        <x:v>Alpha · PHG</x:v>
      </x:c>
      <x:c r="C141" s="79" t="str">
        <x:v>V136</x:v>
      </x:c>
      <x:c r="D141" s="79" t="str">
        <x:v>02-shell.svg</x:v>
      </x:c>
      <x:c r="E141" s="79" t="str">
        <x:v>public/game/assets/v136/gauntlets/phg-alpha/02-shell.svg</x:v>
      </x:c>
      <x:c r="F141" s="79" t="str">
        <x:v>Source SVG individuelle réelle</x:v>
      </x:c>
      <x:c r="G141" s="79" t="str">
        <x:v>Alpha 1080×580 en CI</x:v>
      </x:c>
      <x:c r="H141" s="79" t="str">
        <x:v>Concept original</x:v>
      </x:c>
      <x:c r="I141" s="79" t="str">
        <x:v>0 / 1 : NON VALIDÉ 1:1</x:v>
      </x:c>
      <x:c r="J141" s="79" t="str">
        <x:v>https://github.com/darknigthmare/yautja-la-longue-chasse/actions/runs/41196187434/artifacts/13040272198</x:v>
      </x:c>
      <x:c r="K141" s="79" t="str">
        <x:v>Relever dimensions, UV, pose, charnière et source cinéma</x:v>
      </x:c>
    </x:row>
    <x:row r="142" ht="29" customHeight="1">
      <x:c r="A142" s="79" t="str">
        <x:v>phg-alpha</x:v>
      </x:c>
      <x:c r="B142" s="79" t="str">
        <x:v>Alpha · PHG</x:v>
      </x:c>
      <x:c r="C142" s="79" t="str">
        <x:v>V136</x:v>
      </x:c>
      <x:c r="D142" s="79" t="str">
        <x:v>03-interface.svg</x:v>
      </x:c>
      <x:c r="E142" s="79" t="str">
        <x:v>public/game/assets/v136/gauntlets/phg-alpha/03-interface.svg</x:v>
      </x:c>
      <x:c r="F142" s="79" t="str">
        <x:v>Source SVG individuelle réelle</x:v>
      </x:c>
      <x:c r="G142" s="79" t="str">
        <x:v>Alpha 1080×580 en CI</x:v>
      </x:c>
      <x:c r="H142" s="79" t="str">
        <x:v>Concept original</x:v>
      </x:c>
      <x:c r="I142" s="79" t="str">
        <x:v>0 / 1 : NON VALIDÉ 1:1</x:v>
      </x:c>
      <x:c r="J142" s="79" t="str">
        <x:v>https://github.com/darknigthmare/yautja-la-longue-chasse/actions/runs/41196187434/artifacts/13040272198</x:v>
      </x:c>
      <x:c r="K142" s="79" t="str">
        <x:v>Relever dimensions, UV, pose, charnière et source cinéma</x:v>
      </x:c>
    </x:row>
    <x:row r="143" ht="29" customHeight="1">
      <x:c r="A143" s="79" t="str">
        <x:v>phg-alpha</x:v>
      </x:c>
      <x:c r="B143" s="79" t="str">
        <x:v>Alpha · PHG</x:v>
      </x:c>
      <x:c r="C143" s="79" t="str">
        <x:v>V136</x:v>
      </x:c>
      <x:c r="D143" s="79" t="str">
        <x:v>04-lid.svg</x:v>
      </x:c>
      <x:c r="E143" s="79" t="str">
        <x:v>public/game/assets/v136/gauntlets/phg-alpha/04-lid.svg</x:v>
      </x:c>
      <x:c r="F143" s="79" t="str">
        <x:v>Source SVG individuelle réelle</x:v>
      </x:c>
      <x:c r="G143" s="79" t="str">
        <x:v>Alpha 1080×580 en CI</x:v>
      </x:c>
      <x:c r="H143" s="79" t="str">
        <x:v>Concept original</x:v>
      </x:c>
      <x:c r="I143" s="79" t="str">
        <x:v>0 / 1 : NON VALIDÉ 1:1</x:v>
      </x:c>
      <x:c r="J143" s="79" t="str">
        <x:v>https://github.com/darknigthmare/yautja-la-longue-chasse/actions/runs/41196187434/artifacts/13040272198</x:v>
      </x:c>
      <x:c r="K143" s="79" t="str">
        <x:v>Relever dimensions, UV, pose, charnière et source cinéma</x:v>
      </x:c>
    </x:row>
    <x:row r="144" ht="29" customHeight="1">
      <x:c r="A144" s="79" t="str">
        <x:v>phg-samurai</x:v>
      </x:c>
      <x:c r="B144" s="79" t="str">
        <x:v>Samurai · PHG</x:v>
      </x:c>
      <x:c r="C144" s="79" t="str">
        <x:v>V136</x:v>
      </x:c>
      <x:c r="D144" s="79" t="str">
        <x:v>01-arm.svg</x:v>
      </x:c>
      <x:c r="E144" s="79" t="str">
        <x:v>public/game/assets/v136/gauntlets/phg-samurai/01-arm.svg</x:v>
      </x:c>
      <x:c r="F144" s="79" t="str">
        <x:v>Source SVG individuelle réelle</x:v>
      </x:c>
      <x:c r="G144" s="79" t="str">
        <x:v>Alpha 1080×580 en CI</x:v>
      </x:c>
      <x:c r="H144" s="79" t="str">
        <x:v>Concept original</x:v>
      </x:c>
      <x:c r="I144" s="79" t="str">
        <x:v>0 / 1 : NON VALIDÉ 1:1</x:v>
      </x:c>
      <x:c r="J144" s="79" t="str">
        <x:v>https://github.com/darknigthmare/yautja-la-longue-chasse/actions/runs/41196187434/artifacts/13040272198</x:v>
      </x:c>
      <x:c r="K144" s="79" t="str">
        <x:v>Relever dimensions, UV, pose, charnière et source cinéma</x:v>
      </x:c>
    </x:row>
    <x:row r="145" ht="29" customHeight="1">
      <x:c r="A145" s="79" t="str">
        <x:v>phg-samurai</x:v>
      </x:c>
      <x:c r="B145" s="79" t="str">
        <x:v>Samurai · PHG</x:v>
      </x:c>
      <x:c r="C145" s="79" t="str">
        <x:v>V136</x:v>
      </x:c>
      <x:c r="D145" s="79" t="str">
        <x:v>02-shell.svg</x:v>
      </x:c>
      <x:c r="E145" s="79" t="str">
        <x:v>public/game/assets/v136/gauntlets/phg-samurai/02-shell.svg</x:v>
      </x:c>
      <x:c r="F145" s="79" t="str">
        <x:v>Source SVG individuelle réelle</x:v>
      </x:c>
      <x:c r="G145" s="79" t="str">
        <x:v>Alpha 1080×580 en CI</x:v>
      </x:c>
      <x:c r="H145" s="79" t="str">
        <x:v>Concept original</x:v>
      </x:c>
      <x:c r="I145" s="79" t="str">
        <x:v>0 / 1 : NON VALIDÉ 1:1</x:v>
      </x:c>
      <x:c r="J145" s="79" t="str">
        <x:v>https://github.com/darknigthmare/yautja-la-longue-chasse/actions/runs/41196187434/artifacts/13040272198</x:v>
      </x:c>
      <x:c r="K145" s="79" t="str">
        <x:v>Relever dimensions, UV, pose, charnière et source cinéma</x:v>
      </x:c>
    </x:row>
    <x:row r="146" ht="29" customHeight="1">
      <x:c r="A146" s="79" t="str">
        <x:v>phg-samurai</x:v>
      </x:c>
      <x:c r="B146" s="79" t="str">
        <x:v>Samurai · PHG</x:v>
      </x:c>
      <x:c r="C146" s="79" t="str">
        <x:v>V136</x:v>
      </x:c>
      <x:c r="D146" s="79" t="str">
        <x:v>03-interface.svg</x:v>
      </x:c>
      <x:c r="E146" s="79" t="str">
        <x:v>public/game/assets/v136/gauntlets/phg-samurai/03-interface.svg</x:v>
      </x:c>
      <x:c r="F146" s="79" t="str">
        <x:v>Source SVG individuelle réelle</x:v>
      </x:c>
      <x:c r="G146" s="79" t="str">
        <x:v>Alpha 1080×580 en CI</x:v>
      </x:c>
      <x:c r="H146" s="79" t="str">
        <x:v>Concept original</x:v>
      </x:c>
      <x:c r="I146" s="79" t="str">
        <x:v>0 / 1 : NON VALIDÉ 1:1</x:v>
      </x:c>
      <x:c r="J146" s="79" t="str">
        <x:v>https://github.com/darknigthmare/yautja-la-longue-chasse/actions/runs/41196187434/artifacts/13040272198</x:v>
      </x:c>
      <x:c r="K146" s="79" t="str">
        <x:v>Relever dimensions, UV, pose, charnière et source cinéma</x:v>
      </x:c>
    </x:row>
    <x:row r="147" ht="29" customHeight="1">
      <x:c r="A147" s="79" t="str">
        <x:v>phg-samurai</x:v>
      </x:c>
      <x:c r="B147" s="79" t="str">
        <x:v>Samurai · PHG</x:v>
      </x:c>
      <x:c r="C147" s="79" t="str">
        <x:v>V136</x:v>
      </x:c>
      <x:c r="D147" s="79" t="str">
        <x:v>04-lid.svg</x:v>
      </x:c>
      <x:c r="E147" s="79" t="str">
        <x:v>public/game/assets/v136/gauntlets/phg-samurai/04-lid.svg</x:v>
      </x:c>
      <x:c r="F147" s="79" t="str">
        <x:v>Source SVG individuelle réelle</x:v>
      </x:c>
      <x:c r="G147" s="79" t="str">
        <x:v>Alpha 1080×580 en CI</x:v>
      </x:c>
      <x:c r="H147" s="79" t="str">
        <x:v>Concept original</x:v>
      </x:c>
      <x:c r="I147" s="79" t="str">
        <x:v>0 / 1 : NON VALIDÉ 1:1</x:v>
      </x:c>
      <x:c r="J147" s="79" t="str">
        <x:v>https://github.com/darknigthmare/yautja-la-longue-chasse/actions/runs/41196187434/artifacts/13040272198</x:v>
      </x:c>
      <x:c r="K147" s="79" t="str">
        <x:v>Relever dimensions, UV, pose, charnière et source cinéma</x:v>
      </x:c>
    </x:row>
    <x:row r="148" ht="29" customHeight="1">
      <x:c r="A148" s="79" t="str">
        <x:v>phg-viking</x:v>
      </x:c>
      <x:c r="B148" s="79" t="str">
        <x:v>Viking · PHG</x:v>
      </x:c>
      <x:c r="C148" s="79" t="str">
        <x:v>V136</x:v>
      </x:c>
      <x:c r="D148" s="79" t="str">
        <x:v>01-arm.svg</x:v>
      </x:c>
      <x:c r="E148" s="79" t="str">
        <x:v>public/game/assets/v136/gauntlets/phg-viking/01-arm.svg</x:v>
      </x:c>
      <x:c r="F148" s="79" t="str">
        <x:v>Source SVG individuelle réelle</x:v>
      </x:c>
      <x:c r="G148" s="79" t="str">
        <x:v>Alpha 1080×580 en CI</x:v>
      </x:c>
      <x:c r="H148" s="79" t="str">
        <x:v>Concept original</x:v>
      </x:c>
      <x:c r="I148" s="79" t="str">
        <x:v>0 / 1 : NON VALIDÉ 1:1</x:v>
      </x:c>
      <x:c r="J148" s="79" t="str">
        <x:v>https://github.com/darknigthmare/yautja-la-longue-chasse/actions/runs/41196187434/artifacts/13040272198</x:v>
      </x:c>
      <x:c r="K148" s="79" t="str">
        <x:v>Relever dimensions, UV, pose, charnière et source cinéma</x:v>
      </x:c>
    </x:row>
    <x:row r="149" ht="29" customHeight="1">
      <x:c r="A149" s="79" t="str">
        <x:v>phg-viking</x:v>
      </x:c>
      <x:c r="B149" s="79" t="str">
        <x:v>Viking · PHG</x:v>
      </x:c>
      <x:c r="C149" s="79" t="str">
        <x:v>V136</x:v>
      </x:c>
      <x:c r="D149" s="79" t="str">
        <x:v>02-shell.svg</x:v>
      </x:c>
      <x:c r="E149" s="79" t="str">
        <x:v>public/game/assets/v136/gauntlets/phg-viking/02-shell.svg</x:v>
      </x:c>
      <x:c r="F149" s="79" t="str">
        <x:v>Source SVG individuelle réelle</x:v>
      </x:c>
      <x:c r="G149" s="79" t="str">
        <x:v>Alpha 1080×580 en CI</x:v>
      </x:c>
      <x:c r="H149" s="79" t="str">
        <x:v>Concept original</x:v>
      </x:c>
      <x:c r="I149" s="79" t="str">
        <x:v>0 / 1 : NON VALIDÉ 1:1</x:v>
      </x:c>
      <x:c r="J149" s="79" t="str">
        <x:v>https://github.com/darknigthmare/yautja-la-longue-chasse/actions/runs/41196187434/artifacts/13040272198</x:v>
      </x:c>
      <x:c r="K149" s="79" t="str">
        <x:v>Relever dimensions, UV, pose, charnière et source cinéma</x:v>
      </x:c>
    </x:row>
    <x:row r="150" ht="29" customHeight="1">
      <x:c r="A150" s="79" t="str">
        <x:v>phg-viking</x:v>
      </x:c>
      <x:c r="B150" s="79" t="str">
        <x:v>Viking · PHG</x:v>
      </x:c>
      <x:c r="C150" s="79" t="str">
        <x:v>V136</x:v>
      </x:c>
      <x:c r="D150" s="79" t="str">
        <x:v>03-interface.svg</x:v>
      </x:c>
      <x:c r="E150" s="79" t="str">
        <x:v>public/game/assets/v136/gauntlets/phg-viking/03-interface.svg</x:v>
      </x:c>
      <x:c r="F150" s="79" t="str">
        <x:v>Source SVG individuelle réelle</x:v>
      </x:c>
      <x:c r="G150" s="79" t="str">
        <x:v>Alpha 1080×580 en CI</x:v>
      </x:c>
      <x:c r="H150" s="79" t="str">
        <x:v>Concept original</x:v>
      </x:c>
      <x:c r="I150" s="79" t="str">
        <x:v>0 / 1 : NON VALIDÉ 1:1</x:v>
      </x:c>
      <x:c r="J150" s="79" t="str">
        <x:v>https://github.com/darknigthmare/yautja-la-longue-chasse/actions/runs/41196187434/artifacts/13040272198</x:v>
      </x:c>
      <x:c r="K150" s="79" t="str">
        <x:v>Relever dimensions, UV, pose, charnière et source cinéma</x:v>
      </x:c>
    </x:row>
    <x:row r="151" ht="29" customHeight="1">
      <x:c r="A151" s="79" t="str">
        <x:v>phg-viking</x:v>
      </x:c>
      <x:c r="B151" s="79" t="str">
        <x:v>Viking · PHG</x:v>
      </x:c>
      <x:c r="C151" s="79" t="str">
        <x:v>V136</x:v>
      </x:c>
      <x:c r="D151" s="79" t="str">
        <x:v>04-lid.svg</x:v>
      </x:c>
      <x:c r="E151" s="79" t="str">
        <x:v>public/game/assets/v136/gauntlets/phg-viking/04-lid.svg</x:v>
      </x:c>
      <x:c r="F151" s="79" t="str">
        <x:v>Source SVG individuelle réelle</x:v>
      </x:c>
      <x:c r="G151" s="79" t="str">
        <x:v>Alpha 1080×580 en CI</x:v>
      </x:c>
      <x:c r="H151" s="79" t="str">
        <x:v>Concept original</x:v>
      </x:c>
      <x:c r="I151" s="79" t="str">
        <x:v>0 / 1 : NON VALIDÉ 1:1</x:v>
      </x:c>
      <x:c r="J151" s="79" t="str">
        <x:v>https://github.com/darknigthmare/yautja-la-longue-chasse/actions/runs/41196187434/artifacts/13040272198</x:v>
      </x:c>
      <x:c r="K151" s="79" t="str">
        <x:v>Relever dimensions, UV, pose, charnière et source cinéma</x:v>
      </x:c>
    </x:row>
    <x:row r="152" ht="29" customHeight="1">
      <x:c r="A152" s="79" t="str">
        <x:v>phg-valkyrie</x:v>
      </x:c>
      <x:c r="B152" s="79" t="str">
        <x:v>Valkyrie · PHG</x:v>
      </x:c>
      <x:c r="C152" s="79" t="str">
        <x:v>V136</x:v>
      </x:c>
      <x:c r="D152" s="79" t="str">
        <x:v>01-arm.svg</x:v>
      </x:c>
      <x:c r="E152" s="79" t="str">
        <x:v>public/game/assets/v136/gauntlets/phg-valkyrie/01-arm.svg</x:v>
      </x:c>
      <x:c r="F152" s="79" t="str">
        <x:v>Source SVG individuelle réelle</x:v>
      </x:c>
      <x:c r="G152" s="79" t="str">
        <x:v>Alpha 1080×580 en CI</x:v>
      </x:c>
      <x:c r="H152" s="79" t="str">
        <x:v>Concept original</x:v>
      </x:c>
      <x:c r="I152" s="79" t="str">
        <x:v>0 / 1 : NON VALIDÉ 1:1</x:v>
      </x:c>
      <x:c r="J152" s="79" t="str">
        <x:v>https://github.com/darknigthmare/yautja-la-longue-chasse/actions/runs/41196187434/artifacts/13040272198</x:v>
      </x:c>
      <x:c r="K152" s="79" t="str">
        <x:v>Relever dimensions, UV, pose, charnière et source cinéma</x:v>
      </x:c>
    </x:row>
    <x:row r="153" ht="29" customHeight="1">
      <x:c r="A153" s="79" t="str">
        <x:v>phg-valkyrie</x:v>
      </x:c>
      <x:c r="B153" s="79" t="str">
        <x:v>Valkyrie · PHG</x:v>
      </x:c>
      <x:c r="C153" s="79" t="str">
        <x:v>V136</x:v>
      </x:c>
      <x:c r="D153" s="79" t="str">
        <x:v>02-shell.svg</x:v>
      </x:c>
      <x:c r="E153" s="79" t="str">
        <x:v>public/game/assets/v136/gauntlets/phg-valkyrie/02-shell.svg</x:v>
      </x:c>
      <x:c r="F153" s="79" t="str">
        <x:v>Source SVG individuelle réelle</x:v>
      </x:c>
      <x:c r="G153" s="79" t="str">
        <x:v>Alpha 1080×580 en CI</x:v>
      </x:c>
      <x:c r="H153" s="79" t="str">
        <x:v>Concept original</x:v>
      </x:c>
      <x:c r="I153" s="79" t="str">
        <x:v>0 / 1 : NON VALIDÉ 1:1</x:v>
      </x:c>
      <x:c r="J153" s="79" t="str">
        <x:v>https://github.com/darknigthmare/yautja-la-longue-chasse/actions/runs/41196187434/artifacts/13040272198</x:v>
      </x:c>
      <x:c r="K153" s="79" t="str">
        <x:v>Relever dimensions, UV, pose, charnière et source cinéma</x:v>
      </x:c>
    </x:row>
    <x:row r="154" ht="29" customHeight="1">
      <x:c r="A154" s="79" t="str">
        <x:v>phg-valkyrie</x:v>
      </x:c>
      <x:c r="B154" s="79" t="str">
        <x:v>Valkyrie · PHG</x:v>
      </x:c>
      <x:c r="C154" s="79" t="str">
        <x:v>V136</x:v>
      </x:c>
      <x:c r="D154" s="79" t="str">
        <x:v>03-interface.svg</x:v>
      </x:c>
      <x:c r="E154" s="79" t="str">
        <x:v>public/game/assets/v136/gauntlets/phg-valkyrie/03-interface.svg</x:v>
      </x:c>
      <x:c r="F154" s="79" t="str">
        <x:v>Source SVG individuelle réelle</x:v>
      </x:c>
      <x:c r="G154" s="79" t="str">
        <x:v>Alpha 1080×580 en CI</x:v>
      </x:c>
      <x:c r="H154" s="79" t="str">
        <x:v>Concept original</x:v>
      </x:c>
      <x:c r="I154" s="79" t="str">
        <x:v>0 / 1 : NON VALIDÉ 1:1</x:v>
      </x:c>
      <x:c r="J154" s="79" t="str">
        <x:v>https://github.com/darknigthmare/yautja-la-longue-chasse/actions/runs/41196187434/artifacts/13040272198</x:v>
      </x:c>
      <x:c r="K154" s="79" t="str">
        <x:v>Relever dimensions, UV, pose, charnière et source cinéma</x:v>
      </x:c>
    </x:row>
    <x:row r="155" ht="29" customHeight="1">
      <x:c r="A155" s="79" t="str">
        <x:v>phg-valkyrie</x:v>
      </x:c>
      <x:c r="B155" s="79" t="str">
        <x:v>Valkyrie · PHG</x:v>
      </x:c>
      <x:c r="C155" s="79" t="str">
        <x:v>V136</x:v>
      </x:c>
      <x:c r="D155" s="79" t="str">
        <x:v>04-lid.svg</x:v>
      </x:c>
      <x:c r="E155" s="79" t="str">
        <x:v>public/game/assets/v136/gauntlets/phg-valkyrie/04-lid.svg</x:v>
      </x:c>
      <x:c r="F155" s="79" t="str">
        <x:v>Source SVG individuelle réelle</x:v>
      </x:c>
      <x:c r="G155" s="79" t="str">
        <x:v>Alpha 1080×580 en CI</x:v>
      </x:c>
      <x:c r="H155" s="79" t="str">
        <x:v>Concept original</x:v>
      </x:c>
      <x:c r="I155" s="79" t="str">
        <x:v>0 / 1 : NON VALIDÉ 1:1</x:v>
      </x:c>
      <x:c r="J155" s="79" t="str">
        <x:v>https://github.com/darknigthmare/yautja-la-longue-chasse/actions/runs/41196187434/artifacts/13040272198</x:v>
      </x:c>
      <x:c r="K155" s="79" t="str">
        <x:v>Relever dimensions, UV, pose, charnière et source cinéma</x:v>
      </x:c>
    </x:row>
    <x:row r="156" ht="29" customHeight="1">
      <x:c r="A156" s="79" t="str">
        <x:v>phg-cleopatra</x:v>
      </x:c>
      <x:c r="B156" s="79" t="str">
        <x:v>Cleopatra · PHG</x:v>
      </x:c>
      <x:c r="C156" s="79" t="str">
        <x:v>V136</x:v>
      </x:c>
      <x:c r="D156" s="79" t="str">
        <x:v>01-arm.svg</x:v>
      </x:c>
      <x:c r="E156" s="79" t="str">
        <x:v>public/game/assets/v136/gauntlets/phg-cleopatra/01-arm.svg</x:v>
      </x:c>
      <x:c r="F156" s="79" t="str">
        <x:v>Source SVG individuelle réelle</x:v>
      </x:c>
      <x:c r="G156" s="79" t="str">
        <x:v>Alpha 1080×580 en CI</x:v>
      </x:c>
      <x:c r="H156" s="79" t="str">
        <x:v>Concept original</x:v>
      </x:c>
      <x:c r="I156" s="79" t="str">
        <x:v>0 / 1 : NON VALIDÉ 1:1</x:v>
      </x:c>
      <x:c r="J156" s="79" t="str">
        <x:v>https://github.com/darknigthmare/yautja-la-longue-chasse/actions/runs/41196187434/artifacts/13040272198</x:v>
      </x:c>
      <x:c r="K156" s="79" t="str">
        <x:v>Relever dimensions, UV, pose, charnière et source cinéma</x:v>
      </x:c>
    </x:row>
    <x:row r="157" ht="29" customHeight="1">
      <x:c r="A157" s="79" t="str">
        <x:v>phg-cleopatra</x:v>
      </x:c>
      <x:c r="B157" s="79" t="str">
        <x:v>Cleopatra · PHG</x:v>
      </x:c>
      <x:c r="C157" s="79" t="str">
        <x:v>V136</x:v>
      </x:c>
      <x:c r="D157" s="79" t="str">
        <x:v>02-shell.svg</x:v>
      </x:c>
      <x:c r="E157" s="79" t="str">
        <x:v>public/game/assets/v136/gauntlets/phg-cleopatra/02-shell.svg</x:v>
      </x:c>
      <x:c r="F157" s="79" t="str">
        <x:v>Source SVG individuelle réelle</x:v>
      </x:c>
      <x:c r="G157" s="79" t="str">
        <x:v>Alpha 1080×580 en CI</x:v>
      </x:c>
      <x:c r="H157" s="79" t="str">
        <x:v>Concept original</x:v>
      </x:c>
      <x:c r="I157" s="79" t="str">
        <x:v>0 / 1 : NON VALIDÉ 1:1</x:v>
      </x:c>
      <x:c r="J157" s="79" t="str">
        <x:v>https://github.com/darknigthmare/yautja-la-longue-chasse/actions/runs/41196187434/artifacts/13040272198</x:v>
      </x:c>
      <x:c r="K157" s="79" t="str">
        <x:v>Relever dimensions, UV, pose, charnière et source cinéma</x:v>
      </x:c>
    </x:row>
    <x:row r="158" ht="29" customHeight="1">
      <x:c r="A158" s="79" t="str">
        <x:v>phg-cleopatra</x:v>
      </x:c>
      <x:c r="B158" s="79" t="str">
        <x:v>Cleopatra · PHG</x:v>
      </x:c>
      <x:c r="C158" s="79" t="str">
        <x:v>V136</x:v>
      </x:c>
      <x:c r="D158" s="79" t="str">
        <x:v>03-interface.svg</x:v>
      </x:c>
      <x:c r="E158" s="79" t="str">
        <x:v>public/game/assets/v136/gauntlets/phg-cleopatra/03-interface.svg</x:v>
      </x:c>
      <x:c r="F158" s="79" t="str">
        <x:v>Source SVG individuelle réelle</x:v>
      </x:c>
      <x:c r="G158" s="79" t="str">
        <x:v>Alpha 1080×580 en CI</x:v>
      </x:c>
      <x:c r="H158" s="79" t="str">
        <x:v>Concept original</x:v>
      </x:c>
      <x:c r="I158" s="79" t="str">
        <x:v>0 / 1 : NON VALIDÉ 1:1</x:v>
      </x:c>
      <x:c r="J158" s="79" t="str">
        <x:v>https://github.com/darknigthmare/yautja-la-longue-chasse/actions/runs/41196187434/artifacts/13040272198</x:v>
      </x:c>
      <x:c r="K158" s="79" t="str">
        <x:v>Relever dimensions, UV, pose, charnière et source cinéma</x:v>
      </x:c>
    </x:row>
    <x:row r="159" ht="29" customHeight="1">
      <x:c r="A159" s="79" t="str">
        <x:v>phg-cleopatra</x:v>
      </x:c>
      <x:c r="B159" s="79" t="str">
        <x:v>Cleopatra · PHG</x:v>
      </x:c>
      <x:c r="C159" s="79" t="str">
        <x:v>V136</x:v>
      </x:c>
      <x:c r="D159" s="79" t="str">
        <x:v>04-lid.svg</x:v>
      </x:c>
      <x:c r="E159" s="79" t="str">
        <x:v>public/game/assets/v136/gauntlets/phg-cleopatra/04-lid.svg</x:v>
      </x:c>
      <x:c r="F159" s="79" t="str">
        <x:v>Source SVG individuelle réelle</x:v>
      </x:c>
      <x:c r="G159" s="79" t="str">
        <x:v>Alpha 1080×580 en CI</x:v>
      </x:c>
      <x:c r="H159" s="79" t="str">
        <x:v>Concept original</x:v>
      </x:c>
      <x:c r="I159" s="79" t="str">
        <x:v>0 / 1 : NON VALIDÉ 1:1</x:v>
      </x:c>
      <x:c r="J159" s="79" t="str">
        <x:v>https://github.com/darknigthmare/yautja-la-longue-chasse/actions/runs/41196187434/artifacts/13040272198</x:v>
      </x:c>
      <x:c r="K159" s="79" t="str">
        <x:v>Relever dimensions, UV, pose, charnière et source cinéma</x:v>
      </x:c>
    </x:row>
    <x:row r="160" ht="29" customHeight="1">
      <x:c r="A160" s="79" t="str">
        <x:v>phg-exiled</x:v>
      </x:c>
      <x:c r="B160" s="79" t="str">
        <x:v>Exiled · PHG</x:v>
      </x:c>
      <x:c r="C160" s="79" t="str">
        <x:v>V136</x:v>
      </x:c>
      <x:c r="D160" s="79" t="str">
        <x:v>01-arm.svg</x:v>
      </x:c>
      <x:c r="E160" s="79" t="str">
        <x:v>public/game/assets/v136/gauntlets/phg-exiled/01-arm.svg</x:v>
      </x:c>
      <x:c r="F160" s="79" t="str">
        <x:v>Source SVG individuelle réelle</x:v>
      </x:c>
      <x:c r="G160" s="79" t="str">
        <x:v>Alpha 1080×580 en CI</x:v>
      </x:c>
      <x:c r="H160" s="79" t="str">
        <x:v>Concept original</x:v>
      </x:c>
      <x:c r="I160" s="79" t="str">
        <x:v>0 / 1 : NON VALIDÉ 1:1</x:v>
      </x:c>
      <x:c r="J160" s="79" t="str">
        <x:v>https://github.com/darknigthmare/yautja-la-longue-chasse/actions/runs/41196187434/artifacts/13040272198</x:v>
      </x:c>
      <x:c r="K160" s="79" t="str">
        <x:v>Relever dimensions, UV, pose, charnière et source cinéma</x:v>
      </x:c>
    </x:row>
    <x:row r="161" ht="29" customHeight="1">
      <x:c r="A161" s="79" t="str">
        <x:v>phg-exiled</x:v>
      </x:c>
      <x:c r="B161" s="79" t="str">
        <x:v>Exiled · PHG</x:v>
      </x:c>
      <x:c r="C161" s="79" t="str">
        <x:v>V136</x:v>
      </x:c>
      <x:c r="D161" s="79" t="str">
        <x:v>02-shell.svg</x:v>
      </x:c>
      <x:c r="E161" s="79" t="str">
        <x:v>public/game/assets/v136/gauntlets/phg-exiled/02-shell.svg</x:v>
      </x:c>
      <x:c r="F161" s="79" t="str">
        <x:v>Source SVG individuelle réelle</x:v>
      </x:c>
      <x:c r="G161" s="79" t="str">
        <x:v>Alpha 1080×580 en CI</x:v>
      </x:c>
      <x:c r="H161" s="79" t="str">
        <x:v>Concept original</x:v>
      </x:c>
      <x:c r="I161" s="79" t="str">
        <x:v>0 / 1 : NON VALIDÉ 1:1</x:v>
      </x:c>
      <x:c r="J161" s="79" t="str">
        <x:v>https://github.com/darknigthmare/yautja-la-longue-chasse/actions/runs/41196187434/artifacts/13040272198</x:v>
      </x:c>
      <x:c r="K161" s="79" t="str">
        <x:v>Relever dimensions, UV, pose, charnière et source cinéma</x:v>
      </x:c>
    </x:row>
    <x:row r="162" ht="29" customHeight="1">
      <x:c r="A162" s="79" t="str">
        <x:v>phg-exiled</x:v>
      </x:c>
      <x:c r="B162" s="79" t="str">
        <x:v>Exiled · PHG</x:v>
      </x:c>
      <x:c r="C162" s="79" t="str">
        <x:v>V136</x:v>
      </x:c>
      <x:c r="D162" s="79" t="str">
        <x:v>03-interface.svg</x:v>
      </x:c>
      <x:c r="E162" s="79" t="str">
        <x:v>public/game/assets/v136/gauntlets/phg-exiled/03-interface.svg</x:v>
      </x:c>
      <x:c r="F162" s="79" t="str">
        <x:v>Source SVG individuelle réelle</x:v>
      </x:c>
      <x:c r="G162" s="79" t="str">
        <x:v>Alpha 1080×580 en CI</x:v>
      </x:c>
      <x:c r="H162" s="79" t="str">
        <x:v>Concept original</x:v>
      </x:c>
      <x:c r="I162" s="79" t="str">
        <x:v>0 / 1 : NON VALIDÉ 1:1</x:v>
      </x:c>
      <x:c r="J162" s="79" t="str">
        <x:v>https://github.com/darknigthmare/yautja-la-longue-chasse/actions/runs/41196187434/artifacts/13040272198</x:v>
      </x:c>
      <x:c r="K162" s="79" t="str">
        <x:v>Relever dimensions, UV, pose, charnière et source cinéma</x:v>
      </x:c>
    </x:row>
    <x:row r="163" ht="29" customHeight="1">
      <x:c r="A163" s="79" t="str">
        <x:v>phg-exiled</x:v>
      </x:c>
      <x:c r="B163" s="79" t="str">
        <x:v>Exiled · PHG</x:v>
      </x:c>
      <x:c r="C163" s="79" t="str">
        <x:v>V136</x:v>
      </x:c>
      <x:c r="D163" s="79" t="str">
        <x:v>04-lid.svg</x:v>
      </x:c>
      <x:c r="E163" s="79" t="str">
        <x:v>public/game/assets/v136/gauntlets/phg-exiled/04-lid.svg</x:v>
      </x:c>
      <x:c r="F163" s="79" t="str">
        <x:v>Source SVG individuelle réelle</x:v>
      </x:c>
      <x:c r="G163" s="79" t="str">
        <x:v>Alpha 1080×580 en CI</x:v>
      </x:c>
      <x:c r="H163" s="79" t="str">
        <x:v>Concept original</x:v>
      </x:c>
      <x:c r="I163" s="79" t="str">
        <x:v>0 / 1 : NON VALIDÉ 1:1</x:v>
      </x:c>
      <x:c r="J163" s="79" t="str">
        <x:v>https://github.com/darknigthmare/yautja-la-longue-chasse/actions/runs/41196187434/artifacts/13040272198</x:v>
      </x:c>
      <x:c r="K163" s="79" t="str">
        <x:v>Relever dimensions, UV, pose, charnière et source cinéma</x:v>
      </x:c>
    </x:row>
    <x:row r="164" ht="29" customHeight="1">
      <x:c r="A164" s="79" t="str">
        <x:v>phg-pirate</x:v>
      </x:c>
      <x:c r="B164" s="79" t="str">
        <x:v>Pirate · PHG</x:v>
      </x:c>
      <x:c r="C164" s="79" t="str">
        <x:v>V136</x:v>
      </x:c>
      <x:c r="D164" s="79" t="str">
        <x:v>01-arm.svg</x:v>
      </x:c>
      <x:c r="E164" s="79" t="str">
        <x:v>public/game/assets/v136/gauntlets/phg-pirate/01-arm.svg</x:v>
      </x:c>
      <x:c r="F164" s="79" t="str">
        <x:v>Source SVG individuelle réelle</x:v>
      </x:c>
      <x:c r="G164" s="79" t="str">
        <x:v>Alpha 1080×580 en CI</x:v>
      </x:c>
      <x:c r="H164" s="79" t="str">
        <x:v>Concept original</x:v>
      </x:c>
      <x:c r="I164" s="79" t="str">
        <x:v>0 / 1 : NON VALIDÉ 1:1</x:v>
      </x:c>
      <x:c r="J164" s="79" t="str">
        <x:v>https://github.com/darknigthmare/yautja-la-longue-chasse/actions/runs/41196187434/artifacts/13040272198</x:v>
      </x:c>
      <x:c r="K164" s="79" t="str">
        <x:v>Relever dimensions, UV, pose, charnière et source cinéma</x:v>
      </x:c>
    </x:row>
    <x:row r="165" ht="29" customHeight="1">
      <x:c r="A165" s="79" t="str">
        <x:v>phg-pirate</x:v>
      </x:c>
      <x:c r="B165" s="79" t="str">
        <x:v>Pirate · PHG</x:v>
      </x:c>
      <x:c r="C165" s="79" t="str">
        <x:v>V136</x:v>
      </x:c>
      <x:c r="D165" s="79" t="str">
        <x:v>02-shell.svg</x:v>
      </x:c>
      <x:c r="E165" s="79" t="str">
        <x:v>public/game/assets/v136/gauntlets/phg-pirate/02-shell.svg</x:v>
      </x:c>
      <x:c r="F165" s="79" t="str">
        <x:v>Source SVG individuelle réelle</x:v>
      </x:c>
      <x:c r="G165" s="79" t="str">
        <x:v>Alpha 1080×580 en CI</x:v>
      </x:c>
      <x:c r="H165" s="79" t="str">
        <x:v>Concept original</x:v>
      </x:c>
      <x:c r="I165" s="79" t="str">
        <x:v>0 / 1 : NON VALIDÉ 1:1</x:v>
      </x:c>
      <x:c r="J165" s="79" t="str">
        <x:v>https://github.com/darknigthmare/yautja-la-longue-chasse/actions/runs/41196187434/artifacts/13040272198</x:v>
      </x:c>
      <x:c r="K165" s="79" t="str">
        <x:v>Relever dimensions, UV, pose, charnière et source cinéma</x:v>
      </x:c>
    </x:row>
    <x:row r="166" ht="29" customHeight="1">
      <x:c r="A166" s="79" t="str">
        <x:v>phg-pirate</x:v>
      </x:c>
      <x:c r="B166" s="79" t="str">
        <x:v>Pirate · PHG</x:v>
      </x:c>
      <x:c r="C166" s="79" t="str">
        <x:v>V136</x:v>
      </x:c>
      <x:c r="D166" s="79" t="str">
        <x:v>03-interface.svg</x:v>
      </x:c>
      <x:c r="E166" s="79" t="str">
        <x:v>public/game/assets/v136/gauntlets/phg-pirate/03-interface.svg</x:v>
      </x:c>
      <x:c r="F166" s="79" t="str">
        <x:v>Source SVG individuelle réelle</x:v>
      </x:c>
      <x:c r="G166" s="79" t="str">
        <x:v>Alpha 1080×580 en CI</x:v>
      </x:c>
      <x:c r="H166" s="79" t="str">
        <x:v>Concept original</x:v>
      </x:c>
      <x:c r="I166" s="79" t="str">
        <x:v>0 / 1 : NON VALIDÉ 1:1</x:v>
      </x:c>
      <x:c r="J166" s="79" t="str">
        <x:v>https://github.com/darknigthmare/yautja-la-longue-chasse/actions/runs/41196187434/artifacts/13040272198</x:v>
      </x:c>
      <x:c r="K166" s="79" t="str">
        <x:v>Relever dimensions, UV, pose, charnière et source cinéma</x:v>
      </x:c>
    </x:row>
    <x:row r="167" ht="29" customHeight="1">
      <x:c r="A167" s="79" t="str">
        <x:v>phg-pirate</x:v>
      </x:c>
      <x:c r="B167" s="79" t="str">
        <x:v>Pirate · PHG</x:v>
      </x:c>
      <x:c r="C167" s="79" t="str">
        <x:v>V136</x:v>
      </x:c>
      <x:c r="D167" s="79" t="str">
        <x:v>04-lid.svg</x:v>
      </x:c>
      <x:c r="E167" s="79" t="str">
        <x:v>public/game/assets/v136/gauntlets/phg-pirate/04-lid.svg</x:v>
      </x:c>
      <x:c r="F167" s="79" t="str">
        <x:v>Source SVG individuelle réelle</x:v>
      </x:c>
      <x:c r="G167" s="79" t="str">
        <x:v>Alpha 1080×580 en CI</x:v>
      </x:c>
      <x:c r="H167" s="79" t="str">
        <x:v>Concept original</x:v>
      </x:c>
      <x:c r="I167" s="79" t="str">
        <x:v>0 / 1 : NON VALIDÉ 1:1</x:v>
      </x:c>
      <x:c r="J167" s="79" t="str">
        <x:v>https://github.com/darknigthmare/yautja-la-longue-chasse/actions/runs/41196187434/artifacts/13040272198</x:v>
      </x:c>
      <x:c r="K167" s="79" t="str">
        <x:v>Relever dimensions, UV, pose, charnière et source cinéma</x:v>
      </x:c>
    </x:row>
    <x:row r="168" ht="29" customHeight="1">
      <x:c r="A168" s="79" t="str">
        <x:v>phg-bionic</x:v>
      </x:c>
      <x:c r="B168" s="79" t="str">
        <x:v>Bionic · PHG</x:v>
      </x:c>
      <x:c r="C168" s="79" t="str">
        <x:v>V136</x:v>
      </x:c>
      <x:c r="D168" s="79" t="str">
        <x:v>01-arm.svg</x:v>
      </x:c>
      <x:c r="E168" s="79" t="str">
        <x:v>public/game/assets/v136/gauntlets/phg-bionic/01-arm.svg</x:v>
      </x:c>
      <x:c r="F168" s="79" t="str">
        <x:v>Source SVG individuelle réelle</x:v>
      </x:c>
      <x:c r="G168" s="79" t="str">
        <x:v>Alpha 1080×580 en CI</x:v>
      </x:c>
      <x:c r="H168" s="79" t="str">
        <x:v>Concept original</x:v>
      </x:c>
      <x:c r="I168" s="79" t="str">
        <x:v>0 / 1 : NON VALIDÉ 1:1</x:v>
      </x:c>
      <x:c r="J168" s="79" t="str">
        <x:v>https://github.com/darknigthmare/yautja-la-longue-chasse/actions/runs/41196187434/artifacts/13040272198</x:v>
      </x:c>
      <x:c r="K168" s="79" t="str">
        <x:v>Relever dimensions, UV, pose, charnière et source cinéma</x:v>
      </x:c>
    </x:row>
    <x:row r="169" ht="29" customHeight="1">
      <x:c r="A169" s="79" t="str">
        <x:v>phg-bionic</x:v>
      </x:c>
      <x:c r="B169" s="79" t="str">
        <x:v>Bionic · PHG</x:v>
      </x:c>
      <x:c r="C169" s="79" t="str">
        <x:v>V136</x:v>
      </x:c>
      <x:c r="D169" s="79" t="str">
        <x:v>02-shell.svg</x:v>
      </x:c>
      <x:c r="E169" s="79" t="str">
        <x:v>public/game/assets/v136/gauntlets/phg-bionic/02-shell.svg</x:v>
      </x:c>
      <x:c r="F169" s="79" t="str">
        <x:v>Source SVG individuelle réelle</x:v>
      </x:c>
      <x:c r="G169" s="79" t="str">
        <x:v>Alpha 1080×580 en CI</x:v>
      </x:c>
      <x:c r="H169" s="79" t="str">
        <x:v>Concept original</x:v>
      </x:c>
      <x:c r="I169" s="79" t="str">
        <x:v>0 / 1 : NON VALIDÉ 1:1</x:v>
      </x:c>
      <x:c r="J169" s="79" t="str">
        <x:v>https://github.com/darknigthmare/yautja-la-longue-chasse/actions/runs/41196187434/artifacts/13040272198</x:v>
      </x:c>
      <x:c r="K169" s="79" t="str">
        <x:v>Relever dimensions, UV, pose, charnière et source cinéma</x:v>
      </x:c>
    </x:row>
    <x:row r="170" ht="29" customHeight="1">
      <x:c r="A170" s="79" t="str">
        <x:v>phg-bionic</x:v>
      </x:c>
      <x:c r="B170" s="79" t="str">
        <x:v>Bionic · PHG</x:v>
      </x:c>
      <x:c r="C170" s="79" t="str">
        <x:v>V136</x:v>
      </x:c>
      <x:c r="D170" s="79" t="str">
        <x:v>03-interface.svg</x:v>
      </x:c>
      <x:c r="E170" s="79" t="str">
        <x:v>public/game/assets/v136/gauntlets/phg-bionic/03-interface.svg</x:v>
      </x:c>
      <x:c r="F170" s="79" t="str">
        <x:v>Source SVG individuelle réelle</x:v>
      </x:c>
      <x:c r="G170" s="79" t="str">
        <x:v>Alpha 1080×580 en CI</x:v>
      </x:c>
      <x:c r="H170" s="79" t="str">
        <x:v>Concept original</x:v>
      </x:c>
      <x:c r="I170" s="79" t="str">
        <x:v>0 / 1 : NON VALIDÉ 1:1</x:v>
      </x:c>
      <x:c r="J170" s="79" t="str">
        <x:v>https://github.com/darknigthmare/yautja-la-longue-chasse/actions/runs/41196187434/artifacts/13040272198</x:v>
      </x:c>
      <x:c r="K170" s="79" t="str">
        <x:v>Relever dimensions, UV, pose, charnière et source cinéma</x:v>
      </x:c>
    </x:row>
    <x:row r="171" ht="29" customHeight="1">
      <x:c r="A171" s="79" t="str">
        <x:v>phg-bionic</x:v>
      </x:c>
      <x:c r="B171" s="79" t="str">
        <x:v>Bionic · PHG</x:v>
      </x:c>
      <x:c r="C171" s="79" t="str">
        <x:v>V136</x:v>
      </x:c>
      <x:c r="D171" s="79" t="str">
        <x:v>04-lid.svg</x:v>
      </x:c>
      <x:c r="E171" s="79" t="str">
        <x:v>public/game/assets/v136/gauntlets/phg-bionic/04-lid.svg</x:v>
      </x:c>
      <x:c r="F171" s="79" t="str">
        <x:v>Source SVG individuelle réelle</x:v>
      </x:c>
      <x:c r="G171" s="79" t="str">
        <x:v>Alpha 1080×580 en CI</x:v>
      </x:c>
      <x:c r="H171" s="79" t="str">
        <x:v>Concept original</x:v>
      </x:c>
      <x:c r="I171" s="79" t="str">
        <x:v>0 / 1 : NON VALIDÉ 1:1</x:v>
      </x:c>
      <x:c r="J171" s="79" t="str">
        <x:v>https://github.com/darknigthmare/yautja-la-longue-chasse/actions/runs/41196187434/artifacts/13040272198</x:v>
      </x:c>
      <x:c r="K171" s="79" t="str">
        <x:v>Relever dimensions, UV, pose, charnière et source cinéma</x:v>
      </x:c>
    </x:row>
    <x:row r="172" ht="29" customHeight="1">
      <x:c r="A172" s="79" t="str">
        <x:v>phg-emissary</x:v>
      </x:c>
      <x:c r="B172" s="79" t="str">
        <x:v>Emissary · PHG</x:v>
      </x:c>
      <x:c r="C172" s="79" t="str">
        <x:v>V136</x:v>
      </x:c>
      <x:c r="D172" s="79" t="str">
        <x:v>01-arm.svg</x:v>
      </x:c>
      <x:c r="E172" s="79" t="str">
        <x:v>public/game/assets/v136/gauntlets/phg-emissary/01-arm.svg</x:v>
      </x:c>
      <x:c r="F172" s="79" t="str">
        <x:v>Source SVG individuelle réelle</x:v>
      </x:c>
      <x:c r="G172" s="79" t="str">
        <x:v>Alpha 1080×580 en CI</x:v>
      </x:c>
      <x:c r="H172" s="79" t="str">
        <x:v>Concept original</x:v>
      </x:c>
      <x:c r="I172" s="79" t="str">
        <x:v>0 / 1 : NON VALIDÉ 1:1</x:v>
      </x:c>
      <x:c r="J172" s="79" t="str">
        <x:v>https://github.com/darknigthmare/yautja-la-longue-chasse/actions/runs/41196187434/artifacts/13040272198</x:v>
      </x:c>
      <x:c r="K172" s="79" t="str">
        <x:v>Relever dimensions, UV, pose, charnière et source cinéma</x:v>
      </x:c>
    </x:row>
    <x:row r="173" ht="29" customHeight="1">
      <x:c r="A173" s="79" t="str">
        <x:v>phg-emissary</x:v>
      </x:c>
      <x:c r="B173" s="79" t="str">
        <x:v>Emissary · PHG</x:v>
      </x:c>
      <x:c r="C173" s="79" t="str">
        <x:v>V136</x:v>
      </x:c>
      <x:c r="D173" s="79" t="str">
        <x:v>02-shell.svg</x:v>
      </x:c>
      <x:c r="E173" s="79" t="str">
        <x:v>public/game/assets/v136/gauntlets/phg-emissary/02-shell.svg</x:v>
      </x:c>
      <x:c r="F173" s="79" t="str">
        <x:v>Source SVG individuelle réelle</x:v>
      </x:c>
      <x:c r="G173" s="79" t="str">
        <x:v>Alpha 1080×580 en CI</x:v>
      </x:c>
      <x:c r="H173" s="79" t="str">
        <x:v>Concept original</x:v>
      </x:c>
      <x:c r="I173" s="79" t="str">
        <x:v>0 / 1 : NON VALIDÉ 1:1</x:v>
      </x:c>
      <x:c r="J173" s="79" t="str">
        <x:v>https://github.com/darknigthmare/yautja-la-longue-chasse/actions/runs/41196187434/artifacts/13040272198</x:v>
      </x:c>
      <x:c r="K173" s="79" t="str">
        <x:v>Relever dimensions, UV, pose, charnière et source cinéma</x:v>
      </x:c>
    </x:row>
    <x:row r="174" ht="29" customHeight="1">
      <x:c r="A174" s="79" t="str">
        <x:v>phg-emissary</x:v>
      </x:c>
      <x:c r="B174" s="79" t="str">
        <x:v>Emissary · PHG</x:v>
      </x:c>
      <x:c r="C174" s="79" t="str">
        <x:v>V136</x:v>
      </x:c>
      <x:c r="D174" s="79" t="str">
        <x:v>03-interface.svg</x:v>
      </x:c>
      <x:c r="E174" s="79" t="str">
        <x:v>public/game/assets/v136/gauntlets/phg-emissary/03-interface.svg</x:v>
      </x:c>
      <x:c r="F174" s="79" t="str">
        <x:v>Source SVG individuelle réelle</x:v>
      </x:c>
      <x:c r="G174" s="79" t="str">
        <x:v>Alpha 1080×580 en CI</x:v>
      </x:c>
      <x:c r="H174" s="79" t="str">
        <x:v>Concept original</x:v>
      </x:c>
      <x:c r="I174" s="79" t="str">
        <x:v>0 / 1 : NON VALIDÉ 1:1</x:v>
      </x:c>
      <x:c r="J174" s="79" t="str">
        <x:v>https://github.com/darknigthmare/yautja-la-longue-chasse/actions/runs/41196187434/artifacts/13040272198</x:v>
      </x:c>
      <x:c r="K174" s="79" t="str">
        <x:v>Relever dimensions, UV, pose, charnière et source cinéma</x:v>
      </x:c>
    </x:row>
    <x:row r="175" ht="29" customHeight="1">
      <x:c r="A175" s="79" t="str">
        <x:v>phg-emissary</x:v>
      </x:c>
      <x:c r="B175" s="79" t="str">
        <x:v>Emissary · PHG</x:v>
      </x:c>
      <x:c r="C175" s="79" t="str">
        <x:v>V136</x:v>
      </x:c>
      <x:c r="D175" s="79" t="str">
        <x:v>04-lid.svg</x:v>
      </x:c>
      <x:c r="E175" s="79" t="str">
        <x:v>public/game/assets/v136/gauntlets/phg-emissary/04-lid.svg</x:v>
      </x:c>
      <x:c r="F175" s="79" t="str">
        <x:v>Source SVG individuelle réelle</x:v>
      </x:c>
      <x:c r="G175" s="79" t="str">
        <x:v>Alpha 1080×580 en CI</x:v>
      </x:c>
      <x:c r="H175" s="79" t="str">
        <x:v>Concept original</x:v>
      </x:c>
      <x:c r="I175" s="79" t="str">
        <x:v>0 / 1 : NON VALIDÉ 1:1</x:v>
      </x:c>
      <x:c r="J175" s="79" t="str">
        <x:v>https://github.com/darknigthmare/yautja-la-longue-chasse/actions/runs/41196187434/artifacts/13040272198</x:v>
      </x:c>
      <x:c r="K175" s="79" t="str">
        <x:v>Relever dimensions, UV, pose, charnière et source cinéma</x:v>
      </x:c>
    </x:row>
    <x:row r="176" ht="29" customHeight="1">
      <x:c r="A176" s="79" t="str">
        <x:v>phg-oni</x:v>
      </x:c>
      <x:c r="B176" s="79" t="str">
        <x:v>Oni · PHG</x:v>
      </x:c>
      <x:c r="C176" s="79" t="str">
        <x:v>V136</x:v>
      </x:c>
      <x:c r="D176" s="79" t="str">
        <x:v>01-arm.svg</x:v>
      </x:c>
      <x:c r="E176" s="79" t="str">
        <x:v>public/game/assets/v136/gauntlets/phg-oni/01-arm.svg</x:v>
      </x:c>
      <x:c r="F176" s="79" t="str">
        <x:v>Source SVG individuelle réelle</x:v>
      </x:c>
      <x:c r="G176" s="79" t="str">
        <x:v>Alpha 1080×580 en CI</x:v>
      </x:c>
      <x:c r="H176" s="79" t="str">
        <x:v>Concept original</x:v>
      </x:c>
      <x:c r="I176" s="79" t="str">
        <x:v>0 / 1 : NON VALIDÉ 1:1</x:v>
      </x:c>
      <x:c r="J176" s="79" t="str">
        <x:v>https://github.com/darknigthmare/yautja-la-longue-chasse/actions/runs/41196187434/artifacts/13040272198</x:v>
      </x:c>
      <x:c r="K176" s="79" t="str">
        <x:v>Relever dimensions, UV, pose, charnière et source cinéma</x:v>
      </x:c>
    </x:row>
    <x:row r="177" ht="29" customHeight="1">
      <x:c r="A177" s="79" t="str">
        <x:v>phg-oni</x:v>
      </x:c>
      <x:c r="B177" s="79" t="str">
        <x:v>Oni · PHG</x:v>
      </x:c>
      <x:c r="C177" s="79" t="str">
        <x:v>V136</x:v>
      </x:c>
      <x:c r="D177" s="79" t="str">
        <x:v>02-shell.svg</x:v>
      </x:c>
      <x:c r="E177" s="79" t="str">
        <x:v>public/game/assets/v136/gauntlets/phg-oni/02-shell.svg</x:v>
      </x:c>
      <x:c r="F177" s="79" t="str">
        <x:v>Source SVG individuelle réelle</x:v>
      </x:c>
      <x:c r="G177" s="79" t="str">
        <x:v>Alpha 1080×580 en CI</x:v>
      </x:c>
      <x:c r="H177" s="79" t="str">
        <x:v>Concept original</x:v>
      </x:c>
      <x:c r="I177" s="79" t="str">
        <x:v>0 / 1 : NON VALIDÉ 1:1</x:v>
      </x:c>
      <x:c r="J177" s="79" t="str">
        <x:v>https://github.com/darknigthmare/yautja-la-longue-chasse/actions/runs/41196187434/artifacts/13040272198</x:v>
      </x:c>
      <x:c r="K177" s="79" t="str">
        <x:v>Relever dimensions, UV, pose, charnière et source cinéma</x:v>
      </x:c>
    </x:row>
    <x:row r="178" ht="29" customHeight="1">
      <x:c r="A178" s="79" t="str">
        <x:v>phg-oni</x:v>
      </x:c>
      <x:c r="B178" s="79" t="str">
        <x:v>Oni · PHG</x:v>
      </x:c>
      <x:c r="C178" s="79" t="str">
        <x:v>V136</x:v>
      </x:c>
      <x:c r="D178" s="79" t="str">
        <x:v>03-interface.svg</x:v>
      </x:c>
      <x:c r="E178" s="79" t="str">
        <x:v>public/game/assets/v136/gauntlets/phg-oni/03-interface.svg</x:v>
      </x:c>
      <x:c r="F178" s="79" t="str">
        <x:v>Source SVG individuelle réelle</x:v>
      </x:c>
      <x:c r="G178" s="79" t="str">
        <x:v>Alpha 1080×580 en CI</x:v>
      </x:c>
      <x:c r="H178" s="79" t="str">
        <x:v>Concept original</x:v>
      </x:c>
      <x:c r="I178" s="79" t="str">
        <x:v>0 / 1 : NON VALIDÉ 1:1</x:v>
      </x:c>
      <x:c r="J178" s="79" t="str">
        <x:v>https://github.com/darknigthmare/yautja-la-longue-chasse/actions/runs/41196187434/artifacts/13040272198</x:v>
      </x:c>
      <x:c r="K178" s="79" t="str">
        <x:v>Relever dimensions, UV, pose, charnière et source cinéma</x:v>
      </x:c>
    </x:row>
    <x:row r="179" ht="29" customHeight="1">
      <x:c r="A179" s="79" t="str">
        <x:v>phg-oni</x:v>
      </x:c>
      <x:c r="B179" s="79" t="str">
        <x:v>Oni · PHG</x:v>
      </x:c>
      <x:c r="C179" s="79" t="str">
        <x:v>V136</x:v>
      </x:c>
      <x:c r="D179" s="79" t="str">
        <x:v>04-lid.svg</x:v>
      </x:c>
      <x:c r="E179" s="79" t="str">
        <x:v>public/game/assets/v136/gauntlets/phg-oni/04-lid.svg</x:v>
      </x:c>
      <x:c r="F179" s="79" t="str">
        <x:v>Source SVG individuelle réelle</x:v>
      </x:c>
      <x:c r="G179" s="79" t="str">
        <x:v>Alpha 1080×580 en CI</x:v>
      </x:c>
      <x:c r="H179" s="79" t="str">
        <x:v>Concept original</x:v>
      </x:c>
      <x:c r="I179" s="79" t="str">
        <x:v>0 / 1 : NON VALIDÉ 1:1</x:v>
      </x:c>
      <x:c r="J179" s="79" t="str">
        <x:v>https://github.com/darknigthmare/yautja-la-longue-chasse/actions/runs/41196187434/artifacts/13040272198</x:v>
      </x:c>
      <x:c r="K179" s="79" t="str">
        <x:v>Relever dimensions, UV, pose, charnière et source cinéma</x:v>
      </x:c>
    </x:row>
    <x:row r="180" ht="29" customHeight="1">
      <x:c r="A180" s="79" t="str">
        <x:v>phg-witch</x:v>
      </x:c>
      <x:c r="B180" s="79" t="str">
        <x:v>Witch · PHG</x:v>
      </x:c>
      <x:c r="C180" s="79" t="str">
        <x:v>V136</x:v>
      </x:c>
      <x:c r="D180" s="79" t="str">
        <x:v>01-arm.svg</x:v>
      </x:c>
      <x:c r="E180" s="79" t="str">
        <x:v>public/game/assets/v136/gauntlets/phg-witch/01-arm.svg</x:v>
      </x:c>
      <x:c r="F180" s="79" t="str">
        <x:v>Source SVG individuelle réelle</x:v>
      </x:c>
      <x:c r="G180" s="79" t="str">
        <x:v>Alpha 1080×580 en CI</x:v>
      </x:c>
      <x:c r="H180" s="79" t="str">
        <x:v>Concept original</x:v>
      </x:c>
      <x:c r="I180" s="79" t="str">
        <x:v>0 / 1 : NON VALIDÉ 1:1</x:v>
      </x:c>
      <x:c r="J180" s="79" t="str">
        <x:v>https://github.com/darknigthmare/yautja-la-longue-chasse/actions/runs/41196187434/artifacts/13040272198</x:v>
      </x:c>
      <x:c r="K180" s="79" t="str">
        <x:v>Relever dimensions, UV, pose, charnière et source cinéma</x:v>
      </x:c>
    </x:row>
    <x:row r="181" ht="29" customHeight="1">
      <x:c r="A181" s="79" t="str">
        <x:v>phg-witch</x:v>
      </x:c>
      <x:c r="B181" s="79" t="str">
        <x:v>Witch · PHG</x:v>
      </x:c>
      <x:c r="C181" s="79" t="str">
        <x:v>V136</x:v>
      </x:c>
      <x:c r="D181" s="79" t="str">
        <x:v>02-shell.svg</x:v>
      </x:c>
      <x:c r="E181" s="79" t="str">
        <x:v>public/game/assets/v136/gauntlets/phg-witch/02-shell.svg</x:v>
      </x:c>
      <x:c r="F181" s="79" t="str">
        <x:v>Source SVG individuelle réelle</x:v>
      </x:c>
      <x:c r="G181" s="79" t="str">
        <x:v>Alpha 1080×580 en CI</x:v>
      </x:c>
      <x:c r="H181" s="79" t="str">
        <x:v>Concept original</x:v>
      </x:c>
      <x:c r="I181" s="79" t="str">
        <x:v>0 / 1 : NON VALIDÉ 1:1</x:v>
      </x:c>
      <x:c r="J181" s="79" t="str">
        <x:v>https://github.com/darknigthmare/yautja-la-longue-chasse/actions/runs/41196187434/artifacts/13040272198</x:v>
      </x:c>
      <x:c r="K181" s="79" t="str">
        <x:v>Relever dimensions, UV, pose, charnière et source cinéma</x:v>
      </x:c>
    </x:row>
    <x:row r="182" ht="29" customHeight="1">
      <x:c r="A182" s="79" t="str">
        <x:v>phg-witch</x:v>
      </x:c>
      <x:c r="B182" s="79" t="str">
        <x:v>Witch · PHG</x:v>
      </x:c>
      <x:c r="C182" s="79" t="str">
        <x:v>V136</x:v>
      </x:c>
      <x:c r="D182" s="79" t="str">
        <x:v>03-interface.svg</x:v>
      </x:c>
      <x:c r="E182" s="79" t="str">
        <x:v>public/game/assets/v136/gauntlets/phg-witch/03-interface.svg</x:v>
      </x:c>
      <x:c r="F182" s="79" t="str">
        <x:v>Source SVG individuelle réelle</x:v>
      </x:c>
      <x:c r="G182" s="79" t="str">
        <x:v>Alpha 1080×580 en CI</x:v>
      </x:c>
      <x:c r="H182" s="79" t="str">
        <x:v>Concept original</x:v>
      </x:c>
      <x:c r="I182" s="79" t="str">
        <x:v>0 / 1 : NON VALIDÉ 1:1</x:v>
      </x:c>
      <x:c r="J182" s="79" t="str">
        <x:v>https://github.com/darknigthmare/yautja-la-longue-chasse/actions/runs/41196187434/artifacts/13040272198</x:v>
      </x:c>
      <x:c r="K182" s="79" t="str">
        <x:v>Relever dimensions, UV, pose, charnière et source cinéma</x:v>
      </x:c>
    </x:row>
    <x:row r="183" ht="29" customHeight="1">
      <x:c r="A183" s="79" t="str">
        <x:v>phg-witch</x:v>
      </x:c>
      <x:c r="B183" s="79" t="str">
        <x:v>Witch · PHG</x:v>
      </x:c>
      <x:c r="C183" s="79" t="str">
        <x:v>V136</x:v>
      </x:c>
      <x:c r="D183" s="79" t="str">
        <x:v>04-lid.svg</x:v>
      </x:c>
      <x:c r="E183" s="79" t="str">
        <x:v>public/game/assets/v136/gauntlets/phg-witch/04-lid.svg</x:v>
      </x:c>
      <x:c r="F183" s="79" t="str">
        <x:v>Source SVG individuelle réelle</x:v>
      </x:c>
      <x:c r="G183" s="79" t="str">
        <x:v>Alpha 1080×580 en CI</x:v>
      </x:c>
      <x:c r="H183" s="79" t="str">
        <x:v>Concept original</x:v>
      </x:c>
      <x:c r="I183" s="79" t="str">
        <x:v>0 / 1 : NON VALIDÉ 1:1</x:v>
      </x:c>
      <x:c r="J183" s="79" t="str">
        <x:v>https://github.com/darknigthmare/yautja-la-longue-chasse/actions/runs/41196187434/artifacts/13040272198</x:v>
      </x:c>
      <x:c r="K183" s="79" t="str">
        <x:v>Relever dimensions, UV, pose, charnière et source cinéma</x:v>
      </x:c>
    </x:row>
    <x:row r="184" ht="29" customHeight="1">
      <x:c r="A184" s="79" t="str">
        <x:v>phg-father</x:v>
      </x:c>
      <x:c r="B184" s="79" t="str">
        <x:v>Father · PHG</x:v>
      </x:c>
      <x:c r="C184" s="79" t="str">
        <x:v>V136</x:v>
      </x:c>
      <x:c r="D184" s="79" t="str">
        <x:v>01-arm.svg</x:v>
      </x:c>
      <x:c r="E184" s="79" t="str">
        <x:v>public/game/assets/v136/gauntlets/phg-father/01-arm.svg</x:v>
      </x:c>
      <x:c r="F184" s="79" t="str">
        <x:v>Source SVG individuelle réelle</x:v>
      </x:c>
      <x:c r="G184" s="79" t="str">
        <x:v>Alpha 1080×580 en CI</x:v>
      </x:c>
      <x:c r="H184" s="79" t="str">
        <x:v>Concept original</x:v>
      </x:c>
      <x:c r="I184" s="79" t="str">
        <x:v>0 / 1 : NON VALIDÉ 1:1</x:v>
      </x:c>
      <x:c r="J184" s="79" t="str">
        <x:v>https://github.com/darknigthmare/yautja-la-longue-chasse/actions/runs/41196187434/artifacts/13040272198</x:v>
      </x:c>
      <x:c r="K184" s="79" t="str">
        <x:v>Relever dimensions, UV, pose, charnière et source cinéma</x:v>
      </x:c>
    </x:row>
    <x:row r="185" ht="29" customHeight="1">
      <x:c r="A185" s="79" t="str">
        <x:v>phg-father</x:v>
      </x:c>
      <x:c r="B185" s="79" t="str">
        <x:v>Father · PHG</x:v>
      </x:c>
      <x:c r="C185" s="79" t="str">
        <x:v>V136</x:v>
      </x:c>
      <x:c r="D185" s="79" t="str">
        <x:v>02-shell.svg</x:v>
      </x:c>
      <x:c r="E185" s="79" t="str">
        <x:v>public/game/assets/v136/gauntlets/phg-father/02-shell.svg</x:v>
      </x:c>
      <x:c r="F185" s="79" t="str">
        <x:v>Source SVG individuelle réelle</x:v>
      </x:c>
      <x:c r="G185" s="79" t="str">
        <x:v>Alpha 1080×580 en CI</x:v>
      </x:c>
      <x:c r="H185" s="79" t="str">
        <x:v>Concept original</x:v>
      </x:c>
      <x:c r="I185" s="79" t="str">
        <x:v>0 / 1 : NON VALIDÉ 1:1</x:v>
      </x:c>
      <x:c r="J185" s="79" t="str">
        <x:v>https://github.com/darknigthmare/yautja-la-longue-chasse/actions/runs/41196187434/artifacts/13040272198</x:v>
      </x:c>
      <x:c r="K185" s="79" t="str">
        <x:v>Relever dimensions, UV, pose, charnière et source cinéma</x:v>
      </x:c>
    </x:row>
    <x:row r="186" ht="29" customHeight="1">
      <x:c r="A186" s="79" t="str">
        <x:v>phg-father</x:v>
      </x:c>
      <x:c r="B186" s="79" t="str">
        <x:v>Father · PHG</x:v>
      </x:c>
      <x:c r="C186" s="79" t="str">
        <x:v>V136</x:v>
      </x:c>
      <x:c r="D186" s="79" t="str">
        <x:v>03-interface.svg</x:v>
      </x:c>
      <x:c r="E186" s="79" t="str">
        <x:v>public/game/assets/v136/gauntlets/phg-father/03-interface.svg</x:v>
      </x:c>
      <x:c r="F186" s="79" t="str">
        <x:v>Source SVG individuelle réelle</x:v>
      </x:c>
      <x:c r="G186" s="79" t="str">
        <x:v>Alpha 1080×580 en CI</x:v>
      </x:c>
      <x:c r="H186" s="79" t="str">
        <x:v>Concept original</x:v>
      </x:c>
      <x:c r="I186" s="79" t="str">
        <x:v>0 / 1 : NON VALIDÉ 1:1</x:v>
      </x:c>
      <x:c r="J186" s="79" t="str">
        <x:v>https://github.com/darknigthmare/yautja-la-longue-chasse/actions/runs/41196187434/artifacts/13040272198</x:v>
      </x:c>
      <x:c r="K186" s="79" t="str">
        <x:v>Relever dimensions, UV, pose, charnière et source cinéma</x:v>
      </x:c>
    </x:row>
    <x:row r="187" ht="29" customHeight="1">
      <x:c r="A187" s="79" t="str">
        <x:v>phg-father</x:v>
      </x:c>
      <x:c r="B187" s="79" t="str">
        <x:v>Father · PHG</x:v>
      </x:c>
      <x:c r="C187" s="79" t="str">
        <x:v>V136</x:v>
      </x:c>
      <x:c r="D187" s="79" t="str">
        <x:v>04-lid.svg</x:v>
      </x:c>
      <x:c r="E187" s="79" t="str">
        <x:v>public/game/assets/v136/gauntlets/phg-father/04-lid.svg</x:v>
      </x:c>
      <x:c r="F187" s="79" t="str">
        <x:v>Source SVG individuelle réelle</x:v>
      </x:c>
      <x:c r="G187" s="79" t="str">
        <x:v>Alpha 1080×580 en CI</x:v>
      </x:c>
      <x:c r="H187" s="79" t="str">
        <x:v>Concept original</x:v>
      </x:c>
      <x:c r="I187" s="79" t="str">
        <x:v>0 / 1 : NON VALIDÉ 1:1</x:v>
      </x:c>
      <x:c r="J187" s="79" t="str">
        <x:v>https://github.com/darknigthmare/yautja-la-longue-chasse/actions/runs/41196187434/artifacts/13040272198</x:v>
      </x:c>
      <x:c r="K187" s="79" t="str">
        <x:v>Relever dimensions, UV, pose, charnière et source cinéma</x:v>
      </x:c>
    </x:row>
    <x:row r="188" ht="29" customHeight="1">
      <x:c r="A188" s="79" t="str">
        <x:v>phg-jotun</x:v>
      </x:c>
      <x:c r="B188" s="79" t="str">
        <x:v>Jotun · PHG</x:v>
      </x:c>
      <x:c r="C188" s="79" t="str">
        <x:v>V136</x:v>
      </x:c>
      <x:c r="D188" s="79" t="str">
        <x:v>01-arm.svg</x:v>
      </x:c>
      <x:c r="E188" s="79" t="str">
        <x:v>public/game/assets/v136/gauntlets/phg-jotun/01-arm.svg</x:v>
      </x:c>
      <x:c r="F188" s="79" t="str">
        <x:v>Source SVG individuelle réelle</x:v>
      </x:c>
      <x:c r="G188" s="79" t="str">
        <x:v>Alpha 1080×580 en CI</x:v>
      </x:c>
      <x:c r="H188" s="79" t="str">
        <x:v>Concept original</x:v>
      </x:c>
      <x:c r="I188" s="79" t="str">
        <x:v>0 / 1 : NON VALIDÉ 1:1</x:v>
      </x:c>
      <x:c r="J188" s="79" t="str">
        <x:v>https://github.com/darknigthmare/yautja-la-longue-chasse/actions/runs/41196187434/artifacts/13040272198</x:v>
      </x:c>
      <x:c r="K188" s="79" t="str">
        <x:v>Relever dimensions, UV, pose, charnière et source cinéma</x:v>
      </x:c>
    </x:row>
    <x:row r="189" ht="29" customHeight="1">
      <x:c r="A189" s="79" t="str">
        <x:v>phg-jotun</x:v>
      </x:c>
      <x:c r="B189" s="79" t="str">
        <x:v>Jotun · PHG</x:v>
      </x:c>
      <x:c r="C189" s="79" t="str">
        <x:v>V136</x:v>
      </x:c>
      <x:c r="D189" s="79" t="str">
        <x:v>02-shell.svg</x:v>
      </x:c>
      <x:c r="E189" s="79" t="str">
        <x:v>public/game/assets/v136/gauntlets/phg-jotun/02-shell.svg</x:v>
      </x:c>
      <x:c r="F189" s="79" t="str">
        <x:v>Source SVG individuelle réelle</x:v>
      </x:c>
      <x:c r="G189" s="79" t="str">
        <x:v>Alpha 1080×580 en CI</x:v>
      </x:c>
      <x:c r="H189" s="79" t="str">
        <x:v>Concept original</x:v>
      </x:c>
      <x:c r="I189" s="79" t="str">
        <x:v>0 / 1 : NON VALIDÉ 1:1</x:v>
      </x:c>
      <x:c r="J189" s="79" t="str">
        <x:v>https://github.com/darknigthmare/yautja-la-longue-chasse/actions/runs/41196187434/artifacts/13040272198</x:v>
      </x:c>
      <x:c r="K189" s="79" t="str">
        <x:v>Relever dimensions, UV, pose, charnière et source cinéma</x:v>
      </x:c>
    </x:row>
    <x:row r="190" ht="29" customHeight="1">
      <x:c r="A190" s="79" t="str">
        <x:v>phg-jotun</x:v>
      </x:c>
      <x:c r="B190" s="79" t="str">
        <x:v>Jotun · PHG</x:v>
      </x:c>
      <x:c r="C190" s="79" t="str">
        <x:v>V136</x:v>
      </x:c>
      <x:c r="D190" s="79" t="str">
        <x:v>03-interface.svg</x:v>
      </x:c>
      <x:c r="E190" s="79" t="str">
        <x:v>public/game/assets/v136/gauntlets/phg-jotun/03-interface.svg</x:v>
      </x:c>
      <x:c r="F190" s="79" t="str">
        <x:v>Source SVG individuelle réelle</x:v>
      </x:c>
      <x:c r="G190" s="79" t="str">
        <x:v>Alpha 1080×580 en CI</x:v>
      </x:c>
      <x:c r="H190" s="79" t="str">
        <x:v>Concept original</x:v>
      </x:c>
      <x:c r="I190" s="79" t="str">
        <x:v>0 / 1 : NON VALIDÉ 1:1</x:v>
      </x:c>
      <x:c r="J190" s="79" t="str">
        <x:v>https://github.com/darknigthmare/yautja-la-longue-chasse/actions/runs/41196187434/artifacts/13040272198</x:v>
      </x:c>
      <x:c r="K190" s="79" t="str">
        <x:v>Relever dimensions, UV, pose, charnière et source cinéma</x:v>
      </x:c>
    </x:row>
    <x:row r="191" ht="29" customHeight="1">
      <x:c r="A191" s="79" t="str">
        <x:v>phg-jotun</x:v>
      </x:c>
      <x:c r="B191" s="79" t="str">
        <x:v>Jotun · PHG</x:v>
      </x:c>
      <x:c r="C191" s="79" t="str">
        <x:v>V136</x:v>
      </x:c>
      <x:c r="D191" s="79" t="str">
        <x:v>04-lid.svg</x:v>
      </x:c>
      <x:c r="E191" s="79" t="str">
        <x:v>public/game/assets/v136/gauntlets/phg-jotun/04-lid.svg</x:v>
      </x:c>
      <x:c r="F191" s="79" t="str">
        <x:v>Source SVG individuelle réelle</x:v>
      </x:c>
      <x:c r="G191" s="79" t="str">
        <x:v>Alpha 1080×580 en CI</x:v>
      </x:c>
      <x:c r="H191" s="79" t="str">
        <x:v>Concept original</x:v>
      </x:c>
      <x:c r="I191" s="79" t="str">
        <x:v>0 / 1 : NON VALIDÉ 1:1</x:v>
      </x:c>
      <x:c r="J191" s="79" t="str">
        <x:v>https://github.com/darknigthmare/yautja-la-longue-chasse/actions/runs/41196187434/artifacts/13040272198</x:v>
      </x:c>
      <x:c r="K191" s="79" t="str">
        <x:v>Relever dimensions, UV, pose, charnière et source cinéma</x:v>
      </x:c>
    </x:row>
    <x:row r="192" ht="29" customHeight="1">
      <x:c r="A192" s="79" t="str">
        <x:v>phg-exalted</x:v>
      </x:c>
      <x:c r="B192" s="79" t="str">
        <x:v>Exalted · PHG</x:v>
      </x:c>
      <x:c r="C192" s="79" t="str">
        <x:v>V136</x:v>
      </x:c>
      <x:c r="D192" s="79" t="str">
        <x:v>01-arm.svg</x:v>
      </x:c>
      <x:c r="E192" s="79" t="str">
        <x:v>public/game/assets/v136/gauntlets/phg-exalted/01-arm.svg</x:v>
      </x:c>
      <x:c r="F192" s="79" t="str">
        <x:v>Source SVG individuelle réelle</x:v>
      </x:c>
      <x:c r="G192" s="79" t="str">
        <x:v>Alpha 1080×580 en CI</x:v>
      </x:c>
      <x:c r="H192" s="79" t="str">
        <x:v>Concept original</x:v>
      </x:c>
      <x:c r="I192" s="79" t="str">
        <x:v>0 / 1 : NON VALIDÉ 1:1</x:v>
      </x:c>
      <x:c r="J192" s="79" t="str">
        <x:v>https://github.com/darknigthmare/yautja-la-longue-chasse/actions/runs/41196187434/artifacts/13040272198</x:v>
      </x:c>
      <x:c r="K192" s="79" t="str">
        <x:v>Relever dimensions, UV, pose, charnière et source cinéma</x:v>
      </x:c>
    </x:row>
    <x:row r="193" ht="29" customHeight="1">
      <x:c r="A193" s="79" t="str">
        <x:v>phg-exalted</x:v>
      </x:c>
      <x:c r="B193" s="79" t="str">
        <x:v>Exalted · PHG</x:v>
      </x:c>
      <x:c r="C193" s="79" t="str">
        <x:v>V136</x:v>
      </x:c>
      <x:c r="D193" s="79" t="str">
        <x:v>02-shell.svg</x:v>
      </x:c>
      <x:c r="E193" s="79" t="str">
        <x:v>public/game/assets/v136/gauntlets/phg-exalted/02-shell.svg</x:v>
      </x:c>
      <x:c r="F193" s="79" t="str">
        <x:v>Source SVG individuelle réelle</x:v>
      </x:c>
      <x:c r="G193" s="79" t="str">
        <x:v>Alpha 1080×580 en CI</x:v>
      </x:c>
      <x:c r="H193" s="79" t="str">
        <x:v>Concept original</x:v>
      </x:c>
      <x:c r="I193" s="79" t="str">
        <x:v>0 / 1 : NON VALIDÉ 1:1</x:v>
      </x:c>
      <x:c r="J193" s="79" t="str">
        <x:v>https://github.com/darknigthmare/yautja-la-longue-chasse/actions/runs/41196187434/artifacts/13040272198</x:v>
      </x:c>
      <x:c r="K193" s="79" t="str">
        <x:v>Relever dimensions, UV, pose, charnière et source cinéma</x:v>
      </x:c>
    </x:row>
    <x:row r="194" ht="29" customHeight="1">
      <x:c r="A194" s="79" t="str">
        <x:v>phg-exalted</x:v>
      </x:c>
      <x:c r="B194" s="79" t="str">
        <x:v>Exalted · PHG</x:v>
      </x:c>
      <x:c r="C194" s="79" t="str">
        <x:v>V136</x:v>
      </x:c>
      <x:c r="D194" s="79" t="str">
        <x:v>03-interface.svg</x:v>
      </x:c>
      <x:c r="E194" s="79" t="str">
        <x:v>public/game/assets/v136/gauntlets/phg-exalted/03-interface.svg</x:v>
      </x:c>
      <x:c r="F194" s="79" t="str">
        <x:v>Source SVG individuelle réelle</x:v>
      </x:c>
      <x:c r="G194" s="79" t="str">
        <x:v>Alpha 1080×580 en CI</x:v>
      </x:c>
      <x:c r="H194" s="79" t="str">
        <x:v>Concept original</x:v>
      </x:c>
      <x:c r="I194" s="79" t="str">
        <x:v>0 / 1 : NON VALIDÉ 1:1</x:v>
      </x:c>
      <x:c r="J194" s="79" t="str">
        <x:v>https://github.com/darknigthmare/yautja-la-longue-chasse/actions/runs/41196187434/artifacts/13040272198</x:v>
      </x:c>
      <x:c r="K194" s="79" t="str">
        <x:v>Relever dimensions, UV, pose, charnière et source cinéma</x:v>
      </x:c>
    </x:row>
    <x:row r="195" ht="29" customHeight="1">
      <x:c r="A195" s="79" t="str">
        <x:v>phg-exalted</x:v>
      </x:c>
      <x:c r="B195" s="79" t="str">
        <x:v>Exalted · PHG</x:v>
      </x:c>
      <x:c r="C195" s="79" t="str">
        <x:v>V136</x:v>
      </x:c>
      <x:c r="D195" s="79" t="str">
        <x:v>04-lid.svg</x:v>
      </x:c>
      <x:c r="E195" s="79" t="str">
        <x:v>public/game/assets/v136/gauntlets/phg-exalted/04-lid.svg</x:v>
      </x:c>
      <x:c r="F195" s="79" t="str">
        <x:v>Source SVG individuelle réelle</x:v>
      </x:c>
      <x:c r="G195" s="79" t="str">
        <x:v>Alpha 1080×580 en CI</x:v>
      </x:c>
      <x:c r="H195" s="79" t="str">
        <x:v>Concept original</x:v>
      </x:c>
      <x:c r="I195" s="79" t="str">
        <x:v>0 / 1 : NON VALIDÉ 1:1</x:v>
      </x:c>
      <x:c r="J195" s="79" t="str">
        <x:v>https://github.com/darknigthmare/yautja-la-longue-chasse/actions/runs/41196187434/artifacts/13040272198</x:v>
      </x:c>
      <x:c r="K195" s="79" t="str">
        <x:v>Relever dimensions, UV, pose, charnière et source cinéma</x:v>
      </x:c>
    </x:row>
    <x:row r="196" ht="29" customHeight="1">
      <x:c r="A196" s="79" t="str">
        <x:v>phg-anubis</x:v>
      </x:c>
      <x:c r="B196" s="79" t="str">
        <x:v>Anubis · PHG</x:v>
      </x:c>
      <x:c r="C196" s="79" t="str">
        <x:v>V136</x:v>
      </x:c>
      <x:c r="D196" s="79" t="str">
        <x:v>01-arm.svg</x:v>
      </x:c>
      <x:c r="E196" s="79" t="str">
        <x:v>public/game/assets/v136/gauntlets/phg-anubis/01-arm.svg</x:v>
      </x:c>
      <x:c r="F196" s="79" t="str">
        <x:v>Source SVG individuelle réelle</x:v>
      </x:c>
      <x:c r="G196" s="79" t="str">
        <x:v>Alpha 1080×580 en CI</x:v>
      </x:c>
      <x:c r="H196" s="79" t="str">
        <x:v>Concept original</x:v>
      </x:c>
      <x:c r="I196" s="79" t="str">
        <x:v>0 / 1 : NON VALIDÉ 1:1</x:v>
      </x:c>
      <x:c r="J196" s="79" t="str">
        <x:v>https://github.com/darknigthmare/yautja-la-longue-chasse/actions/runs/41196187434/artifacts/13040272198</x:v>
      </x:c>
      <x:c r="K196" s="79" t="str">
        <x:v>Relever dimensions, UV, pose, charnière et source cinéma</x:v>
      </x:c>
    </x:row>
    <x:row r="197" ht="29" customHeight="1">
      <x:c r="A197" s="79" t="str">
        <x:v>phg-anubis</x:v>
      </x:c>
      <x:c r="B197" s="79" t="str">
        <x:v>Anubis · PHG</x:v>
      </x:c>
      <x:c r="C197" s="79" t="str">
        <x:v>V136</x:v>
      </x:c>
      <x:c r="D197" s="79" t="str">
        <x:v>02-shell.svg</x:v>
      </x:c>
      <x:c r="E197" s="79" t="str">
        <x:v>public/game/assets/v136/gauntlets/phg-anubis/02-shell.svg</x:v>
      </x:c>
      <x:c r="F197" s="79" t="str">
        <x:v>Source SVG individuelle réelle</x:v>
      </x:c>
      <x:c r="G197" s="79" t="str">
        <x:v>Alpha 1080×580 en CI</x:v>
      </x:c>
      <x:c r="H197" s="79" t="str">
        <x:v>Concept original</x:v>
      </x:c>
      <x:c r="I197" s="79" t="str">
        <x:v>0 / 1 : NON VALIDÉ 1:1</x:v>
      </x:c>
      <x:c r="J197" s="79" t="str">
        <x:v>https://github.com/darknigthmare/yautja-la-longue-chasse/actions/runs/41196187434/artifacts/13040272198</x:v>
      </x:c>
      <x:c r="K197" s="79" t="str">
        <x:v>Relever dimensions, UV, pose, charnière et source cinéma</x:v>
      </x:c>
    </x:row>
    <x:row r="198" ht="29" customHeight="1">
      <x:c r="A198" s="79" t="str">
        <x:v>phg-anubis</x:v>
      </x:c>
      <x:c r="B198" s="79" t="str">
        <x:v>Anubis · PHG</x:v>
      </x:c>
      <x:c r="C198" s="79" t="str">
        <x:v>V136</x:v>
      </x:c>
      <x:c r="D198" s="79" t="str">
        <x:v>03-interface.svg</x:v>
      </x:c>
      <x:c r="E198" s="79" t="str">
        <x:v>public/game/assets/v136/gauntlets/phg-anubis/03-interface.svg</x:v>
      </x:c>
      <x:c r="F198" s="79" t="str">
        <x:v>Source SVG individuelle réelle</x:v>
      </x:c>
      <x:c r="G198" s="79" t="str">
        <x:v>Alpha 1080×580 en CI</x:v>
      </x:c>
      <x:c r="H198" s="79" t="str">
        <x:v>Concept original</x:v>
      </x:c>
      <x:c r="I198" s="79" t="str">
        <x:v>0 / 1 : NON VALIDÉ 1:1</x:v>
      </x:c>
      <x:c r="J198" s="79" t="str">
        <x:v>https://github.com/darknigthmare/yautja-la-longue-chasse/actions/runs/41196187434/artifacts/13040272198</x:v>
      </x:c>
      <x:c r="K198" s="79" t="str">
        <x:v>Relever dimensions, UV, pose, charnière et source cinéma</x:v>
      </x:c>
    </x:row>
    <x:row r="199" ht="29" customHeight="1">
      <x:c r="A199" s="79" t="str">
        <x:v>phg-anubis</x:v>
      </x:c>
      <x:c r="B199" s="79" t="str">
        <x:v>Anubis · PHG</x:v>
      </x:c>
      <x:c r="C199" s="79" t="str">
        <x:v>V136</x:v>
      </x:c>
      <x:c r="D199" s="79" t="str">
        <x:v>04-lid.svg</x:v>
      </x:c>
      <x:c r="E199" s="79" t="str">
        <x:v>public/game/assets/v136/gauntlets/phg-anubis/04-lid.svg</x:v>
      </x:c>
      <x:c r="F199" s="79" t="str">
        <x:v>Source SVG individuelle réelle</x:v>
      </x:c>
      <x:c r="G199" s="79" t="str">
        <x:v>Alpha 1080×580 en CI</x:v>
      </x:c>
      <x:c r="H199" s="79" t="str">
        <x:v>Concept original</x:v>
      </x:c>
      <x:c r="I199" s="79" t="str">
        <x:v>0 / 1 : NON VALIDÉ 1:1</x:v>
      </x:c>
      <x:c r="J199" s="79" t="str">
        <x:v>https://github.com/darknigthmare/yautja-la-longue-chasse/actions/runs/41196187434/artifacts/13040272198</x:v>
      </x:c>
      <x:c r="K199" s="79" t="str">
        <x:v>Relever dimensions, UV, pose, charnière et source cinéma</x:v>
      </x:c>
    </x:row>
    <x:row r="200" ht="29" customHeight="1">
      <x:c r="A200" s="79" t="str">
        <x:v>phg-gladiator</x:v>
      </x:c>
      <x:c r="B200" s="79" t="str">
        <x:v>Gladiator · PHG</x:v>
      </x:c>
      <x:c r="C200" s="79" t="str">
        <x:v>V136</x:v>
      </x:c>
      <x:c r="D200" s="79" t="str">
        <x:v>01-arm.svg</x:v>
      </x:c>
      <x:c r="E200" s="79" t="str">
        <x:v>public/game/assets/v136/gauntlets/phg-gladiator/01-arm.svg</x:v>
      </x:c>
      <x:c r="F200" s="79" t="str">
        <x:v>Source SVG individuelle réelle</x:v>
      </x:c>
      <x:c r="G200" s="79" t="str">
        <x:v>Alpha 1080×580 en CI</x:v>
      </x:c>
      <x:c r="H200" s="79" t="str">
        <x:v>Concept original</x:v>
      </x:c>
      <x:c r="I200" s="79" t="str">
        <x:v>0 / 1 : NON VALIDÉ 1:1</x:v>
      </x:c>
      <x:c r="J200" s="79" t="str">
        <x:v>https://github.com/darknigthmare/yautja-la-longue-chasse/actions/runs/41196187434/artifacts/13040272198</x:v>
      </x:c>
      <x:c r="K200" s="79" t="str">
        <x:v>Relever dimensions, UV, pose, charnière et source cinéma</x:v>
      </x:c>
    </x:row>
    <x:row r="201" ht="29" customHeight="1">
      <x:c r="A201" s="79" t="str">
        <x:v>phg-gladiator</x:v>
      </x:c>
      <x:c r="B201" s="79" t="str">
        <x:v>Gladiator · PHG</x:v>
      </x:c>
      <x:c r="C201" s="79" t="str">
        <x:v>V136</x:v>
      </x:c>
      <x:c r="D201" s="79" t="str">
        <x:v>02-shell.svg</x:v>
      </x:c>
      <x:c r="E201" s="79" t="str">
        <x:v>public/game/assets/v136/gauntlets/phg-gladiator/02-shell.svg</x:v>
      </x:c>
      <x:c r="F201" s="79" t="str">
        <x:v>Source SVG individuelle réelle</x:v>
      </x:c>
      <x:c r="G201" s="79" t="str">
        <x:v>Alpha 1080×580 en CI</x:v>
      </x:c>
      <x:c r="H201" s="79" t="str">
        <x:v>Concept original</x:v>
      </x:c>
      <x:c r="I201" s="79" t="str">
        <x:v>0 / 1 : NON VALIDÉ 1:1</x:v>
      </x:c>
      <x:c r="J201" s="79" t="str">
        <x:v>https://github.com/darknigthmare/yautja-la-longue-chasse/actions/runs/41196187434/artifacts/13040272198</x:v>
      </x:c>
      <x:c r="K201" s="79" t="str">
        <x:v>Relever dimensions, UV, pose, charnière et source cinéma</x:v>
      </x:c>
    </x:row>
    <x:row r="202" ht="29" customHeight="1">
      <x:c r="A202" s="79" t="str">
        <x:v>phg-gladiator</x:v>
      </x:c>
      <x:c r="B202" s="79" t="str">
        <x:v>Gladiator · PHG</x:v>
      </x:c>
      <x:c r="C202" s="79" t="str">
        <x:v>V136</x:v>
      </x:c>
      <x:c r="D202" s="79" t="str">
        <x:v>03-interface.svg</x:v>
      </x:c>
      <x:c r="E202" s="79" t="str">
        <x:v>public/game/assets/v136/gauntlets/phg-gladiator/03-interface.svg</x:v>
      </x:c>
      <x:c r="F202" s="79" t="str">
        <x:v>Source SVG individuelle réelle</x:v>
      </x:c>
      <x:c r="G202" s="79" t="str">
        <x:v>Alpha 1080×580 en CI</x:v>
      </x:c>
      <x:c r="H202" s="79" t="str">
        <x:v>Concept original</x:v>
      </x:c>
      <x:c r="I202" s="79" t="str">
        <x:v>0 / 1 : NON VALIDÉ 1:1</x:v>
      </x:c>
      <x:c r="J202" s="79" t="str">
        <x:v>https://github.com/darknigthmare/yautja-la-longue-chasse/actions/runs/41196187434/artifacts/13040272198</x:v>
      </x:c>
      <x:c r="K202" s="79" t="str">
        <x:v>Relever dimensions, UV, pose, charnière et source cinéma</x:v>
      </x:c>
    </x:row>
    <x:row r="203" ht="29" customHeight="1">
      <x:c r="A203" s="79" t="str">
        <x:v>phg-gladiator</x:v>
      </x:c>
      <x:c r="B203" s="79" t="str">
        <x:v>Gladiator · PHG</x:v>
      </x:c>
      <x:c r="C203" s="79" t="str">
        <x:v>V136</x:v>
      </x:c>
      <x:c r="D203" s="79" t="str">
        <x:v>04-lid.svg</x:v>
      </x:c>
      <x:c r="E203" s="79" t="str">
        <x:v>public/game/assets/v136/gauntlets/phg-gladiator/04-lid.svg</x:v>
      </x:c>
      <x:c r="F203" s="79" t="str">
        <x:v>Source SVG individuelle réelle</x:v>
      </x:c>
      <x:c r="G203" s="79" t="str">
        <x:v>Alpha 1080×580 en CI</x:v>
      </x:c>
      <x:c r="H203" s="79" t="str">
        <x:v>Concept original</x:v>
      </x:c>
      <x:c r="I203" s="79" t="str">
        <x:v>0 / 1 : NON VALIDÉ 1:1</x:v>
      </x:c>
      <x:c r="J203" s="79" t="str">
        <x:v>https://github.com/darknigthmare/yautja-la-longue-chasse/actions/runs/41196187434/artifacts/13040272198</x:v>
      </x:c>
      <x:c r="K203" s="79" t="str">
        <x:v>Relever dimensions, UV, pose, charnière et source cinéma</x:v>
      </x:c>
    </x:row>
    <x:row r="204" ht="29" customHeight="1">
      <x:c r="A204" s="79" t="str">
        <x:v>scarface</x:v>
      </x:c>
      <x:c r="B204" s="79" t="str">
        <x:v>Scarface · Concrete Jungle</x:v>
      </x:c>
      <x:c r="C204" s="79" t="str">
        <x:v>V136</x:v>
      </x:c>
      <x:c r="D204" s="79" t="str">
        <x:v>01-arm.svg</x:v>
      </x:c>
      <x:c r="E204" s="79" t="str">
        <x:v>public/game/assets/v136/gauntlets/scarface/01-arm.svg</x:v>
      </x:c>
      <x:c r="F204" s="79" t="str">
        <x:v>Source SVG individuelle réelle</x:v>
      </x:c>
      <x:c r="G204" s="79" t="str">
        <x:v>Alpha 1080×580 en CI</x:v>
      </x:c>
      <x:c r="H204" s="79" t="str">
        <x:v>Concept original</x:v>
      </x:c>
      <x:c r="I204" s="79" t="str">
        <x:v>0 / 1 : NON VALIDÉ 1:1</x:v>
      </x:c>
      <x:c r="J204" s="79" t="str">
        <x:v>https://github.com/darknigthmare/yautja-la-longue-chasse/actions/runs/41196187434/artifacts/13040272198</x:v>
      </x:c>
      <x:c r="K204" s="79" t="str">
        <x:v>Relever dimensions, UV, pose, charnière et source cinéma</x:v>
      </x:c>
    </x:row>
    <x:row r="205" ht="29" customHeight="1">
      <x:c r="A205" s="79" t="str">
        <x:v>scarface</x:v>
      </x:c>
      <x:c r="B205" s="79" t="str">
        <x:v>Scarface · Concrete Jungle</x:v>
      </x:c>
      <x:c r="C205" s="79" t="str">
        <x:v>V136</x:v>
      </x:c>
      <x:c r="D205" s="79" t="str">
        <x:v>02-shell.svg</x:v>
      </x:c>
      <x:c r="E205" s="79" t="str">
        <x:v>public/game/assets/v136/gauntlets/scarface/02-shell.svg</x:v>
      </x:c>
      <x:c r="F205" s="79" t="str">
        <x:v>Source SVG individuelle réelle</x:v>
      </x:c>
      <x:c r="G205" s="79" t="str">
        <x:v>Alpha 1080×580 en CI</x:v>
      </x:c>
      <x:c r="H205" s="79" t="str">
        <x:v>Concept original</x:v>
      </x:c>
      <x:c r="I205" s="79" t="str">
        <x:v>0 / 1 : NON VALIDÉ 1:1</x:v>
      </x:c>
      <x:c r="J205" s="79" t="str">
        <x:v>https://github.com/darknigthmare/yautja-la-longue-chasse/actions/runs/41196187434/artifacts/13040272198</x:v>
      </x:c>
      <x:c r="K205" s="79" t="str">
        <x:v>Relever dimensions, UV, pose, charnière et source cinéma</x:v>
      </x:c>
    </x:row>
    <x:row r="206" ht="29" customHeight="1">
      <x:c r="A206" s="79" t="str">
        <x:v>scarface</x:v>
      </x:c>
      <x:c r="B206" s="79" t="str">
        <x:v>Scarface · Concrete Jungle</x:v>
      </x:c>
      <x:c r="C206" s="79" t="str">
        <x:v>V136</x:v>
      </x:c>
      <x:c r="D206" s="79" t="str">
        <x:v>03-interface.svg</x:v>
      </x:c>
      <x:c r="E206" s="79" t="str">
        <x:v>public/game/assets/v136/gauntlets/scarface/03-interface.svg</x:v>
      </x:c>
      <x:c r="F206" s="79" t="str">
        <x:v>Source SVG individuelle réelle</x:v>
      </x:c>
      <x:c r="G206" s="79" t="str">
        <x:v>Alpha 1080×580 en CI</x:v>
      </x:c>
      <x:c r="H206" s="79" t="str">
        <x:v>Concept original</x:v>
      </x:c>
      <x:c r="I206" s="79" t="str">
        <x:v>0 / 1 : NON VALIDÉ 1:1</x:v>
      </x:c>
      <x:c r="J206" s="79" t="str">
        <x:v>https://github.com/darknigthmare/yautja-la-longue-chasse/actions/runs/41196187434/artifacts/13040272198</x:v>
      </x:c>
      <x:c r="K206" s="79" t="str">
        <x:v>Relever dimensions, UV, pose, charnière et source cinéma</x:v>
      </x:c>
    </x:row>
    <x:row r="207" ht="29" customHeight="1">
      <x:c r="A207" s="79" t="str">
        <x:v>scarface</x:v>
      </x:c>
      <x:c r="B207" s="79" t="str">
        <x:v>Scarface · Concrete Jungle</x:v>
      </x:c>
      <x:c r="C207" s="79" t="str">
        <x:v>V136</x:v>
      </x:c>
      <x:c r="D207" s="79" t="str">
        <x:v>04-lid.svg</x:v>
      </x:c>
      <x:c r="E207" s="79" t="str">
        <x:v>public/game/assets/v136/gauntlets/scarface/04-lid.svg</x:v>
      </x:c>
      <x:c r="F207" s="79" t="str">
        <x:v>Source SVG individuelle réelle</x:v>
      </x:c>
      <x:c r="G207" s="79" t="str">
        <x:v>Alpha 1080×580 en CI</x:v>
      </x:c>
      <x:c r="H207" s="79" t="str">
        <x:v>Concept original</x:v>
      </x:c>
      <x:c r="I207" s="79" t="str">
        <x:v>0 / 1 : NON VALIDÉ 1:1</x:v>
      </x:c>
      <x:c r="J207" s="79" t="str">
        <x:v>https://github.com/darknigthmare/yautja-la-longue-chasse/actions/runs/41196187434/artifacts/13040272198</x:v>
      </x:c>
      <x:c r="K207" s="79" t="str">
        <x:v>Relever dimensions, UV, pose, charnière et source cinéma</x:v>
      </x:c>
    </x:row>
    <x:row r="208" ht="29" customHeight="1">
      <x:c r="A208" s="79" t="str">
        <x:v>stone-heart</x:v>
      </x:c>
      <x:c r="B208" s="79" t="str">
        <x:v>Stone Heart · Concrete Jungle</x:v>
      </x:c>
      <x:c r="C208" s="79" t="str">
        <x:v>V136</x:v>
      </x:c>
      <x:c r="D208" s="79" t="str">
        <x:v>01-arm.svg</x:v>
      </x:c>
      <x:c r="E208" s="79" t="str">
        <x:v>public/game/assets/v136/gauntlets/stone-heart/01-arm.svg</x:v>
      </x:c>
      <x:c r="F208" s="79" t="str">
        <x:v>Source SVG individuelle réelle</x:v>
      </x:c>
      <x:c r="G208" s="79" t="str">
        <x:v>Alpha 1080×580 en CI</x:v>
      </x:c>
      <x:c r="H208" s="79" t="str">
        <x:v>Concept original</x:v>
      </x:c>
      <x:c r="I208" s="79" t="str">
        <x:v>0 / 1 : NON VALIDÉ 1:1</x:v>
      </x:c>
      <x:c r="J208" s="79" t="str">
        <x:v>https://github.com/darknigthmare/yautja-la-longue-chasse/actions/runs/41196187434/artifacts/13040272198</x:v>
      </x:c>
      <x:c r="K208" s="79" t="str">
        <x:v>Relever dimensions, UV, pose, charnière et source cinéma</x:v>
      </x:c>
    </x:row>
    <x:row r="209" ht="29" customHeight="1">
      <x:c r="A209" s="79" t="str">
        <x:v>stone-heart</x:v>
      </x:c>
      <x:c r="B209" s="79" t="str">
        <x:v>Stone Heart · Concrete Jungle</x:v>
      </x:c>
      <x:c r="C209" s="79" t="str">
        <x:v>V136</x:v>
      </x:c>
      <x:c r="D209" s="79" t="str">
        <x:v>02-shell.svg</x:v>
      </x:c>
      <x:c r="E209" s="79" t="str">
        <x:v>public/game/assets/v136/gauntlets/stone-heart/02-shell.svg</x:v>
      </x:c>
      <x:c r="F209" s="79" t="str">
        <x:v>Source SVG individuelle réelle</x:v>
      </x:c>
      <x:c r="G209" s="79" t="str">
        <x:v>Alpha 1080×580 en CI</x:v>
      </x:c>
      <x:c r="H209" s="79" t="str">
        <x:v>Concept original</x:v>
      </x:c>
      <x:c r="I209" s="79" t="str">
        <x:v>0 / 1 : NON VALIDÉ 1:1</x:v>
      </x:c>
      <x:c r="J209" s="79" t="str">
        <x:v>https://github.com/darknigthmare/yautja-la-longue-chasse/actions/runs/41196187434/artifacts/13040272198</x:v>
      </x:c>
      <x:c r="K209" s="79" t="str">
        <x:v>Relever dimensions, UV, pose, charnière et source cinéma</x:v>
      </x:c>
    </x:row>
    <x:row r="210" ht="29" customHeight="1">
      <x:c r="A210" s="79" t="str">
        <x:v>stone-heart</x:v>
      </x:c>
      <x:c r="B210" s="79" t="str">
        <x:v>Stone Heart · Concrete Jungle</x:v>
      </x:c>
      <x:c r="C210" s="79" t="str">
        <x:v>V136</x:v>
      </x:c>
      <x:c r="D210" s="79" t="str">
        <x:v>03-interface.svg</x:v>
      </x:c>
      <x:c r="E210" s="79" t="str">
        <x:v>public/game/assets/v136/gauntlets/stone-heart/03-interface.svg</x:v>
      </x:c>
      <x:c r="F210" s="79" t="str">
        <x:v>Source SVG individuelle réelle</x:v>
      </x:c>
      <x:c r="G210" s="79" t="str">
        <x:v>Alpha 1080×580 en CI</x:v>
      </x:c>
      <x:c r="H210" s="79" t="str">
        <x:v>Concept original</x:v>
      </x:c>
      <x:c r="I210" s="79" t="str">
        <x:v>0 / 1 : NON VALIDÉ 1:1</x:v>
      </x:c>
      <x:c r="J210" s="79" t="str">
        <x:v>https://github.com/darknigthmare/yautja-la-longue-chasse/actions/runs/41196187434/artifacts/13040272198</x:v>
      </x:c>
      <x:c r="K210" s="79" t="str">
        <x:v>Relever dimensions, UV, pose, charnière et source cinéma</x:v>
      </x:c>
    </x:row>
    <x:row r="211" ht="29" customHeight="1">
      <x:c r="A211" s="79" t="str">
        <x:v>stone-heart</x:v>
      </x:c>
      <x:c r="B211" s="79" t="str">
        <x:v>Stone Heart · Concrete Jungle</x:v>
      </x:c>
      <x:c r="C211" s="79" t="str">
        <x:v>V136</x:v>
      </x:c>
      <x:c r="D211" s="79" t="str">
        <x:v>04-lid.svg</x:v>
      </x:c>
      <x:c r="E211" s="79" t="str">
        <x:v>public/game/assets/v136/gauntlets/stone-heart/04-lid.svg</x:v>
      </x:c>
      <x:c r="F211" s="79" t="str">
        <x:v>Source SVG individuelle réelle</x:v>
      </x:c>
      <x:c r="G211" s="79" t="str">
        <x:v>Alpha 1080×580 en CI</x:v>
      </x:c>
      <x:c r="H211" s="79" t="str">
        <x:v>Concept original</x:v>
      </x:c>
      <x:c r="I211" s="79" t="str">
        <x:v>0 / 1 : NON VALIDÉ 1:1</x:v>
      </x:c>
      <x:c r="J211" s="79" t="str">
        <x:v>https://github.com/darknigthmare/yautja-la-longue-chasse/actions/runs/41196187434/artifacts/13040272198</x:v>
      </x:c>
      <x:c r="K211" s="79" t="str">
        <x:v>Relever dimensions, UV, pose, charnière et source cinéma</x:v>
      </x:c>
    </x:row>
    <x:row r="212" ht="29" customHeight="1">
      <x:c r="A212" s="79" t="str">
        <x:v>ahab</x:v>
      </x:c>
      <x:c r="B212" s="79" t="str">
        <x:v>Ahab · comics / NECA</x:v>
      </x:c>
      <x:c r="C212" s="79" t="str">
        <x:v>V136</x:v>
      </x:c>
      <x:c r="D212" s="79" t="str">
        <x:v>01-arm.svg</x:v>
      </x:c>
      <x:c r="E212" s="79" t="str">
        <x:v>public/game/assets/v136/gauntlets/ahab/01-arm.svg</x:v>
      </x:c>
      <x:c r="F212" s="79" t="str">
        <x:v>Source SVG individuelle réelle</x:v>
      </x:c>
      <x:c r="G212" s="79" t="str">
        <x:v>Alpha 1080×580 en CI</x:v>
      </x:c>
      <x:c r="H212" s="79" t="str">
        <x:v>Concept original</x:v>
      </x:c>
      <x:c r="I212" s="79" t="str">
        <x:v>0 / 1 : NON VALIDÉ 1:1</x:v>
      </x:c>
      <x:c r="J212" s="79" t="str">
        <x:v>https://github.com/darknigthmare/yautja-la-longue-chasse/actions/runs/41196187434/artifacts/13040272198</x:v>
      </x:c>
      <x:c r="K212" s="79" t="str">
        <x:v>Relever dimensions, UV, pose, charnière et source cinéma</x:v>
      </x:c>
    </x:row>
    <x:row r="213" ht="29" customHeight="1">
      <x:c r="A213" s="79" t="str">
        <x:v>ahab</x:v>
      </x:c>
      <x:c r="B213" s="79" t="str">
        <x:v>Ahab · comics / NECA</x:v>
      </x:c>
      <x:c r="C213" s="79" t="str">
        <x:v>V136</x:v>
      </x:c>
      <x:c r="D213" s="79" t="str">
        <x:v>02-shell.svg</x:v>
      </x:c>
      <x:c r="E213" s="79" t="str">
        <x:v>public/game/assets/v136/gauntlets/ahab/02-shell.svg</x:v>
      </x:c>
      <x:c r="F213" s="79" t="str">
        <x:v>Source SVG individuelle réelle</x:v>
      </x:c>
      <x:c r="G213" s="79" t="str">
        <x:v>Alpha 1080×580 en CI</x:v>
      </x:c>
      <x:c r="H213" s="79" t="str">
        <x:v>Concept original</x:v>
      </x:c>
      <x:c r="I213" s="79" t="str">
        <x:v>0 / 1 : NON VALIDÉ 1:1</x:v>
      </x:c>
      <x:c r="J213" s="79" t="str">
        <x:v>https://github.com/darknigthmare/yautja-la-longue-chasse/actions/runs/41196187434/artifacts/13040272198</x:v>
      </x:c>
      <x:c r="K213" s="79" t="str">
        <x:v>Relever dimensions, UV, pose, charnière et source cinéma</x:v>
      </x:c>
    </x:row>
    <x:row r="214" ht="29" customHeight="1">
      <x:c r="A214" s="79" t="str">
        <x:v>ahab</x:v>
      </x:c>
      <x:c r="B214" s="79" t="str">
        <x:v>Ahab · comics / NECA</x:v>
      </x:c>
      <x:c r="C214" s="79" t="str">
        <x:v>V136</x:v>
      </x:c>
      <x:c r="D214" s="79" t="str">
        <x:v>03-interface.svg</x:v>
      </x:c>
      <x:c r="E214" s="79" t="str">
        <x:v>public/game/assets/v136/gauntlets/ahab/03-interface.svg</x:v>
      </x:c>
      <x:c r="F214" s="79" t="str">
        <x:v>Source SVG individuelle réelle</x:v>
      </x:c>
      <x:c r="G214" s="79" t="str">
        <x:v>Alpha 1080×580 en CI</x:v>
      </x:c>
      <x:c r="H214" s="79" t="str">
        <x:v>Concept original</x:v>
      </x:c>
      <x:c r="I214" s="79" t="str">
        <x:v>0 / 1 : NON VALIDÉ 1:1</x:v>
      </x:c>
      <x:c r="J214" s="79" t="str">
        <x:v>https://github.com/darknigthmare/yautja-la-longue-chasse/actions/runs/41196187434/artifacts/13040272198</x:v>
      </x:c>
      <x:c r="K214" s="79" t="str">
        <x:v>Relever dimensions, UV, pose, charnière et source cinéma</x:v>
      </x:c>
    </x:row>
    <x:row r="215" ht="29" customHeight="1">
      <x:c r="A215" s="79" t="str">
        <x:v>ahab</x:v>
      </x:c>
      <x:c r="B215" s="79" t="str">
        <x:v>Ahab · comics / NECA</x:v>
      </x:c>
      <x:c r="C215" s="79" t="str">
        <x:v>V136</x:v>
      </x:c>
      <x:c r="D215" s="79" t="str">
        <x:v>04-lid.svg</x:v>
      </x:c>
      <x:c r="E215" s="79" t="str">
        <x:v>public/game/assets/v136/gauntlets/ahab/04-lid.svg</x:v>
      </x:c>
      <x:c r="F215" s="79" t="str">
        <x:v>Source SVG individuelle réelle</x:v>
      </x:c>
      <x:c r="G215" s="79" t="str">
        <x:v>Alpha 1080×580 en CI</x:v>
      </x:c>
      <x:c r="H215" s="79" t="str">
        <x:v>Concept original</x:v>
      </x:c>
      <x:c r="I215" s="79" t="str">
        <x:v>0 / 1 : NON VALIDÉ 1:1</x:v>
      </x:c>
      <x:c r="J215" s="79" t="str">
        <x:v>https://github.com/darknigthmare/yautja-la-longue-chasse/actions/runs/41196187434/artifacts/13040272198</x:v>
      </x:c>
      <x:c r="K215" s="79" t="str">
        <x:v>Relever dimensions, UV, pose, charnière et source cinéma</x:v>
      </x:c>
    </x:row>
    <x:row r="216" ht="29" customHeight="1">
      <x:c r="A216" s="79" t="str">
        <x:v>dark-2010</x:v>
      </x:c>
      <x:c r="B216" s="79" t="str">
        <x:v>Dark · Aliens vs Predator (2010)</x:v>
      </x:c>
      <x:c r="C216" s="79" t="str">
        <x:v>V136</x:v>
      </x:c>
      <x:c r="D216" s="79" t="str">
        <x:v>01-arm.svg</x:v>
      </x:c>
      <x:c r="E216" s="79" t="str">
        <x:v>public/game/assets/v136/gauntlets/dark-2010/01-arm.svg</x:v>
      </x:c>
      <x:c r="F216" s="79" t="str">
        <x:v>Source SVG individuelle réelle</x:v>
      </x:c>
      <x:c r="G216" s="79" t="str">
        <x:v>Alpha 1080×580 en CI</x:v>
      </x:c>
      <x:c r="H216" s="79" t="str">
        <x:v>Concept original</x:v>
      </x:c>
      <x:c r="I216" s="79" t="str">
        <x:v>0 / 1 : NON VALIDÉ 1:1</x:v>
      </x:c>
      <x:c r="J216" s="79" t="str">
        <x:v>https://github.com/darknigthmare/yautja-la-longue-chasse/actions/runs/41196187434/artifacts/13040272198</x:v>
      </x:c>
      <x:c r="K216" s="79" t="str">
        <x:v>Relever dimensions, UV, pose, charnière et source cinéma</x:v>
      </x:c>
    </x:row>
    <x:row r="217" ht="29" customHeight="1">
      <x:c r="A217" s="79" t="str">
        <x:v>dark-2010</x:v>
      </x:c>
      <x:c r="B217" s="79" t="str">
        <x:v>Dark · Aliens vs Predator (2010)</x:v>
      </x:c>
      <x:c r="C217" s="79" t="str">
        <x:v>V136</x:v>
      </x:c>
      <x:c r="D217" s="79" t="str">
        <x:v>02-shell.svg</x:v>
      </x:c>
      <x:c r="E217" s="79" t="str">
        <x:v>public/game/assets/v136/gauntlets/dark-2010/02-shell.svg</x:v>
      </x:c>
      <x:c r="F217" s="79" t="str">
        <x:v>Source SVG individuelle réelle</x:v>
      </x:c>
      <x:c r="G217" s="79" t="str">
        <x:v>Alpha 1080×580 en CI</x:v>
      </x:c>
      <x:c r="H217" s="79" t="str">
        <x:v>Concept original</x:v>
      </x:c>
      <x:c r="I217" s="79" t="str">
        <x:v>0 / 1 : NON VALIDÉ 1:1</x:v>
      </x:c>
      <x:c r="J217" s="79" t="str">
        <x:v>https://github.com/darknigthmare/yautja-la-longue-chasse/actions/runs/41196187434/artifacts/13040272198</x:v>
      </x:c>
      <x:c r="K217" s="79" t="str">
        <x:v>Relever dimensions, UV, pose, charnière et source cinéma</x:v>
      </x:c>
    </x:row>
    <x:row r="218" ht="29" customHeight="1">
      <x:c r="A218" s="79" t="str">
        <x:v>dark-2010</x:v>
      </x:c>
      <x:c r="B218" s="79" t="str">
        <x:v>Dark · Aliens vs Predator (2010)</x:v>
      </x:c>
      <x:c r="C218" s="79" t="str">
        <x:v>V136</x:v>
      </x:c>
      <x:c r="D218" s="79" t="str">
        <x:v>03-interface.svg</x:v>
      </x:c>
      <x:c r="E218" s="79" t="str">
        <x:v>public/game/assets/v136/gauntlets/dark-2010/03-interface.svg</x:v>
      </x:c>
      <x:c r="F218" s="79" t="str">
        <x:v>Source SVG individuelle réelle</x:v>
      </x:c>
      <x:c r="G218" s="79" t="str">
        <x:v>Alpha 1080×580 en CI</x:v>
      </x:c>
      <x:c r="H218" s="79" t="str">
        <x:v>Concept original</x:v>
      </x:c>
      <x:c r="I218" s="79" t="str">
        <x:v>0 / 1 : NON VALIDÉ 1:1</x:v>
      </x:c>
      <x:c r="J218" s="79" t="str">
        <x:v>https://github.com/darknigthmare/yautja-la-longue-chasse/actions/runs/41196187434/artifacts/13040272198</x:v>
      </x:c>
      <x:c r="K218" s="79" t="str">
        <x:v>Relever dimensions, UV, pose, charnière et source cinéma</x:v>
      </x:c>
    </x:row>
    <x:row r="219" ht="29" customHeight="1">
      <x:c r="A219" s="79" t="str">
        <x:v>dark-2010</x:v>
      </x:c>
      <x:c r="B219" s="79" t="str">
        <x:v>Dark · Aliens vs Predator (2010)</x:v>
      </x:c>
      <x:c r="C219" s="79" t="str">
        <x:v>V136</x:v>
      </x:c>
      <x:c r="D219" s="79" t="str">
        <x:v>04-lid.svg</x:v>
      </x:c>
      <x:c r="E219" s="79" t="str">
        <x:v>public/game/assets/v136/gauntlets/dark-2010/04-lid.svg</x:v>
      </x:c>
      <x:c r="F219" s="79" t="str">
        <x:v>Source SVG individuelle réelle</x:v>
      </x:c>
      <x:c r="G219" s="79" t="str">
        <x:v>Alpha 1080×580 en CI</x:v>
      </x:c>
      <x:c r="H219" s="79" t="str">
        <x:v>Concept original</x:v>
      </x:c>
      <x:c r="I219" s="79" t="str">
        <x:v>0 / 1 : NON VALIDÉ 1:1</x:v>
      </x:c>
      <x:c r="J219" s="79" t="str">
        <x:v>https://github.com/darknigthmare/yautja-la-longue-chasse/actions/runs/41196187434/artifacts/13040272198</x:v>
      </x:c>
      <x:c r="K219" s="79" t="str">
        <x:v>Relever dimensions, UV, pose, charnière et source cinéma</x:v>
      </x:c>
    </x:row>
    <x:row r="220" ht="29" customHeight="1">
      <x:c r="A220" s="79" t="str">
        <x:v>phg-captured</x:v>
      </x:c>
      <x:c r="B220" s="79" t="str">
        <x:v>Captured · PHG</x:v>
      </x:c>
      <x:c r="C220" s="79" t="str">
        <x:v>V136</x:v>
      </x:c>
      <x:c r="D220" s="79" t="str">
        <x:v>01-arm.svg</x:v>
      </x:c>
      <x:c r="E220" s="79" t="str">
        <x:v>public/game/assets/v136/gauntlets/phg-captured/01-arm.svg</x:v>
      </x:c>
      <x:c r="F220" s="79" t="str">
        <x:v>Source SVG individuelle réelle</x:v>
      </x:c>
      <x:c r="G220" s="79" t="str">
        <x:v>Alpha 1080×580 en CI</x:v>
      </x:c>
      <x:c r="H220" s="79" t="str">
        <x:v>Concept original</x:v>
      </x:c>
      <x:c r="I220" s="79" t="str">
        <x:v>0 / 1 : NON VALIDÉ 1:1</x:v>
      </x:c>
      <x:c r="J220" s="79" t="str">
        <x:v>https://github.com/darknigthmare/yautja-la-longue-chasse/actions/runs/41196187434/artifacts/13040272198</x:v>
      </x:c>
      <x:c r="K220" s="79" t="str">
        <x:v>Relever dimensions, UV, pose, charnière et source cinéma</x:v>
      </x:c>
    </x:row>
    <x:row r="221" ht="29" customHeight="1">
      <x:c r="A221" s="79" t="str">
        <x:v>phg-captured</x:v>
      </x:c>
      <x:c r="B221" s="79" t="str">
        <x:v>Captured · PHG</x:v>
      </x:c>
      <x:c r="C221" s="79" t="str">
        <x:v>V136</x:v>
      </x:c>
      <x:c r="D221" s="79" t="str">
        <x:v>02-shell.svg</x:v>
      </x:c>
      <x:c r="E221" s="79" t="str">
        <x:v>public/game/assets/v136/gauntlets/phg-captured/02-shell.svg</x:v>
      </x:c>
      <x:c r="F221" s="79" t="str">
        <x:v>Source SVG individuelle réelle</x:v>
      </x:c>
      <x:c r="G221" s="79" t="str">
        <x:v>Alpha 1080×580 en CI</x:v>
      </x:c>
      <x:c r="H221" s="79" t="str">
        <x:v>Concept original</x:v>
      </x:c>
      <x:c r="I221" s="79" t="str">
        <x:v>0 / 1 : NON VALIDÉ 1:1</x:v>
      </x:c>
      <x:c r="J221" s="79" t="str">
        <x:v>https://github.com/darknigthmare/yautja-la-longue-chasse/actions/runs/41196187434/artifacts/13040272198</x:v>
      </x:c>
      <x:c r="K221" s="79" t="str">
        <x:v>Relever dimensions, UV, pose, charnière et source cinéma</x:v>
      </x:c>
    </x:row>
    <x:row r="222" ht="29" customHeight="1">
      <x:c r="A222" s="79" t="str">
        <x:v>phg-captured</x:v>
      </x:c>
      <x:c r="B222" s="79" t="str">
        <x:v>Captured · PHG</x:v>
      </x:c>
      <x:c r="C222" s="79" t="str">
        <x:v>V136</x:v>
      </x:c>
      <x:c r="D222" s="79" t="str">
        <x:v>03-interface.svg</x:v>
      </x:c>
      <x:c r="E222" s="79" t="str">
        <x:v>public/game/assets/v136/gauntlets/phg-captured/03-interface.svg</x:v>
      </x:c>
      <x:c r="F222" s="79" t="str">
        <x:v>Source SVG individuelle réelle</x:v>
      </x:c>
      <x:c r="G222" s="79" t="str">
        <x:v>Alpha 1080×580 en CI</x:v>
      </x:c>
      <x:c r="H222" s="79" t="str">
        <x:v>Concept original</x:v>
      </x:c>
      <x:c r="I222" s="79" t="str">
        <x:v>0 / 1 : NON VALIDÉ 1:1</x:v>
      </x:c>
      <x:c r="J222" s="79" t="str">
        <x:v>https://github.com/darknigthmare/yautja-la-longue-chasse/actions/runs/41196187434/artifacts/13040272198</x:v>
      </x:c>
      <x:c r="K222" s="79" t="str">
        <x:v>Relever dimensions, UV, pose, charnière et source cinéma</x:v>
      </x:c>
    </x:row>
    <x:row r="223" ht="29" customHeight="1">
      <x:c r="A223" s="79" t="str">
        <x:v>phg-captured</x:v>
      </x:c>
      <x:c r="B223" s="79" t="str">
        <x:v>Captured · PHG</x:v>
      </x:c>
      <x:c r="C223" s="79" t="str">
        <x:v>V136</x:v>
      </x:c>
      <x:c r="D223" s="79" t="str">
        <x:v>04-lid.svg</x:v>
      </x:c>
      <x:c r="E223" s="79" t="str">
        <x:v>public/game/assets/v136/gauntlets/phg-captured/04-lid.svg</x:v>
      </x:c>
      <x:c r="F223" s="79" t="str">
        <x:v>Source SVG individuelle réelle</x:v>
      </x:c>
      <x:c r="G223" s="79" t="str">
        <x:v>Alpha 1080×580 en CI</x:v>
      </x:c>
      <x:c r="H223" s="79" t="str">
        <x:v>Concept original</x:v>
      </x:c>
      <x:c r="I223" s="79" t="str">
        <x:v>0 / 1 : NON VALIDÉ 1:1</x:v>
      </x:c>
      <x:c r="J223" s="79" t="str">
        <x:v>https://github.com/darknigthmare/yautja-la-longue-chasse/actions/runs/41196187434/artifacts/13040272198</x:v>
      </x:c>
      <x:c r="K223" s="79" t="str">
        <x:v>Relever dimensions, UV, pose, charnière et source cinéma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65" hidden="0" customWidth="1"/>
    <x:col min="3" max="3" width="16" hidden="0" customWidth="1"/>
    <x:col min="4" max="4" width="32" hidden="0" customWidth="1"/>
    <x:col min="5" max="5" width="74" hidden="0" customWidth="1"/>
    <x:col min="6" max="6" width="82" hidden="0" customWidth="1"/>
  </x:cols>
  <x:sheetData>
    <x:row r="1" ht="38" customHeight="1">
      <x:c r="A1" s="85" t="str">
        <x:v>V137 | TESTS VÉRIFIÉS ET LIMITES DE PORTÉE</x:v>
      </x:c>
      <x:c r="B1" s="85"/>
      <x:c r="C1" s="85"/>
      <x:c r="D1" s="85"/>
      <x:c r="E1" s="85"/>
      <x:c r="F1" s="85"/>
    </x:row>
    <x:row r="2" ht="40" customHeight="1">
      <x:c r="A2" s="89" t="str">
        <x:v>Résultats observés dans GitHub Actions sur code V137. « PASS » signifie la vérification indiquée, pas certification du jeu entier.</x:v>
      </x:c>
      <x:c r="B2" s="89"/>
      <x:c r="C2" s="89"/>
      <x:c r="D2" s="89"/>
      <x:c r="E2" s="89"/>
      <x:c r="F2" s="89"/>
    </x:row>
    <x:row r="4" ht="31" customHeight="1">
      <x:c r="A4" s="93" t="str">
        <x:v>ID</x:v>
      </x:c>
      <x:c r="B4" s="93" t="str">
        <x:v>Contrôle</x:v>
      </x:c>
      <x:c r="C4" s="93" t="str">
        <x:v>Résultat</x:v>
      </x:c>
      <x:c r="D4" s="93" t="str">
        <x:v>Environnement</x:v>
      </x:c>
      <x:c r="E4" s="93" t="str">
        <x:v>Reste à faire</x:v>
      </x:c>
      <x:c r="F4" s="93" t="str">
        <x:v>Preuve vérifiable</x:v>
      </x:c>
    </x:row>
    <x:row r="5" ht="29" customHeight="1">
      <x:c r="A5" s="79" t="str">
        <x:v>B137-01</x:v>
      </x:c>
      <x:c r="B5" s="79" t="str">
        <x:v>Montage de la galerie React 54 pièces</x:v>
      </x:c>
      <x:c r="C5" s="79" t="str">
        <x:v>PASS</x:v>
      </x:c>
      <x:c r="D5" s="79" t="str">
        <x:v>Chrome desktop</x:v>
      </x:c>
      <x:c r="E5" s="79" t="str">
        <x:v>Galerie seule, pas le jeu complet</x:v>
      </x:c>
      <x:c r="F5" s="79" t="str">
        <x:v>https://github.com/darknigthmare/yautja-la-longue-chasse/actions/runs/41196187376/artifacts/13041067289</x:v>
      </x:c>
    </x:row>
    <x:row r="6" ht="29" customHeight="1">
      <x:c r="A6" s="79" t="str">
        <x:v>B137-02</x:v>
      </x:c>
      <x:c r="B6" s="79" t="str">
        <x:v>Ouvrir/fermer capot avec souris</x:v>
      </x:c>
      <x:c r="C6" s="79" t="str">
        <x:v>PASS</x:v>
      </x:c>
      <x:c r="D6" s="79" t="str">
        <x:v>Chrome desktop</x:v>
      </x:c>
      <x:c r="E6" s="79" t="str">
        <x:v>Pivot exact du film non vérifié</x:v>
      </x:c>
      <x:c r="F6" s="79" t="str">
        <x:v>https://github.com/darknigthmare/yautja-la-longue-chasse/actions/runs/41196187376/artifacts/13041067289</x:v>
      </x:c>
    </x:row>
    <x:row r="7" ht="29" customHeight="1">
      <x:c r="A7" s="79" t="str">
        <x:v>B137-03</x:v>
      </x:c>
      <x:c r="B7" s="79" t="str">
        <x:v>Ouvrir capot avec touche Entrée</x:v>
      </x:c>
      <x:c r="C7" s="79" t="str">
        <x:v>PASS</x:v>
      </x:c>
      <x:c r="D7" s="79" t="str">
        <x:v>Chrome clavier</x:v>
      </x:c>
      <x:c r="E7" s="79" t="str">
        <x:v>Manette physique non testée</x:v>
      </x:c>
      <x:c r="F7" s="79" t="str">
        <x:v>https://github.com/darknigthmare/yautja-la-longue-chasse/actions/runs/41196187376/artifacts/13041067289</x:v>
      </x:c>
    </x:row>
    <x:row r="8" ht="29" customHeight="1">
      <x:c r="A8" s="79" t="str">
        <x:v>B137-04</x:v>
      </x:c>
      <x:c r="B8" s="79" t="str">
        <x:v>Comparer Jungle Hunter et Wolf</x:v>
      </x:c>
      <x:c r="C8" s="79" t="str">
        <x:v>PASS</x:v>
      </x:c>
      <x:c r="D8" s="79" t="str">
        <x:v>Chrome desktop</x:v>
      </x:c>
      <x:c r="E8" s="79" t="str">
        <x:v>Comparaison film/prop absente</x:v>
      </x:c>
      <x:c r="F8" s="79" t="str">
        <x:v>https://github.com/darknigthmare/yautja-la-longue-chasse/actions/runs/41196187376/artifacts/13041067289</x:v>
      </x:c>
    </x:row>
    <x:row r="9" ht="29" customHeight="1">
      <x:c r="A9" s="79" t="str">
        <x:v>B137-05</x:v>
      </x:c>
      <x:c r="B9" s="79" t="str">
        <x:v>Recherche Shaman et affichage concept original</x:v>
      </x:c>
      <x:c r="C9" s="79" t="str">
        <x:v>PASS</x:v>
      </x:c>
      <x:c r="D9" s="79" t="str">
        <x:v>Chrome desktop</x:v>
      </x:c>
      <x:c r="E9" s="79" t="str">
        <x:v>Design canon non établi</x:v>
      </x:c>
      <x:c r="F9" s="79" t="str">
        <x:v>https://github.com/darknigthmare/yautja-la-longue-chasse/actions/runs/41196187376/artifacts/13041067289</x:v>
      </x:c>
    </x:row>
    <x:row r="10" ht="29" customHeight="1">
      <x:c r="A10" s="79" t="str">
        <x:v>B137-06</x:v>
      </x:c>
      <x:c r="B10" s="79" t="str">
        <x:v>Filtrer les catégories/provenance</x:v>
      </x:c>
      <x:c r="C10" s="79" t="str">
        <x:v>PASS</x:v>
      </x:c>
      <x:c r="D10" s="79" t="str">
        <x:v>Chrome desktop</x:v>
      </x:c>
      <x:c r="E10" s="79" t="str">
        <x:v>URLs de référence à vérifier individuellement</x:v>
      </x:c>
      <x:c r="F10" s="79" t="str">
        <x:v>https://github.com/darknigthmare/yautja-la-longue-chasse/actions/runs/41196187376/artifacts/13041067289</x:v>
      </x:c>
    </x:row>
    <x:row r="11" ht="29" customHeight="1">
      <x:c r="A11" s="79" t="str">
        <x:v>B137-07</x:v>
      </x:c>
      <x:c r="B11" s="79" t="str">
        <x:v>Zoom clavier (slider)</x:v>
      </x:c>
      <x:c r="C11" s="79" t="str">
        <x:v>PASS</x:v>
      </x:c>
      <x:c r="D11" s="79" t="str">
        <x:v>Chrome desktop</x:v>
      </x:c>
      <x:c r="E11" s="79" t="str">
        <x:v>Zoom sur le vrai atlas de guerre non testé</x:v>
      </x:c>
      <x:c r="F11" s="79" t="str">
        <x:v>https://github.com/darknigthmare/yautja-la-longue-chasse/actions/runs/41196187376/artifacts/13041067289</x:v>
      </x:c>
    </x:row>
    <x:row r="12" ht="29" customHeight="1">
      <x:c r="A12" s="79" t="str">
        <x:v>B137-08</x:v>
      </x:c>
      <x:c r="B12" s="79" t="str">
        <x:v>Vue mobile 390px sans overflow</x:v>
      </x:c>
      <x:c r="C12" s="79" t="str">
        <x:v>PASS</x:v>
      </x:c>
      <x:c r="D12" s="79" t="str">
        <x:v>Chrome mobile emulé</x:v>
      </x:c>
      <x:c r="E12" s="79" t="str">
        <x:v>320px/tablette physiques non testés</x:v>
      </x:c>
      <x:c r="F12" s="79" t="str">
        <x:v>https://github.com/darknigthmare/yautja-la-longue-chasse/actions/runs/41196187376/artifacts/13041067289</x:v>
      </x:c>
    </x:row>
    <x:row r="13" ht="29" customHeight="1">
      <x:c r="A13" s="79" t="str">
        <x:v>B137-09</x:v>
      </x:c>
      <x:c r="B13" s="79" t="str">
        <x:v>Mouvements réduits capot</x:v>
      </x:c>
      <x:c r="C13" s="79" t="str">
        <x:v>PASS</x:v>
      </x:c>
      <x:c r="D13" s="79" t="str">
        <x:v>Chrome prefers-reduced-motion</x:v>
      </x:c>
      <x:c r="E13" s="79" t="str">
        <x:v>Toutes animations du gameplay à auditer</x:v>
      </x:c>
      <x:c r="F13" s="79" t="str">
        <x:v>https://github.com/darknigthmare/yautja-la-longue-chasse/actions/runs/41196187376/artifacts/13041067289</x:v>
      </x:c>
    </x:row>
    <x:row r="14" ht="29" customHeight="1">
      <x:c r="A14" s="79" t="str">
        <x:v>B137-10</x:v>
      </x:c>
      <x:c r="B14" s="79" t="str">
        <x:v>Un seul atlas enfant conservé en bascule</x:v>
      </x:c>
      <x:c r="C14" s="79" t="str">
        <x:v>PASS</x:v>
      </x:c>
      <x:c r="D14" s="79" t="str">
        <x:v>Vrai composant UI + atlas témoin</x:v>
      </x:c>
      <x:c r="E14" s="79" t="str">
        <x:v>Simulation V85 réelle non montée</x:v>
      </x:c>
      <x:c r="F14" s="79" t="str">
        <x:v>https://github.com/darknigthmare/yautja-la-longue-chasse/actions/runs/41196187376/artifacts/13041231560</x:v>
      </x:c>
    </x:row>
    <x:row r="15" ht="29" customHeight="1">
      <x:c r="A15" s="79" t="str">
        <x:v>B137-11</x:v>
      </x:c>
      <x:c r="B15" s="79" t="str">
        <x:v>Vue classique cache seulement la décoration</x:v>
      </x:c>
      <x:c r="C15" s="79" t="str">
        <x:v>PASS</x:v>
      </x:c>
      <x:c r="D15" s="79" t="str">
        <x:v>Vrai wrapper, CSS modules</x:v>
      </x:c>
      <x:c r="E15" s="79" t="str">
        <x:v>Changement de mission complète non exercé</x:v>
      </x:c>
      <x:c r="F15" s="79" t="str">
        <x:v>https://github.com/darknigthmare/yautja-la-longue-chasse/actions/runs/41196187376/artifacts/13041231560</x:v>
      </x:c>
    </x:row>
    <x:row r="16" ht="29" customHeight="1">
      <x:c r="A16" s="79" t="str">
        <x:v>B137-12</x:v>
      </x:c>
      <x:c r="B16" s="79" t="str">
        <x:v>Caméra témoin conserve valeur pendant switch</x:v>
      </x:c>
      <x:c r="C16" s="79" t="str">
        <x:v>PASS</x:v>
      </x:c>
      <x:c r="D16" s="79" t="str">
        <x:v>Vrai wrapper, input témoin</x:v>
      </x:c>
      <x:c r="E16" s="79" t="str">
        <x:v>Zoom/rotation réel de l'atlas non end-to-end</x:v>
      </x:c>
      <x:c r="F16" s="79" t="str">
        <x:v>https://github.com/darknigthmare/yautja-la-longue-chasse/actions/runs/41196187376/artifacts/13041231560</x:v>
      </x:c>
    </x:row>
    <x:row r="17" ht="29" customHeight="1">
      <x:c r="A17" s="79" t="str">
        <x:v>B137-13</x:v>
      </x:c>
      <x:c r="B17" s="79" t="str">
        <x:v>Changer Wolf sans remonter état enfant</x:v>
      </x:c>
      <x:c r="C17" s="79" t="str">
        <x:v>PASS</x:v>
      </x:c>
      <x:c r="D17" s="79" t="str">
        <x:v>Vrai wrapper, 1 atlas témoin</x:v>
      </x:c>
      <x:c r="E17" s="79" t="str">
        <x:v>Système de sauvegarde réel non monté</x:v>
      </x:c>
      <x:c r="F17" s="79" t="str">
        <x:v>https://github.com/darknigthmare/yautja-la-longue-chasse/actions/runs/41196187376/artifacts/13041231560</x:v>
      </x:c>
    </x:row>
    <x:row r="18" ht="29" customHeight="1">
      <x:c r="A18" s="79" t="str">
        <x:v>B137-14</x:v>
      </x:c>
      <x:c r="B18" s="79" t="str">
        <x:v>Concept original au même atlas</x:v>
      </x:c>
      <x:c r="C18" s="79" t="str">
        <x:v>PASS</x:v>
      </x:c>
      <x:c r="D18" s="79" t="str">
        <x:v>Vrai wrapper, Lost Shaman</x:v>
      </x:c>
      <x:c r="E18" s="79" t="str">
        <x:v>Matériaux 1:1 non validés</x:v>
      </x:c>
      <x:c r="F18" s="79" t="str">
        <x:v>https://github.com/darknigthmare/yautja-la-longue-chasse/actions/runs/41196187376/artifacts/13041231560</x:v>
      </x:c>
    </x:row>
    <x:row r="19" ht="29" customHeight="1">
      <x:c r="A19" s="79" t="str">
        <x:v>B137-15</x:v>
      </x:c>
      <x:c r="B19" s="79" t="str">
        <x:v>Wrapper mobile guerre sur 390px</x:v>
      </x:c>
      <x:c r="C19" s="79" t="str">
        <x:v>PASS</x:v>
      </x:c>
      <x:c r="D19" s="79" t="str">
        <x:v>Vrai wrapper, viewport Chrome</x:v>
      </x:c>
      <x:c r="E19" s="79" t="str">
        <x:v>Vraie planète complète non mesurée</x:v>
      </x:c>
      <x:c r="F19" s="79" t="str">
        <x:v>https://github.com/darknigthmare/yautja-la-longue-chasse/actions/runs/41196187376/artifacts/13041231560</x:v>
      </x:c>
    </x:row>
    <x:row r="20" ht="29" customHeight="1">
      <x:c r="A20" s="79" t="str">
        <x:v>B137-16</x:v>
      </x:c>
      <x:c r="B20" s="79" t="str">
        <x:v>SaveGame V12 → V13, refus données futures</x:v>
      </x:c>
      <x:c r="C20" s="79" t="str">
        <x:v>PASS</x:v>
      </x:c>
      <x:c r="D20" s="79" t="str">
        <x:v>Node test + TypeScript</x:v>
      </x:c>
      <x:c r="E20" s="79" t="str">
        <x:v>Import entre deux vrais appareils non testé</x:v>
      </x:c>
      <x:c r="F20" s="79" t="str">
        <x:v>https://github.com/darknigthmare/yautja-la-longue-chasse/actions/runs/41196187376</x:v>
      </x:c>
    </x:row>
    <x:row r="21" ht="29" customHeight="1">
      <x:c r="A21" s="79" t="str">
        <x:v>B137-17</x:v>
      </x:c>
      <x:c r="B21" s="79" t="str">
        <x:v>Équipement après import/export SaveGame V13</x:v>
      </x:c>
      <x:c r="C21" s="79" t="str">
        <x:v>PASS</x:v>
      </x:c>
      <x:c r="D21" s="79" t="str">
        <x:v>Node test</x:v>
      </x:c>
      <x:c r="E21" s="79" t="str">
        <x:v>Cloud sync réel non testé</x:v>
      </x:c>
      <x:c r="F21" s="79" t="str">
        <x:v>https://github.com/darknigthmare/yautja-la-longue-chasse/actions/runs/41196187376</x:v>
      </x:c>
    </x:row>
    <x:row r="22" ht="29" customHeight="1">
      <x:c r="A22" s="79" t="str">
        <x:v>B137-18</x:v>
      </x:c>
      <x:c r="B22" s="79" t="str">
        <x:v>Conflit inter-onglet simulé, refus d'écrasement</x:v>
      </x:c>
      <x:c r="C22" s="79" t="str">
        <x:v>PASS</x:v>
      </x:c>
      <x:c r="D22" s="79" t="str">
        <x:v>Node transaction test</x:v>
      </x:c>
      <x:c r="E22" s="79" t="str">
        <x:v>Deux onglets Chrome réels non vérifiés</x:v>
      </x:c>
      <x:c r="F22" s="79" t="str">
        <x:v>https://github.com/darknigthmare/yautja-la-longue-chasse/actions/runs/41196187376</x:v>
      </x:c>
    </x:row>
    <x:row r="23" ht="29" customHeight="1">
      <x:c r="A23" s="79" t="str">
        <x:v>B137-19</x:v>
      </x:c>
      <x:c r="B23" s="79" t="str">
        <x:v>219 sources SVG : transparence et SHA</x:v>
      </x:c>
      <x:c r="C23" s="79" t="str">
        <x:v>PASS</x:v>
      </x:c>
      <x:c r="D23" s="79" t="str">
        <x:v>Sharp CI / fichiers SVG</x:v>
      </x:c>
      <x:c r="E23" s="79" t="str">
        <x:v>PNG 1:1/art humano non validé</x:v>
      </x:c>
      <x:c r="F23" s="79" t="str">
        <x:v>https://github.com/darknigthmare/yautja-la-longue-chasse/actions/runs/41196187434/artifacts/13040272198</x:v>
      </x:c>
    </x:row>
    <x:row r="24" ht="29" customHeight="1">
      <x:c r="A24" s="79" t="str">
        <x:v>B137-20</x:v>
      </x:c>
      <x:c r="B24" s="79" t="str">
        <x:v>54 modèles et 44 études validées dans leur périmètre</x:v>
      </x:c>
      <x:c r="C24" s="79" t="str">
        <x:v>PASS</x:v>
      </x:c>
      <x:c r="D24" s="79" t="str">
        <x:v>Node tests / JSON catalogue</x:v>
      </x:c>
      <x:c r="E24" s="79" t="str">
        <x:v>Condition de quête in-game complète non vérifiée</x:v>
      </x:c>
      <x:c r="F24" s="79" t="str">
        <x:v>https://github.com/darknigthmare/yautja-la-longue-chasse/actions/runs/41196187434</x:v>
      </x:c>
    </x:row>
    <x:row r="25" ht="29" customHeight="1">
      <x:c r="A25" s="79" t="str">
        <x:v>B137-21</x:v>
      </x:c>
      <x:c r="B25" s="79" t="str">
        <x:v>Typecheck du graphe applicatif</x:v>
      </x:c>
      <x:c r="C25" s="79" t="str">
        <x:v>PASS</x:v>
      </x:c>
      <x:c r="D25" s="79" t="str">
        <x:v>npm run typecheck</x:v>
      </x:c>
      <x:c r="E25" s="79" t="str">
        <x:v>Exécution du jeu interactif complet distincte</x:v>
      </x:c>
      <x:c r="F25" s="79" t="str">
        <x:v>https://github.com/darknigthmare/yautja-la-longue-chasse/actions/runs/41196187376</x:v>
      </x:c>
    </x:row>
    <x:row r="26" ht="29" customHeight="1">
      <x:c r="A26" s="79" t="str">
        <x:v>B137-22</x:v>
      </x:c>
      <x:c r="B26" s="79" t="str">
        <x:v>Build applicatif complet</x:v>
      </x:c>
      <x:c r="C26" s="79" t="str">
        <x:v>PASS</x:v>
      </x:c>
      <x:c r="D26" s="79" t="str">
        <x:v>npm run build</x:v>
      </x:c>
      <x:c r="E26" s="79" t="str">
        <x:v>Tests de performance/qualité visuelle distincts</x:v>
      </x:c>
      <x:c r="F26" s="79" t="str">
        <x:v>https://github.com/darknigthmare/yautja-la-longue-chasse/actions/runs/41196187376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5" hidden="0" customWidth="1"/>
    <x:col min="3" max="3" width="28" hidden="0" customWidth="1"/>
    <x:col min="4" max="4" width="27" hidden="0" customWidth="1"/>
    <x:col min="5" max="5" width="46" hidden="0" customWidth="1"/>
    <x:col min="6" max="6" width="39" hidden="0" customWidth="1"/>
    <x:col min="7" max="7" width="75" hidden="0" customWidth="1"/>
    <x:col min="8" max="8" width="20" hidden="0" customWidth="1"/>
    <x:col min="9" max="9" width="34" hidden="0" customWidth="1"/>
    <x:col min="10" max="10" width="13" hidden="0" customWidth="1"/>
    <x:col min="11" max="11" width="78" hidden="0" customWidth="1"/>
    <x:col min="12" max="12" width="46" hidden="0" customWidth="1"/>
  </x:cols>
  <x:sheetData>
    <x:row r="1" ht="38" customHeight="1">
      <x:c r="A1" s="85" t="str">
        <x:v>V137 | TOUTES LES LIGNES ENCORE NON FERMÉES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</x:row>
    <x:row r="2" ht="40" customHeight="1">
      <x:c r="A2" s="89" t="str">
        <x:v>Registre de reprise consolidé depuis 10 feuilles historiques. « PARTIEL » distingue un composant réellement codé d'une finition ou validation qui reste à livrer. Zéro fermeture artistique automatique.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</x:row>
    <x:row r="4" ht="31" customHeight="1">
      <x:c r="A4" s="93" t="str">
        <x:v>Classeur / onglet</x:v>
      </x:c>
      <x:c r="B4" s="93" t="str">
        <x:v>Ligne Excel</x:v>
      </x:c>
      <x:c r="C4" s="93" t="str">
        <x:v>ID tâche</x:v>
      </x:c>
      <x:c r="D4" s="93" t="str">
        <x:v>Modèle / domaine</x:v>
      </x:c>
      <x:c r="E4" s="93" t="str">
        <x:v>Scénario ou paquet</x:v>
      </x:c>
      <x:c r="F4" s="93" t="str">
        <x:v>État réel</x:v>
      </x:c>
      <x:c r="G4" s="93" t="str">
        <x:v>Critère précis restant</x:v>
      </x:c>
      <x:c r="H4" s="93" t="str">
        <x:v>Discipline</x:v>
      </x:c>
      <x:c r="I4" s="93" t="str">
        <x:v>Fermeture par CI seule ?</x:v>
      </x:c>
      <x:c r="J4" s="93" t="str">
        <x:v>Priorité</x:v>
      </x:c>
      <x:c r="K4" s="93" t="str">
        <x:v>Preuve / source</x:v>
      </x:c>
      <x:c r="L4" s="93" t="str">
        <x:v>Déjà présent</x:v>
      </x:c>
    </x:row>
    <x:row r="5" ht="29" customHeight="1">
      <x:c r="A5" s="79" t="str">
        <x:v>05_Assets</x:v>
      </x:c>
      <x:c r="B5" s="79" t="n">
        <x:v>5</x:v>
      </x:c>
      <x:c r="C5" s="79" t="str">
        <x:v>jungle-hunter-ARM-L</x:v>
      </x:c>
      <x:c r="D5" s="79" t="str">
        <x:v>jungle-hunter</x:v>
      </x:c>
      <x:c r="E5" s="79" t="str">
        <x:v>Bras gauche / poignet</x:v>
      </x:c>
      <x:c r="F5" s="79" t="str">
        <x:v>PARTIEL · prototype technique</x:v>
      </x:c>
      <x:c r="G5" s="79" t="str">
        <x:v>Comparer bras et poignet à plusieurs plans canoniques ; adapter au rig dans toutes poses</x:v>
      </x:c>
      <x:c r="H5" s="79" t="str">
        <x:v>ART+QA</x:v>
      </x:c>
      <x:c r="I5" s="79" t="str">
        <x:v>Oui, pour les contrats techniques uniquement</x:v>
      </x:c>
      <x:c r="J5" s="79" t="str">
        <x:v>P0</x:v>
      </x:c>
      <x:c r="K5" s="79" t="str">
        <x:v>https://github.com/darknigthmare/yautja-la-longue-chasse/blob/feat/v131-gauntlet-hologram-dual-view-20261030/public/game/assets/v134/gauntlets/jungle-hunter/01-arm.svg</x:v>
      </x:c>
      <x:c r="L5" s="79" t="str">
        <x:v>Prototype SVG individuel + alpha PNG</x:v>
      </x:c>
    </x:row>
    <x:row r="6" ht="29" customHeight="1">
      <x:c r="A6" s="79" t="str">
        <x:v>05_Assets</x:v>
      </x:c>
      <x:c r="B6" s="79" t="n">
        <x:v>6</x:v>
      </x:c>
      <x:c r="C6" s="79" t="str">
        <x:v>jungle-hunter-SHELL-C</x:v>
      </x:c>
      <x:c r="D6" s="79" t="str">
        <x:v>jungle-hunter</x:v>
      </x:c>
      <x:c r="E6" s="79" t="str">
        <x:v>Coque fermée</x:v>
      </x:c>
      <x:c r="F6" s="79" t="str">
        <x:v>PARTIEL · prototype technique</x:v>
      </x:c>
      <x:c r="G6" s="79" t="str">
        <x:v>Vérifier forme/proportions/cuirasse 1:1 et textures, pas seulement SVG</x:v>
      </x:c>
      <x:c r="H6" s="79" t="str">
        <x:v>ART+QA</x:v>
      </x:c>
      <x:c r="I6" s="79" t="str">
        <x:v>Oui, pour les contrats techniques uniquement</x:v>
      </x:c>
      <x:c r="J6" s="79" t="str">
        <x:v>P0</x:v>
      </x:c>
      <x:c r="K6" s="79" t="str">
        <x:v>https://github.com/darknigthmare/yautja-la-longue-chasse/blob/feat/v131-gauntlet-hologram-dual-view-20261030/public/game/assets/v134/gauntlets/jungle-hunter/02-housing.svg</x:v>
      </x:c>
      <x:c r="L6" s="79" t="str">
        <x:v>Coque individuelle SVG + PNG, non 1:1</x:v>
      </x:c>
    </x:row>
    <x:row r="7" ht="29" customHeight="1">
      <x:c r="A7" s="79" t="str">
        <x:v>05_Assets</x:v>
      </x:c>
      <x:c r="B7" s="79" t="n">
        <x:v>7</x:v>
      </x:c>
      <x:c r="C7" s="79" t="str">
        <x:v>jungle-hunter-SHELL-O</x:v>
      </x:c>
      <x:c r="D7" s="79" t="str">
        <x:v>jungle-hunter</x:v>
      </x:c>
      <x:c r="E7" s="79" t="str">
        <x:v>Coque ouverte</x:v>
      </x:c>
      <x:c r="F7" s="79" t="str">
        <x:v>PARTIEL · prototype technique</x:v>
      </x:c>
      <x:c r="G7" s="79" t="str">
        <x:v>Mesurer pivot/capots sur film et compléter les états ouvrir-fermer-ranger</x:v>
      </x:c>
      <x:c r="H7" s="79" t="str">
        <x:v>ART+QA</x:v>
      </x:c>
      <x:c r="I7" s="79" t="str">
        <x:v>Oui, pour les contrats techniques uniquement</x:v>
      </x:c>
      <x:c r="J7" s="79" t="str">
        <x:v>P0</x:v>
      </x:c>
      <x:c r="K7" s="79" t="str">
        <x:v>https://github.com/darknigthmare/yautja-la-longue-chasse/blob/feat/v131-gauntlet-hologram-dual-view-20261030/public/game/assets/v134/gauntlets/jungle-hunter/07-beam.svg</x:v>
      </x:c>
      <x:c r="L7" s="79" t="str">
        <x:v>Capot ouvrable en React/CSS, animation partielle</x:v>
      </x:c>
    </x:row>
    <x:row r="8" ht="29" customHeight="1">
      <x:c r="A8" s="79" t="str">
        <x:v>05_Assets</x:v>
      </x:c>
      <x:c r="B8" s="79" t="n">
        <x:v>8</x:v>
      </x:c>
      <x:c r="C8" s="79" t="str">
        <x:v>jungle-hunter-UI-RED</x:v>
      </x:c>
      <x:c r="D8" s="79" t="str">
        <x:v>jungle-hunter</x:v>
      </x:c>
      <x:c r="E8" s="79" t="str">
        <x:v>Contrôle / glyphes</x:v>
      </x:c>
      <x:c r="F8" s="79" t="str">
        <x:v>PARTIEL · prototype technique</x:v>
      </x:c>
      <x:c r="G8" s="79" t="str">
        <x:v>Remplacer symboles conceptuels par graphismes source documentés sans inventer du canon</x:v>
      </x:c>
      <x:c r="H8" s="79" t="str">
        <x:v>ART+QA</x:v>
      </x:c>
      <x:c r="I8" s="79" t="str">
        <x:v>Oui, pour les contrats techniques uniquement</x:v>
      </x:c>
      <x:c r="J8" s="79" t="str">
        <x:v>P0</x:v>
      </x:c>
      <x:c r="K8" s="79" t="str">
        <x:v>https://github.com/darknigthmare/yautja-la-longue-chasse/blob/feat/v131-gauntlet-hologram-dual-view-20261030/public/game/assets/v134/gauntlets/jungle-hunter/03-display-glyphs.svg</x:v>
      </x:c>
      <x:c r="L8" s="79" t="str">
        <x:v>Interface distincte en SVG / couleurs non certifiées</x:v>
      </x:c>
    </x:row>
    <x:row r="9" ht="29" customHeight="1">
      <x:c r="A9" s="79" t="str">
        <x:v>05_Assets</x:v>
      </x:c>
      <x:c r="B9" s="79" t="n">
        <x:v>9</x:v>
      </x:c>
      <x:c r="C9" s="79" t="str">
        <x:v>jungle-hunter-RIBS</x:v>
      </x:c>
      <x:c r="D9" s="79" t="str">
        <x:v>jungle-hunter</x:v>
      </x:c>
      <x:c r="E9" s="79" t="str">
        <x:v>Ribures et mécanique</x:v>
      </x:c>
      <x:c r="F9" s="79" t="str">
        <x:v>OUVERT · séparation des sous-pièces</x:v>
      </x:c>
      <x:c r="G9" s="79" t="str">
        <x:v>Découper les pièces mécaniques, valider attaches et reliefs individuels</x:v>
      </x:c>
      <x:c r="H9" s="79" t="str">
        <x:v>ART+QA</x:v>
      </x:c>
      <x:c r="I9" s="79" t="str">
        <x:v>Oui, pour les contrats techniques uniquement</x:v>
      </x:c>
      <x:c r="J9" s="79" t="str">
        <x:v>P0</x:v>
      </x:c>
      <x:c r="K9" s="79" t="str">
        <x:v>https://github.com/darknigthmare/yautja-la-longue-chasse/blob/feat/v131-gauntlet-hologram-dual-view-20261030/public/game/assets/v134/gauntlets/jungle-hunter/02-housing.svg</x:v>
      </x:c>
      <x:c r="L9" s="79" t="str">
        <x:v>Détails de coque présents, sous-pièces non séparées</x:v>
      </x:c>
    </x:row>
    <x:row r="10" ht="29" customHeight="1">
      <x:c r="A10" s="79" t="str">
        <x:v>05_Assets</x:v>
      </x:c>
      <x:c r="B10" s="79" t="n">
        <x:v>10</x:v>
      </x:c>
      <x:c r="C10" s="79" t="str">
        <x:v>jungle-hunter-BEAM</x:v>
      </x:c>
      <x:c r="D10" s="79" t="str">
        <x:v>jungle-hunter</x:v>
      </x:c>
      <x:c r="E10" s="79" t="str">
        <x:v>Émetteur holographique</x:v>
      </x:c>
      <x:c r="F10" s="79" t="str">
        <x:v>PARTIEL · prototype technique</x:v>
      </x:c>
      <x:c r="G10" s="79" t="str">
        <x:v>Conserver fonctionnalité HUD et produire la signature holographique de chaque modèle</x:v>
      </x:c>
      <x:c r="H10" s="79" t="str">
        <x:v>ART+QA</x:v>
      </x:c>
      <x:c r="I10" s="79" t="str">
        <x:v>Oui, pour les contrats techniques uniquement</x:v>
      </x:c>
      <x:c r="J10" s="79" t="str">
        <x:v>P0</x:v>
      </x:c>
      <x:c r="K10" s="79" t="str">
        <x:v>https://github.com/darknigthmare/yautja-la-longue-chasse/blob/feat/v131-gauntlet-hologram-dual-view-20261030/public/game/assets/v134/gauntlets/jungle-hunter/07-beam.svg</x:v>
      </x:c>
      <x:c r="L10" s="79" t="str">
        <x:v>Faisceau du projet (JH dédié, autres effet commun)</x:v>
      </x:c>
    </x:row>
    <x:row r="11" ht="29" customHeight="1">
      <x:c r="A11" s="79" t="str">
        <x:v>05_Assets</x:v>
      </x:c>
      <x:c r="B11" s="79" t="n">
        <x:v>11</x:v>
      </x:c>
      <x:c r="C11" s="79" t="str">
        <x:v>jungle-hunter-MOVE</x:v>
      </x:c>
      <x:c r="D11" s="79" t="str">
        <x:v>jungle-hunter</x:v>
      </x:c>
      <x:c r="E11" s="79" t="str">
        <x:v>Animations 4 états</x:v>
      </x:c>
      <x:c r="F11" s="79" t="str">
        <x:v>PARTIEL · prototype technique</x:v>
      </x:c>
      <x:c r="G11" s="79" t="str">
        <x:v>Compléter lever, ouvrir, projeter, ranger ; aligner au rig et à la caméra</x:v>
      </x:c>
      <x:c r="H11" s="79" t="str">
        <x:v>ART+QA</x:v>
      </x:c>
      <x:c r="I11" s="79" t="str">
        <x:v>Oui, pour les contrats techniques uniquement</x:v>
      </x:c>
      <x:c r="J11" s="79" t="str">
        <x:v>P0</x:v>
      </x:c>
      <x:c r="K11" s="79" t="str">
        <x:v>https://github.com/darknigthmare/yautja-la-longue-chasse/blob/feat/v131-gauntlet-hologram-dual-view-20261030/public/game/assets/v134/gauntlets/jungle-hunter/07-beam.svg</x:v>
      </x:c>
      <x:c r="L11" s="79" t="str">
        <x:v>Capot ouvert/fermé ; 3 gestes complets restent à faire</x:v>
      </x:c>
    </x:row>
    <x:row r="12" ht="29" customHeight="1">
      <x:c r="A12" s="79" t="str">
        <x:v>05_Assets</x:v>
      </x:c>
      <x:c r="B12" s="79" t="n">
        <x:v>12</x:v>
      </x:c>
      <x:c r="C12" s="79" t="str">
        <x:v>jungle-hunter-SFX</x:v>
      </x:c>
      <x:c r="D12" s="79" t="str">
        <x:v>jungle-hunter</x:v>
      </x:c>
      <x:c r="E12" s="79" t="str">
        <x:v>Identité sonore</x:v>
      </x:c>
      <x:c r="F12" s="79" t="str">
        <x:v>PARTIEL · prototype technique</x:v>
      </x:c>
      <x:c r="G12" s="79" t="str">
        <x:v>Distinguer signatures individualisées, écouter et calibrer mixage/mute</x:v>
      </x:c>
      <x:c r="H12" s="79" t="str">
        <x:v>UI/AUDIO</x:v>
      </x:c>
      <x:c r="I12" s="79" t="str">
        <x:v>Oui, pour les contrats techniques uniquement</x:v>
      </x:c>
      <x:c r="J12" s="79" t="str">
        <x:v>P0</x:v>
      </x:c>
      <x:c r="K12" s="79" t="str">
        <x:v>https://github.com/darknigthmare/yautja-la-longue-chasse/blob/feat/v131-gauntlet-hologram-dual-view-20261030/app/game/sound.ts</x:v>
      </x:c>
      <x:c r="L12" s="79" t="str">
        <x:v>Signature sonore par thème (10 profils), source non cinéma</x:v>
      </x:c>
    </x:row>
    <x:row r="13" ht="29" customHeight="1">
      <x:c r="A13" s="79" t="str">
        <x:v>05_Assets</x:v>
      </x:c>
      <x:c r="B13" s="79" t="n">
        <x:v>13</x:v>
      </x:c>
      <x:c r="C13" s="79" t="str">
        <x:v>jungle-hunter-HUD</x:v>
      </x:c>
      <x:c r="D13" s="79" t="str">
        <x:v>jungle-hunter</x:v>
      </x:c>
      <x:c r="E13" s="79" t="str">
        <x:v>Palette / projection</x:v>
      </x:c>
      <x:c r="F13" s="79" t="str">
        <x:v>PARTIEL · prototype technique</x:v>
      </x:c>
      <x:c r="G13" s="79" t="str">
        <x:v>Tester toutes résolutions, contrôles, sous-modes et cohérence d'infos</x:v>
      </x:c>
      <x:c r="H13" s="79" t="str">
        <x:v>UI/AUDIO</x:v>
      </x:c>
      <x:c r="I13" s="79" t="str">
        <x:v>Oui, pour les contrats techniques uniquement</x:v>
      </x:c>
      <x:c r="J13" s="79" t="str">
        <x:v>P0</x:v>
      </x:c>
      <x:c r="K13" s="79" t="str">
        <x:v>https://github.com/darknigthmare/yautja-la-longue-chasse/blob/feat/v131-gauntlet-hologram-dual-view-20261030/app/game/ClanWarGauntletV131.tsx</x:v>
      </x:c>
      <x:c r="L13" s="79" t="str">
        <x:v>HUD connecté / simulation intacte ; QA visuelle restante</x:v>
      </x:c>
    </x:row>
    <x:row r="14" ht="29" customHeight="1">
      <x:c r="A14" s="79" t="str">
        <x:v>05_Assets</x:v>
      </x:c>
      <x:c r="B14" s="79" t="n">
        <x:v>14</x:v>
      </x:c>
      <x:c r="C14" s="79" t="str">
        <x:v>jungle-hunter-QA</x:v>
      </x:c>
      <x:c r="D14" s="79" t="str">
        <x:v>jungle-hunter</x:v>
      </x:c>
      <x:c r="E14" s="79" t="str">
        <x:v>Comparaisons + tests</x:v>
      </x:c>
      <x:c r="F14" s="79" t="str">
        <x:v>PARTIEL · prototype technique</x:v>
      </x:c>
      <x:c r="G14" s="79" t="str">
        <x:v>Réaliser contrôles visuels film/rig + E2E jeu, FPS et accessibilité</x:v>
      </x:c>
      <x:c r="H14" s="79" t="str">
        <x:v>ART+QA</x:v>
      </x:c>
      <x:c r="I14" s="79" t="str">
        <x:v>Oui, pour les contrats techniques uniquement</x:v>
      </x:c>
      <x:c r="J14" s="79" t="str">
        <x:v>P0</x:v>
      </x:c>
      <x:c r="K14" s="79" t="str">
        <x:v>https://github.com/darknigthmare/yautja-la-longue-chasse/blob/feat/v131-gauntlet-hologram-dual-view-20261030/tests/gauntlet-archive-studies-v136.test.mjs</x:v>
      </x:c>
      <x:c r="L14" s="79" t="str">
        <x:v>Tests CI source / alpha / type / navigateur autonome ; 1:1 restant</x:v>
      </x:c>
    </x:row>
    <x:row r="15" ht="29" customHeight="1">
      <x:c r="A15" s="79" t="str">
        <x:v>05_Assets</x:v>
      </x:c>
      <x:c r="B15" s="79" t="n">
        <x:v>15</x:v>
      </x:c>
      <x:c r="C15" s="79" t="str">
        <x:v>city-hunter-ARM-L</x:v>
      </x:c>
      <x:c r="D15" s="79" t="str">
        <x:v>city-hunter</x:v>
      </x:c>
      <x:c r="E15" s="79" t="str">
        <x:v>Bras gauche / poignet</x:v>
      </x:c>
      <x:c r="F15" s="79" t="str">
        <x:v>PARTIEL · prototype technique</x:v>
      </x:c>
      <x:c r="G15" s="79" t="str">
        <x:v>Comparer bras et poignet à plusieurs plans canoniques ; adapter au rig dans toutes poses</x:v>
      </x:c>
      <x:c r="H15" s="79" t="str">
        <x:v>ART+QA</x:v>
      </x:c>
      <x:c r="I15" s="79" t="str">
        <x:v>Oui, pour les contrats techniques uniquement</x:v>
      </x:c>
      <x:c r="J15" s="79" t="str">
        <x:v>P1</x:v>
      </x:c>
      <x:c r="K15" s="79" t="str">
        <x:v>https://github.com/darknigthmare/yautja-la-longue-chasse/blob/feat/v131-gauntlet-hologram-dual-view-20261030/public/game/assets/v135/gauntlets/city-hunter/01-forearm.svg</x:v>
      </x:c>
      <x:c r="L15" s="79" t="str">
        <x:v>Prototype SVG individuel + alpha PNG</x:v>
      </x:c>
    </x:row>
    <x:row r="16" ht="29" customHeight="1">
      <x:c r="A16" s="79" t="str">
        <x:v>05_Assets</x:v>
      </x:c>
      <x:c r="B16" s="79" t="n">
        <x:v>16</x:v>
      </x:c>
      <x:c r="C16" s="79" t="str">
        <x:v>city-hunter-SHELL-C</x:v>
      </x:c>
      <x:c r="D16" s="79" t="str">
        <x:v>city-hunter</x:v>
      </x:c>
      <x:c r="E16" s="79" t="str">
        <x:v>Coque fermée</x:v>
      </x:c>
      <x:c r="F16" s="79" t="str">
        <x:v>PARTIEL · prototype technique</x:v>
      </x:c>
      <x:c r="G16" s="79" t="str">
        <x:v>Vérifier forme/proportions/cuirasse 1:1 et textures, pas seulement SVG</x:v>
      </x:c>
      <x:c r="H16" s="79" t="str">
        <x:v>ART+QA</x:v>
      </x:c>
      <x:c r="I16" s="79" t="str">
        <x:v>Oui, pour les contrats techniques uniquement</x:v>
      </x:c>
      <x:c r="J16" s="79" t="str">
        <x:v>P1</x:v>
      </x:c>
      <x:c r="K16" s="79" t="str">
        <x:v>https://github.com/darknigthmare/yautja-la-longue-chasse/blob/feat/v131-gauntlet-hologram-dual-view-20261030/public/game/assets/v135/gauntlets/city-hunter/02-shell.svg</x:v>
      </x:c>
      <x:c r="L16" s="79" t="str">
        <x:v>Coque individuelle SVG + PNG, non 1:1</x:v>
      </x:c>
    </x:row>
    <x:row r="17" ht="29" customHeight="1">
      <x:c r="A17" s="79" t="str">
        <x:v>05_Assets</x:v>
      </x:c>
      <x:c r="B17" s="79" t="n">
        <x:v>17</x:v>
      </x:c>
      <x:c r="C17" s="79" t="str">
        <x:v>city-hunter-SHELL-O</x:v>
      </x:c>
      <x:c r="D17" s="79" t="str">
        <x:v>city-hunter</x:v>
      </x:c>
      <x:c r="E17" s="79" t="str">
        <x:v>Coque ouverte</x:v>
      </x:c>
      <x:c r="F17" s="79" t="str">
        <x:v>PARTIEL · prototype technique</x:v>
      </x:c>
      <x:c r="G17" s="79" t="str">
        <x:v>Mesurer pivot/capots sur film et compléter les états ouvrir-fermer-ranger</x:v>
      </x:c>
      <x:c r="H17" s="79" t="str">
        <x:v>ART+QA</x:v>
      </x:c>
      <x:c r="I17" s="79" t="str">
        <x:v>Oui, pour les contrats techniques uniquement</x:v>
      </x:c>
      <x:c r="J17" s="79" t="str">
        <x:v>P1</x:v>
      </x:c>
      <x:c r="K17" s="79" t="str">
        <x:v>https://github.com/darknigthmare/yautja-la-longue-chasse/blob/feat/v131-gauntlet-hologram-dual-view-20261030/public/game/assets/v135/gauntlets/city-hunter/04-cover.svg</x:v>
      </x:c>
      <x:c r="L17" s="79" t="str">
        <x:v>Capot ouvrable en React/CSS, animation partielle</x:v>
      </x:c>
    </x:row>
    <x:row r="18" ht="29" customHeight="1">
      <x:c r="A18" s="79" t="str">
        <x:v>05_Assets</x:v>
      </x:c>
      <x:c r="B18" s="79" t="n">
        <x:v>18</x:v>
      </x:c>
      <x:c r="C18" s="79" t="str">
        <x:v>city-hunter-UI-RED</x:v>
      </x:c>
      <x:c r="D18" s="79" t="str">
        <x:v>city-hunter</x:v>
      </x:c>
      <x:c r="E18" s="79" t="str">
        <x:v>Contrôle / glyphes</x:v>
      </x:c>
      <x:c r="F18" s="79" t="str">
        <x:v>PARTIEL · prototype technique</x:v>
      </x:c>
      <x:c r="G18" s="79" t="str">
        <x:v>Remplacer symboles conceptuels par graphismes source documentés sans inventer du canon</x:v>
      </x:c>
      <x:c r="H18" s="79" t="str">
        <x:v>ART+QA</x:v>
      </x:c>
      <x:c r="I18" s="79" t="str">
        <x:v>Oui, pour les contrats techniques uniquement</x:v>
      </x:c>
      <x:c r="J18" s="79" t="str">
        <x:v>P1</x:v>
      </x:c>
      <x:c r="K18" s="79" t="str">
        <x:v>https://github.com/darknigthmare/yautja-la-longue-chasse/blob/feat/v131-gauntlet-hologram-dual-view-20261030/public/game/assets/v135/gauntlets/city-hunter/03-panel.svg</x:v>
      </x:c>
      <x:c r="L18" s="79" t="str">
        <x:v>Interface distincte en SVG / couleurs non certifiées</x:v>
      </x:c>
    </x:row>
    <x:row r="19" ht="29" customHeight="1">
      <x:c r="A19" s="79" t="str">
        <x:v>05_Assets</x:v>
      </x:c>
      <x:c r="B19" s="79" t="n">
        <x:v>19</x:v>
      </x:c>
      <x:c r="C19" s="79" t="str">
        <x:v>city-hunter-RIBS</x:v>
      </x:c>
      <x:c r="D19" s="79" t="str">
        <x:v>city-hunter</x:v>
      </x:c>
      <x:c r="E19" s="79" t="str">
        <x:v>Ribures et mécanique</x:v>
      </x:c>
      <x:c r="F19" s="79" t="str">
        <x:v>OUVERT · séparation des sous-pièces</x:v>
      </x:c>
      <x:c r="G19" s="79" t="str">
        <x:v>Découper les pièces mécaniques, valider attaches et reliefs individuels</x:v>
      </x:c>
      <x:c r="H19" s="79" t="str">
        <x:v>ART+QA</x:v>
      </x:c>
      <x:c r="I19" s="79" t="str">
        <x:v>Oui, pour les contrats techniques uniquement</x:v>
      </x:c>
      <x:c r="J19" s="79" t="str">
        <x:v>P1</x:v>
      </x:c>
      <x:c r="K19" s="79" t="str">
        <x:v>https://github.com/darknigthmare/yautja-la-longue-chasse/blob/feat/v131-gauntlet-hologram-dual-view-20261030/public/game/assets/v135/gauntlets/city-hunter/02-shell.svg</x:v>
      </x:c>
      <x:c r="L19" s="79" t="str">
        <x:v>Détails de coque présents, sous-pièces non séparées</x:v>
      </x:c>
    </x:row>
    <x:row r="20" ht="29" customHeight="1">
      <x:c r="A20" s="79" t="str">
        <x:v>05_Assets</x:v>
      </x:c>
      <x:c r="B20" s="79" t="n">
        <x:v>20</x:v>
      </x:c>
      <x:c r="C20" s="79" t="str">
        <x:v>city-hunter-BEAM</x:v>
      </x:c>
      <x:c r="D20" s="79" t="str">
        <x:v>city-hunter</x:v>
      </x:c>
      <x:c r="E20" s="79" t="str">
        <x:v>Émetteur holographique</x:v>
      </x:c>
      <x:c r="F20" s="79" t="str">
        <x:v>PARTIEL · prototype technique</x:v>
      </x:c>
      <x:c r="G20" s="79" t="str">
        <x:v>Conserver fonctionnalité HUD et produire la signature holographique de chaque modèle</x:v>
      </x:c>
      <x:c r="H20" s="79" t="str">
        <x:v>ART+QA</x:v>
      </x:c>
      <x:c r="I20" s="79" t="str">
        <x:v>Oui, pour les contrats techniques uniquement</x:v>
      </x:c>
      <x:c r="J20" s="79" t="str">
        <x:v>P1</x:v>
      </x:c>
      <x:c r="K20" s="79" t="str">
        <x:v>https://github.com/darknigthmare/yautja-la-longue-chasse/blob/feat/v131-gauntlet-hologram-dual-view-20261030/app/game/ClanWarGauntletV131.tsx</x:v>
      </x:c>
      <x:c r="L20" s="79" t="str">
        <x:v>Faisceau du projet (JH dédié, autres effet commun)</x:v>
      </x:c>
    </x:row>
    <x:row r="21" ht="29" customHeight="1">
      <x:c r="A21" s="79" t="str">
        <x:v>05_Assets</x:v>
      </x:c>
      <x:c r="B21" s="79" t="n">
        <x:v>21</x:v>
      </x:c>
      <x:c r="C21" s="79" t="str">
        <x:v>city-hunter-MOVE</x:v>
      </x:c>
      <x:c r="D21" s="79" t="str">
        <x:v>city-hunter</x:v>
      </x:c>
      <x:c r="E21" s="79" t="str">
        <x:v>Animations 4 états</x:v>
      </x:c>
      <x:c r="F21" s="79" t="str">
        <x:v>PARTIEL · prototype technique</x:v>
      </x:c>
      <x:c r="G21" s="79" t="str">
        <x:v>Compléter lever, ouvrir, projeter, ranger ; aligner au rig et à la caméra</x:v>
      </x:c>
      <x:c r="H21" s="79" t="str">
        <x:v>ART+QA</x:v>
      </x:c>
      <x:c r="I21" s="79" t="str">
        <x:v>Oui, pour les contrats techniques uniquement</x:v>
      </x:c>
      <x:c r="J21" s="79" t="str">
        <x:v>P1</x:v>
      </x:c>
      <x:c r="K21" s="79" t="str">
        <x:v>https://github.com/darknigthmare/yautja-la-longue-chasse/blob/feat/v131-gauntlet-hologram-dual-view-20261030/public/game/assets/v135/gauntlets/city-hunter/04-cover.svg</x:v>
      </x:c>
      <x:c r="L21" s="79" t="str">
        <x:v>Capot ouvert/fermé ; 3 gestes complets restent à faire</x:v>
      </x:c>
    </x:row>
    <x:row r="22" ht="29" customHeight="1">
      <x:c r="A22" s="79" t="str">
        <x:v>05_Assets</x:v>
      </x:c>
      <x:c r="B22" s="79" t="n">
        <x:v>22</x:v>
      </x:c>
      <x:c r="C22" s="79" t="str">
        <x:v>city-hunter-SFX</x:v>
      </x:c>
      <x:c r="D22" s="79" t="str">
        <x:v>city-hunter</x:v>
      </x:c>
      <x:c r="E22" s="79" t="str">
        <x:v>Identité sonore</x:v>
      </x:c>
      <x:c r="F22" s="79" t="str">
        <x:v>PARTIEL · prototype technique</x:v>
      </x:c>
      <x:c r="G22" s="79" t="str">
        <x:v>Distinguer signatures individualisées, écouter et calibrer mixage/mute</x:v>
      </x:c>
      <x:c r="H22" s="79" t="str">
        <x:v>UI/AUDIO</x:v>
      </x:c>
      <x:c r="I22" s="79" t="str">
        <x:v>Oui, pour les contrats techniques uniquement</x:v>
      </x:c>
      <x:c r="J22" s="79" t="str">
        <x:v>P1</x:v>
      </x:c>
      <x:c r="K22" s="79" t="str">
        <x:v>https://github.com/darknigthmare/yautja-la-longue-chasse/blob/feat/v131-gauntlet-hologram-dual-view-20261030/app/game/sound.ts</x:v>
      </x:c>
      <x:c r="L22" s="79" t="str">
        <x:v>Signature sonore par thème (10 profils), source non cinéma</x:v>
      </x:c>
    </x:row>
    <x:row r="23" ht="29" customHeight="1">
      <x:c r="A23" s="79" t="str">
        <x:v>05_Assets</x:v>
      </x:c>
      <x:c r="B23" s="79" t="n">
        <x:v>23</x:v>
      </x:c>
      <x:c r="C23" s="79" t="str">
        <x:v>city-hunter-HUD</x:v>
      </x:c>
      <x:c r="D23" s="79" t="str">
        <x:v>city-hunter</x:v>
      </x:c>
      <x:c r="E23" s="79" t="str">
        <x:v>Palette / projection</x:v>
      </x:c>
      <x:c r="F23" s="79" t="str">
        <x:v>PARTIEL · prototype technique</x:v>
      </x:c>
      <x:c r="G23" s="79" t="str">
        <x:v>Tester toutes résolutions, contrôles, sous-modes et cohérence d'infos</x:v>
      </x:c>
      <x:c r="H23" s="79" t="str">
        <x:v>UI/AUDIO</x:v>
      </x:c>
      <x:c r="I23" s="79" t="str">
        <x:v>Oui, pour les contrats techniques uniquement</x:v>
      </x:c>
      <x:c r="J23" s="79" t="str">
        <x:v>P1</x:v>
      </x:c>
      <x:c r="K23" s="79" t="str">
        <x:v>https://github.com/darknigthmare/yautja-la-longue-chasse/blob/feat/v131-gauntlet-hologram-dual-view-20261030/app/game/ClanWarGauntletV131.tsx</x:v>
      </x:c>
      <x:c r="L23" s="79" t="str">
        <x:v>HUD connecté / simulation intacte ; QA visuelle restante</x:v>
      </x:c>
    </x:row>
    <x:row r="24" ht="29" customHeight="1">
      <x:c r="A24" s="79" t="str">
        <x:v>05_Assets</x:v>
      </x:c>
      <x:c r="B24" s="79" t="n">
        <x:v>24</x:v>
      </x:c>
      <x:c r="C24" s="79" t="str">
        <x:v>city-hunter-QA</x:v>
      </x:c>
      <x:c r="D24" s="79" t="str">
        <x:v>city-hunter</x:v>
      </x:c>
      <x:c r="E24" s="79" t="str">
        <x:v>Comparaisons + tests</x:v>
      </x:c>
      <x:c r="F24" s="79" t="str">
        <x:v>PARTIEL · prototype technique</x:v>
      </x:c>
      <x:c r="G24" s="79" t="str">
        <x:v>Réaliser contrôles visuels film/rig + E2E jeu, FPS et accessibilité</x:v>
      </x:c>
      <x:c r="H24" s="79" t="str">
        <x:v>ART+QA</x:v>
      </x:c>
      <x:c r="I24" s="79" t="str">
        <x:v>Oui, pour les contrats techniques uniquement</x:v>
      </x:c>
      <x:c r="J24" s="79" t="str">
        <x:v>P1</x:v>
      </x:c>
      <x:c r="K24" s="79" t="str">
        <x:v>https://github.com/darknigthmare/yautja-la-longue-chasse/blob/feat/v131-gauntlet-hologram-dual-view-20261030/tests/gauntlet-archive-studies-v136.test.mjs</x:v>
      </x:c>
      <x:c r="L24" s="79" t="str">
        <x:v>Tests CI source / alpha / type / navigateur autonome ; 1:1 restant</x:v>
      </x:c>
    </x:row>
    <x:row r="25" ht="29" customHeight="1">
      <x:c r="A25" s="79" t="str">
        <x:v>05_Assets</x:v>
      </x:c>
      <x:c r="B25" s="79" t="n">
        <x:v>25</x:v>
      </x:c>
      <x:c r="C25" s="79" t="str">
        <x:v>greyback-ARM-L</x:v>
      </x:c>
      <x:c r="D25" s="79" t="str">
        <x:v>greyback</x:v>
      </x:c>
      <x:c r="E25" s="79" t="str">
        <x:v>Bras gauche / poignet</x:v>
      </x:c>
      <x:c r="F25" s="79" t="str">
        <x:v>PARTIEL · prototype technique</x:v>
      </x:c>
      <x:c r="G25" s="79" t="str">
        <x:v>Comparer bras et poignet à plusieurs plans canoniques ; adapter au rig dans toutes poses</x:v>
      </x:c>
      <x:c r="H25" s="79" t="str">
        <x:v>ART+QA</x:v>
      </x:c>
      <x:c r="I25" s="79" t="str">
        <x:v>Oui, pour les contrats techniques uniquement</x:v>
      </x:c>
      <x:c r="J25" s="79" t="str">
        <x:v>P1</x:v>
      </x:c>
      <x:c r="K25" s="79" t="str">
        <x:v>https://github.com/darknigthmare/yautja-la-longue-chasse/blob/feat/v131-gauntlet-hologram-dual-view-20261030/public/game/assets/v136/gauntlets/greyback/01-arm.svg</x:v>
      </x:c>
      <x:c r="L25" s="79" t="str">
        <x:v>Prototype SVG individuel + alpha PNG</x:v>
      </x:c>
    </x:row>
    <x:row r="26" ht="29" customHeight="1">
      <x:c r="A26" s="79" t="str">
        <x:v>05_Assets</x:v>
      </x:c>
      <x:c r="B26" s="79" t="n">
        <x:v>26</x:v>
      </x:c>
      <x:c r="C26" s="79" t="str">
        <x:v>greyback-SHELL-C</x:v>
      </x:c>
      <x:c r="D26" s="79" t="str">
        <x:v>greyback</x:v>
      </x:c>
      <x:c r="E26" s="79" t="str">
        <x:v>Coque fermée</x:v>
      </x:c>
      <x:c r="F26" s="79" t="str">
        <x:v>PARTIEL · prototype technique</x:v>
      </x:c>
      <x:c r="G26" s="79" t="str">
        <x:v>Vérifier forme/proportions/cuirasse 1:1 et textures, pas seulement SVG</x:v>
      </x:c>
      <x:c r="H26" s="79" t="str">
        <x:v>ART+QA</x:v>
      </x:c>
      <x:c r="I26" s="79" t="str">
        <x:v>Oui, pour les contrats techniques uniquement</x:v>
      </x:c>
      <x:c r="J26" s="79" t="str">
        <x:v>P1</x:v>
      </x:c>
      <x:c r="K26" s="79" t="str">
        <x:v>https://github.com/darknigthmare/yautja-la-longue-chasse/blob/feat/v131-gauntlet-hologram-dual-view-20261030/public/game/assets/v136/gauntlets/greyback/02-shell.svg</x:v>
      </x:c>
      <x:c r="L26" s="79" t="str">
        <x:v>Coque individuelle SVG + PNG, non 1:1</x:v>
      </x:c>
    </x:row>
    <x:row r="27" ht="29" customHeight="1">
      <x:c r="A27" s="79" t="str">
        <x:v>05_Assets</x:v>
      </x:c>
      <x:c r="B27" s="79" t="n">
        <x:v>27</x:v>
      </x:c>
      <x:c r="C27" s="79" t="str">
        <x:v>greyback-SHELL-O</x:v>
      </x:c>
      <x:c r="D27" s="79" t="str">
        <x:v>greyback</x:v>
      </x:c>
      <x:c r="E27" s="79" t="str">
        <x:v>Coque ouverte</x:v>
      </x:c>
      <x:c r="F27" s="79" t="str">
        <x:v>PARTIEL · prototype technique</x:v>
      </x:c>
      <x:c r="G27" s="79" t="str">
        <x:v>Mesurer pivot/capots sur film et compléter les états ouvrir-fermer-ranger</x:v>
      </x:c>
      <x:c r="H27" s="79" t="str">
        <x:v>ART+QA</x:v>
      </x:c>
      <x:c r="I27" s="79" t="str">
        <x:v>Oui, pour les contrats techniques uniquement</x:v>
      </x:c>
      <x:c r="J27" s="79" t="str">
        <x:v>P1</x:v>
      </x:c>
      <x:c r="K27" s="79" t="str">
        <x:v>https://github.com/darknigthmare/yautja-la-longue-chasse/blob/feat/v131-gauntlet-hologram-dual-view-20261030/public/game/assets/v136/gauntlets/greyback/04-lid.svg</x:v>
      </x:c>
      <x:c r="L27" s="79" t="str">
        <x:v>Capot ouvrable en React/CSS, animation partielle</x:v>
      </x:c>
    </x:row>
    <x:row r="28" ht="29" customHeight="1">
      <x:c r="A28" s="79" t="str">
        <x:v>05_Assets</x:v>
      </x:c>
      <x:c r="B28" s="79" t="n">
        <x:v>28</x:v>
      </x:c>
      <x:c r="C28" s="79" t="str">
        <x:v>greyback-UI-RED</x:v>
      </x:c>
      <x:c r="D28" s="79" t="str">
        <x:v>greyback</x:v>
      </x:c>
      <x:c r="E28" s="79" t="str">
        <x:v>Contrôle / glyphes</x:v>
      </x:c>
      <x:c r="F28" s="79" t="str">
        <x:v>PARTIEL · prototype technique</x:v>
      </x:c>
      <x:c r="G28" s="79" t="str">
        <x:v>Remplacer symboles conceptuels par graphismes source documentés sans inventer du canon</x:v>
      </x:c>
      <x:c r="H28" s="79" t="str">
        <x:v>ART+QA</x:v>
      </x:c>
      <x:c r="I28" s="79" t="str">
        <x:v>Oui, pour les contrats techniques uniquement</x:v>
      </x:c>
      <x:c r="J28" s="79" t="str">
        <x:v>P1</x:v>
      </x:c>
      <x:c r="K28" s="79" t="str">
        <x:v>https://github.com/darknigthmare/yautja-la-longue-chasse/blob/feat/v131-gauntlet-hologram-dual-view-20261030/public/game/assets/v136/gauntlets/greyback/03-interface.svg</x:v>
      </x:c>
      <x:c r="L28" s="79" t="str">
        <x:v>Interface distincte en SVG / couleurs non certifiées</x:v>
      </x:c>
    </x:row>
    <x:row r="29" ht="29" customHeight="1">
      <x:c r="A29" s="79" t="str">
        <x:v>05_Assets</x:v>
      </x:c>
      <x:c r="B29" s="79" t="n">
        <x:v>29</x:v>
      </x:c>
      <x:c r="C29" s="79" t="str">
        <x:v>greyback-RIBS</x:v>
      </x:c>
      <x:c r="D29" s="79" t="str">
        <x:v>greyback</x:v>
      </x:c>
      <x:c r="E29" s="79" t="str">
        <x:v>Ribures et mécanique</x:v>
      </x:c>
      <x:c r="F29" s="79" t="str">
        <x:v>OUVERT · séparation des sous-pièces</x:v>
      </x:c>
      <x:c r="G29" s="79" t="str">
        <x:v>Découper les pièces mécaniques, valider attaches et reliefs individuels</x:v>
      </x:c>
      <x:c r="H29" s="79" t="str">
        <x:v>ART+QA</x:v>
      </x:c>
      <x:c r="I29" s="79" t="str">
        <x:v>Oui, pour les contrats techniques uniquement</x:v>
      </x:c>
      <x:c r="J29" s="79" t="str">
        <x:v>P1</x:v>
      </x:c>
      <x:c r="K29" s="79" t="str">
        <x:v>https://github.com/darknigthmare/yautja-la-longue-chasse/blob/feat/v131-gauntlet-hologram-dual-view-20261030/public/game/assets/v136/gauntlets/greyback/02-shell.svg</x:v>
      </x:c>
      <x:c r="L29" s="79" t="str">
        <x:v>Détails de coque présents, sous-pièces non séparées</x:v>
      </x:c>
    </x:row>
    <x:row r="30" ht="29" customHeight="1">
      <x:c r="A30" s="79" t="str">
        <x:v>05_Assets</x:v>
      </x:c>
      <x:c r="B30" s="79" t="n">
        <x:v>30</x:v>
      </x:c>
      <x:c r="C30" s="79" t="str">
        <x:v>greyback-BEAM</x:v>
      </x:c>
      <x:c r="D30" s="79" t="str">
        <x:v>greyback</x:v>
      </x:c>
      <x:c r="E30" s="79" t="str">
        <x:v>Émetteur holographique</x:v>
      </x:c>
      <x:c r="F30" s="79" t="str">
        <x:v>PARTIEL · prototype technique</x:v>
      </x:c>
      <x:c r="G30" s="79" t="str">
        <x:v>Conserver fonctionnalité HUD et produire la signature holographique de chaque modèle</x:v>
      </x:c>
      <x:c r="H30" s="79" t="str">
        <x:v>ART+QA</x:v>
      </x:c>
      <x:c r="I30" s="79" t="str">
        <x:v>Oui, pour les contrats techniques uniquement</x:v>
      </x:c>
      <x:c r="J30" s="79" t="str">
        <x:v>P1</x:v>
      </x:c>
      <x:c r="K30" s="79" t="str">
        <x:v>https://github.com/darknigthmare/yautja-la-longue-chasse/blob/feat/v131-gauntlet-hologram-dual-view-20261030/app/game/ClanWarGauntletV131.tsx</x:v>
      </x:c>
      <x:c r="L30" s="79" t="str">
        <x:v>Faisceau du projet (JH dédié, autres effet commun)</x:v>
      </x:c>
    </x:row>
    <x:row r="31" ht="29" customHeight="1">
      <x:c r="A31" s="79" t="str">
        <x:v>05_Assets</x:v>
      </x:c>
      <x:c r="B31" s="79" t="n">
        <x:v>31</x:v>
      </x:c>
      <x:c r="C31" s="79" t="str">
        <x:v>greyback-MOVE</x:v>
      </x:c>
      <x:c r="D31" s="79" t="str">
        <x:v>greyback</x:v>
      </x:c>
      <x:c r="E31" s="79" t="str">
        <x:v>Animations 4 états</x:v>
      </x:c>
      <x:c r="F31" s="79" t="str">
        <x:v>PARTIEL · prototype technique</x:v>
      </x:c>
      <x:c r="G31" s="79" t="str">
        <x:v>Compléter lever, ouvrir, projeter, ranger ; aligner au rig et à la caméra</x:v>
      </x:c>
      <x:c r="H31" s="79" t="str">
        <x:v>ART+QA</x:v>
      </x:c>
      <x:c r="I31" s="79" t="str">
        <x:v>Oui, pour les contrats techniques uniquement</x:v>
      </x:c>
      <x:c r="J31" s="79" t="str">
        <x:v>P1</x:v>
      </x:c>
      <x:c r="K31" s="79" t="str">
        <x:v>https://github.com/darknigthmare/yautja-la-longue-chasse/blob/feat/v131-gauntlet-hologram-dual-view-20261030/public/game/assets/v136/gauntlets/greyback/04-lid.svg</x:v>
      </x:c>
      <x:c r="L31" s="79" t="str">
        <x:v>Capot ouvert/fermé ; 3 gestes complets restent à faire</x:v>
      </x:c>
    </x:row>
    <x:row r="32" ht="29" customHeight="1">
      <x:c r="A32" s="79" t="str">
        <x:v>05_Assets</x:v>
      </x:c>
      <x:c r="B32" s="79" t="n">
        <x:v>32</x:v>
      </x:c>
      <x:c r="C32" s="79" t="str">
        <x:v>greyback-SFX</x:v>
      </x:c>
      <x:c r="D32" s="79" t="str">
        <x:v>greyback</x:v>
      </x:c>
      <x:c r="E32" s="79" t="str">
        <x:v>Identité sonore</x:v>
      </x:c>
      <x:c r="F32" s="79" t="str">
        <x:v>PARTIEL · prototype technique</x:v>
      </x:c>
      <x:c r="G32" s="79" t="str">
        <x:v>Distinguer signatures individualisées, écouter et calibrer mixage/mute</x:v>
      </x:c>
      <x:c r="H32" s="79" t="str">
        <x:v>UI/AUDIO</x:v>
      </x:c>
      <x:c r="I32" s="79" t="str">
        <x:v>Oui, pour les contrats techniques uniquement</x:v>
      </x:c>
      <x:c r="J32" s="79" t="str">
        <x:v>P1</x:v>
      </x:c>
      <x:c r="K32" s="79" t="str">
        <x:v>https://github.com/darknigthmare/yautja-la-longue-chasse/blob/feat/v131-gauntlet-hologram-dual-view-20261030/app/game/sound.ts</x:v>
      </x:c>
      <x:c r="L32" s="79" t="str">
        <x:v>Signature sonore par thème (10 profils), source non cinéma</x:v>
      </x:c>
    </x:row>
    <x:row r="33" ht="29" customHeight="1">
      <x:c r="A33" s="79" t="str">
        <x:v>05_Assets</x:v>
      </x:c>
      <x:c r="B33" s="79" t="n">
        <x:v>33</x:v>
      </x:c>
      <x:c r="C33" s="79" t="str">
        <x:v>greyback-HUD</x:v>
      </x:c>
      <x:c r="D33" s="79" t="str">
        <x:v>greyback</x:v>
      </x:c>
      <x:c r="E33" s="79" t="str">
        <x:v>Palette / projection</x:v>
      </x:c>
      <x:c r="F33" s="79" t="str">
        <x:v>PARTIEL · prototype technique</x:v>
      </x:c>
      <x:c r="G33" s="79" t="str">
        <x:v>Tester toutes résolutions, contrôles, sous-modes et cohérence d'infos</x:v>
      </x:c>
      <x:c r="H33" s="79" t="str">
        <x:v>UI/AUDIO</x:v>
      </x:c>
      <x:c r="I33" s="79" t="str">
        <x:v>Oui, pour les contrats techniques uniquement</x:v>
      </x:c>
      <x:c r="J33" s="79" t="str">
        <x:v>P1</x:v>
      </x:c>
      <x:c r="K33" s="79" t="str">
        <x:v>https://github.com/darknigthmare/yautja-la-longue-chasse/blob/feat/v131-gauntlet-hologram-dual-view-20261030/app/game/ClanWarGauntletV131.tsx</x:v>
      </x:c>
      <x:c r="L33" s="79" t="str">
        <x:v>HUD connecté / simulation intacte ; QA visuelle restante</x:v>
      </x:c>
    </x:row>
    <x:row r="34" ht="29" customHeight="1">
      <x:c r="A34" s="79" t="str">
        <x:v>05_Assets</x:v>
      </x:c>
      <x:c r="B34" s="79" t="n">
        <x:v>34</x:v>
      </x:c>
      <x:c r="C34" s="79" t="str">
        <x:v>greyback-QA</x:v>
      </x:c>
      <x:c r="D34" s="79" t="str">
        <x:v>greyback</x:v>
      </x:c>
      <x:c r="E34" s="79" t="str">
        <x:v>Comparaisons + tests</x:v>
      </x:c>
      <x:c r="F34" s="79" t="str">
        <x:v>PARTIEL · prototype technique</x:v>
      </x:c>
      <x:c r="G34" s="79" t="str">
        <x:v>Réaliser contrôles visuels film/rig + E2E jeu, FPS et accessibilité</x:v>
      </x:c>
      <x:c r="H34" s="79" t="str">
        <x:v>ART+QA</x:v>
      </x:c>
      <x:c r="I34" s="79" t="str">
        <x:v>Oui, pour les contrats techniques uniquement</x:v>
      </x:c>
      <x:c r="J34" s="79" t="str">
        <x:v>P1</x:v>
      </x:c>
      <x:c r="K34" s="79" t="str">
        <x:v>https://github.com/darknigthmare/yautja-la-longue-chasse/blob/feat/v131-gauntlet-hologram-dual-view-20261030/tests/gauntlet-archive-studies-v136.test.mjs</x:v>
      </x:c>
      <x:c r="L34" s="79" t="str">
        <x:v>Tests CI source / alpha / type / navigateur autonome ; 1:1 restant</x:v>
      </x:c>
    </x:row>
    <x:row r="35" ht="29" customHeight="1">
      <x:c r="A35" s="79" t="str">
        <x:v>05_Assets</x:v>
      </x:c>
      <x:c r="B35" s="79" t="n">
        <x:v>35</x:v>
      </x:c>
      <x:c r="C35" s="79" t="str">
        <x:v>lost-boar-ARM-L</x:v>
      </x:c>
      <x:c r="D35" s="79" t="str">
        <x:v>lost-boar</x:v>
      </x:c>
      <x:c r="E35" s="79" t="str">
        <x:v>Bras gauche / poignet</x:v>
      </x:c>
      <x:c r="F35" s="79" t="str">
        <x:v>PARTIEL · prototype technique</x:v>
      </x:c>
      <x:c r="G35" s="79" t="str">
        <x:v>Comparer bras et poignet à plusieurs plans canoniques ; adapter au rig dans toutes poses</x:v>
      </x:c>
      <x:c r="H35" s="79" t="str">
        <x:v>ART+QA</x:v>
      </x:c>
      <x:c r="I35" s="79" t="str">
        <x:v>Oui, pour les contrats techniques uniquement</x:v>
      </x:c>
      <x:c r="J35" s="79" t="str">
        <x:v>P2</x:v>
      </x:c>
      <x:c r="K35" s="79" t="str">
        <x:v>https://github.com/darknigthmare/yautja-la-longue-chasse/blob/feat/v131-gauntlet-hologram-dual-view-20261030/public/game/assets/v136/gauntlets/lost-boar/01-arm.svg</x:v>
      </x:c>
      <x:c r="L35" s="79" t="str">
        <x:v>Prototype SVG individuel + alpha PNG</x:v>
      </x:c>
    </x:row>
    <x:row r="36" ht="29" customHeight="1">
      <x:c r="A36" s="79" t="str">
        <x:v>05_Assets</x:v>
      </x:c>
      <x:c r="B36" s="79" t="n">
        <x:v>36</x:v>
      </x:c>
      <x:c r="C36" s="79" t="str">
        <x:v>lost-boar-SHELL-C</x:v>
      </x:c>
      <x:c r="D36" s="79" t="str">
        <x:v>lost-boar</x:v>
      </x:c>
      <x:c r="E36" s="79" t="str">
        <x:v>Coque fermée</x:v>
      </x:c>
      <x:c r="F36" s="79" t="str">
        <x:v>PARTIEL · prototype technique</x:v>
      </x:c>
      <x:c r="G36" s="79" t="str">
        <x:v>Vérifier forme/proportions/cuirasse 1:1 et textures, pas seulement SVG</x:v>
      </x:c>
      <x:c r="H36" s="79" t="str">
        <x:v>ART+QA</x:v>
      </x:c>
      <x:c r="I36" s="79" t="str">
        <x:v>Oui, pour les contrats techniques uniquement</x:v>
      </x:c>
      <x:c r="J36" s="79" t="str">
        <x:v>P2</x:v>
      </x:c>
      <x:c r="K36" s="79" t="str">
        <x:v>https://github.com/darknigthmare/yautja-la-longue-chasse/blob/feat/v131-gauntlet-hologram-dual-view-20261030/public/game/assets/v136/gauntlets/lost-boar/02-shell.svg</x:v>
      </x:c>
      <x:c r="L36" s="79" t="str">
        <x:v>Coque individuelle SVG + PNG, non 1:1</x:v>
      </x:c>
    </x:row>
    <x:row r="37" ht="29" customHeight="1">
      <x:c r="A37" s="79" t="str">
        <x:v>05_Assets</x:v>
      </x:c>
      <x:c r="B37" s="79" t="n">
        <x:v>37</x:v>
      </x:c>
      <x:c r="C37" s="79" t="str">
        <x:v>lost-boar-SHELL-O</x:v>
      </x:c>
      <x:c r="D37" s="79" t="str">
        <x:v>lost-boar</x:v>
      </x:c>
      <x:c r="E37" s="79" t="str">
        <x:v>Coque ouverte</x:v>
      </x:c>
      <x:c r="F37" s="79" t="str">
        <x:v>PARTIEL · prototype technique</x:v>
      </x:c>
      <x:c r="G37" s="79" t="str">
        <x:v>Mesurer pivot/capots sur film et compléter les états ouvrir-fermer-ranger</x:v>
      </x:c>
      <x:c r="H37" s="79" t="str">
        <x:v>ART+QA</x:v>
      </x:c>
      <x:c r="I37" s="79" t="str">
        <x:v>Oui, pour les contrats techniques uniquement</x:v>
      </x:c>
      <x:c r="J37" s="79" t="str">
        <x:v>P2</x:v>
      </x:c>
      <x:c r="K37" s="79" t="str">
        <x:v>https://github.com/darknigthmare/yautja-la-longue-chasse/blob/feat/v131-gauntlet-hologram-dual-view-20261030/public/game/assets/v136/gauntlets/lost-boar/04-lid.svg</x:v>
      </x:c>
      <x:c r="L37" s="79" t="str">
        <x:v>Capot ouvrable en React/CSS, animation partielle</x:v>
      </x:c>
    </x:row>
    <x:row r="38" ht="29" customHeight="1">
      <x:c r="A38" s="79" t="str">
        <x:v>05_Assets</x:v>
      </x:c>
      <x:c r="B38" s="79" t="n">
        <x:v>38</x:v>
      </x:c>
      <x:c r="C38" s="79" t="str">
        <x:v>lost-boar-UI-RED</x:v>
      </x:c>
      <x:c r="D38" s="79" t="str">
        <x:v>lost-boar</x:v>
      </x:c>
      <x:c r="E38" s="79" t="str">
        <x:v>Contrôle / glyphes</x:v>
      </x:c>
      <x:c r="F38" s="79" t="str">
        <x:v>PARTIEL · prototype technique</x:v>
      </x:c>
      <x:c r="G38" s="79" t="str">
        <x:v>Remplacer symboles conceptuels par graphismes source documentés sans inventer du canon</x:v>
      </x:c>
      <x:c r="H38" s="79" t="str">
        <x:v>ART+QA</x:v>
      </x:c>
      <x:c r="I38" s="79" t="str">
        <x:v>Oui, pour les contrats techniques uniquement</x:v>
      </x:c>
      <x:c r="J38" s="79" t="str">
        <x:v>P2</x:v>
      </x:c>
      <x:c r="K38" s="79" t="str">
        <x:v>https://github.com/darknigthmare/yautja-la-longue-chasse/blob/feat/v131-gauntlet-hologram-dual-view-20261030/public/game/assets/v136/gauntlets/lost-boar/03-interface.svg</x:v>
      </x:c>
      <x:c r="L38" s="79" t="str">
        <x:v>Interface distincte en SVG / couleurs non certifiées</x:v>
      </x:c>
    </x:row>
    <x:row r="39" ht="29" customHeight="1">
      <x:c r="A39" s="79" t="str">
        <x:v>05_Assets</x:v>
      </x:c>
      <x:c r="B39" s="79" t="n">
        <x:v>39</x:v>
      </x:c>
      <x:c r="C39" s="79" t="str">
        <x:v>lost-boar-RIBS</x:v>
      </x:c>
      <x:c r="D39" s="79" t="str">
        <x:v>lost-boar</x:v>
      </x:c>
      <x:c r="E39" s="79" t="str">
        <x:v>Ribures et mécanique</x:v>
      </x:c>
      <x:c r="F39" s="79" t="str">
        <x:v>OUVERT · séparation des sous-pièces</x:v>
      </x:c>
      <x:c r="G39" s="79" t="str">
        <x:v>Découper les pièces mécaniques, valider attaches et reliefs individuels</x:v>
      </x:c>
      <x:c r="H39" s="79" t="str">
        <x:v>ART+QA</x:v>
      </x:c>
      <x:c r="I39" s="79" t="str">
        <x:v>Oui, pour les contrats techniques uniquement</x:v>
      </x:c>
      <x:c r="J39" s="79" t="str">
        <x:v>P2</x:v>
      </x:c>
      <x:c r="K39" s="79" t="str">
        <x:v>https://github.com/darknigthmare/yautja-la-longue-chasse/blob/feat/v131-gauntlet-hologram-dual-view-20261030/public/game/assets/v136/gauntlets/lost-boar/02-shell.svg</x:v>
      </x:c>
      <x:c r="L39" s="79" t="str">
        <x:v>Détails de coque présents, sous-pièces non séparées</x:v>
      </x:c>
    </x:row>
    <x:row r="40" ht="29" customHeight="1">
      <x:c r="A40" s="79" t="str">
        <x:v>05_Assets</x:v>
      </x:c>
      <x:c r="B40" s="79" t="n">
        <x:v>40</x:v>
      </x:c>
      <x:c r="C40" s="79" t="str">
        <x:v>lost-boar-BEAM</x:v>
      </x:c>
      <x:c r="D40" s="79" t="str">
        <x:v>lost-boar</x:v>
      </x:c>
      <x:c r="E40" s="79" t="str">
        <x:v>Émetteur holographique</x:v>
      </x:c>
      <x:c r="F40" s="79" t="str">
        <x:v>PARTIEL · prototype technique</x:v>
      </x:c>
      <x:c r="G40" s="79" t="str">
        <x:v>Conserver fonctionnalité HUD et produire la signature holographique de chaque modèle</x:v>
      </x:c>
      <x:c r="H40" s="79" t="str">
        <x:v>ART+QA</x:v>
      </x:c>
      <x:c r="I40" s="79" t="str">
        <x:v>Oui, pour les contrats techniques uniquement</x:v>
      </x:c>
      <x:c r="J40" s="79" t="str">
        <x:v>P2</x:v>
      </x:c>
      <x:c r="K40" s="79" t="str">
        <x:v>https://github.com/darknigthmare/yautja-la-longue-chasse/blob/feat/v131-gauntlet-hologram-dual-view-20261030/app/game/ClanWarGauntletV131.tsx</x:v>
      </x:c>
      <x:c r="L40" s="79" t="str">
        <x:v>Faisceau du projet (JH dédié, autres effet commun)</x:v>
      </x:c>
    </x:row>
    <x:row r="41" ht="29" customHeight="1">
      <x:c r="A41" s="79" t="str">
        <x:v>05_Assets</x:v>
      </x:c>
      <x:c r="B41" s="79" t="n">
        <x:v>41</x:v>
      </x:c>
      <x:c r="C41" s="79" t="str">
        <x:v>lost-boar-MOVE</x:v>
      </x:c>
      <x:c r="D41" s="79" t="str">
        <x:v>lost-boar</x:v>
      </x:c>
      <x:c r="E41" s="79" t="str">
        <x:v>Animations 4 états</x:v>
      </x:c>
      <x:c r="F41" s="79" t="str">
        <x:v>PARTIEL · prototype technique</x:v>
      </x:c>
      <x:c r="G41" s="79" t="str">
        <x:v>Compléter lever, ouvrir, projeter, ranger ; aligner au rig et à la caméra</x:v>
      </x:c>
      <x:c r="H41" s="79" t="str">
        <x:v>ART+QA</x:v>
      </x:c>
      <x:c r="I41" s="79" t="str">
        <x:v>Oui, pour les contrats techniques uniquement</x:v>
      </x:c>
      <x:c r="J41" s="79" t="str">
        <x:v>P2</x:v>
      </x:c>
      <x:c r="K41" s="79" t="str">
        <x:v>https://github.com/darknigthmare/yautja-la-longue-chasse/blob/feat/v131-gauntlet-hologram-dual-view-20261030/public/game/assets/v136/gauntlets/lost-boar/04-lid.svg</x:v>
      </x:c>
      <x:c r="L41" s="79" t="str">
        <x:v>Capot ouvert/fermé ; 3 gestes complets restent à faire</x:v>
      </x:c>
    </x:row>
    <x:row r="42" ht="29" customHeight="1">
      <x:c r="A42" s="79" t="str">
        <x:v>05_Assets</x:v>
      </x:c>
      <x:c r="B42" s="79" t="n">
        <x:v>42</x:v>
      </x:c>
      <x:c r="C42" s="79" t="str">
        <x:v>lost-boar-SFX</x:v>
      </x:c>
      <x:c r="D42" s="79" t="str">
        <x:v>lost-boar</x:v>
      </x:c>
      <x:c r="E42" s="79" t="str">
        <x:v>Identité sonore</x:v>
      </x:c>
      <x:c r="F42" s="79" t="str">
        <x:v>PARTIEL · prototype technique</x:v>
      </x:c>
      <x:c r="G42" s="79" t="str">
        <x:v>Distinguer signatures individualisées, écouter et calibrer mixage/mute</x:v>
      </x:c>
      <x:c r="H42" s="79" t="str">
        <x:v>UI/AUDIO</x:v>
      </x:c>
      <x:c r="I42" s="79" t="str">
        <x:v>Oui, pour les contrats techniques uniquement</x:v>
      </x:c>
      <x:c r="J42" s="79" t="str">
        <x:v>P2</x:v>
      </x:c>
      <x:c r="K42" s="79" t="str">
        <x:v>https://github.com/darknigthmare/yautja-la-longue-chasse/blob/feat/v131-gauntlet-hologram-dual-view-20261030/app/game/sound.ts</x:v>
      </x:c>
      <x:c r="L42" s="79" t="str">
        <x:v>Signature sonore par thème (10 profils), source non cinéma</x:v>
      </x:c>
    </x:row>
    <x:row r="43" ht="29" customHeight="1">
      <x:c r="A43" s="79" t="str">
        <x:v>05_Assets</x:v>
      </x:c>
      <x:c r="B43" s="79" t="n">
        <x:v>43</x:v>
      </x:c>
      <x:c r="C43" s="79" t="str">
        <x:v>lost-boar-HUD</x:v>
      </x:c>
      <x:c r="D43" s="79" t="str">
        <x:v>lost-boar</x:v>
      </x:c>
      <x:c r="E43" s="79" t="str">
        <x:v>Palette / projection</x:v>
      </x:c>
      <x:c r="F43" s="79" t="str">
        <x:v>PARTIEL · prototype technique</x:v>
      </x:c>
      <x:c r="G43" s="79" t="str">
        <x:v>Tester toutes résolutions, contrôles, sous-modes et cohérence d'infos</x:v>
      </x:c>
      <x:c r="H43" s="79" t="str">
        <x:v>UI/AUDIO</x:v>
      </x:c>
      <x:c r="I43" s="79" t="str">
        <x:v>Oui, pour les contrats techniques uniquement</x:v>
      </x:c>
      <x:c r="J43" s="79" t="str">
        <x:v>P2</x:v>
      </x:c>
      <x:c r="K43" s="79" t="str">
        <x:v>https://github.com/darknigthmare/yautja-la-longue-chasse/blob/feat/v131-gauntlet-hologram-dual-view-20261030/app/game/ClanWarGauntletV131.tsx</x:v>
      </x:c>
      <x:c r="L43" s="79" t="str">
        <x:v>HUD connecté / simulation intacte ; QA visuelle restante</x:v>
      </x:c>
    </x:row>
    <x:row r="44" ht="29" customHeight="1">
      <x:c r="A44" s="79" t="str">
        <x:v>05_Assets</x:v>
      </x:c>
      <x:c r="B44" s="79" t="n">
        <x:v>44</x:v>
      </x:c>
      <x:c r="C44" s="79" t="str">
        <x:v>lost-boar-QA</x:v>
      </x:c>
      <x:c r="D44" s="79" t="str">
        <x:v>lost-boar</x:v>
      </x:c>
      <x:c r="E44" s="79" t="str">
        <x:v>Comparaisons + tests</x:v>
      </x:c>
      <x:c r="F44" s="79" t="str">
        <x:v>PARTIEL · prototype technique</x:v>
      </x:c>
      <x:c r="G44" s="79" t="str">
        <x:v>Réaliser contrôles visuels film/rig + E2E jeu, FPS et accessibilité</x:v>
      </x:c>
      <x:c r="H44" s="79" t="str">
        <x:v>ART+QA</x:v>
      </x:c>
      <x:c r="I44" s="79" t="str">
        <x:v>Oui, pour les contrats techniques uniquement</x:v>
      </x:c>
      <x:c r="J44" s="79" t="str">
        <x:v>P2</x:v>
      </x:c>
      <x:c r="K44" s="79" t="str">
        <x:v>https://github.com/darknigthmare/yautja-la-longue-chasse/blob/feat/v131-gauntlet-hologram-dual-view-20261030/tests/gauntlet-archive-studies-v136.test.mjs</x:v>
      </x:c>
      <x:c r="L44" s="79" t="str">
        <x:v>Tests CI source / alpha / type / navigateur autonome ; 1:1 restant</x:v>
      </x:c>
    </x:row>
    <x:row r="45" ht="29" customHeight="1">
      <x:c r="A45" s="79" t="str">
        <x:v>05_Assets</x:v>
      </x:c>
      <x:c r="B45" s="79" t="n">
        <x:v>45</x:v>
      </x:c>
      <x:c r="C45" s="79" t="str">
        <x:v>lost-shaman-ARM-L</x:v>
      </x:c>
      <x:c r="D45" s="79" t="str">
        <x:v>lost-shaman</x:v>
      </x:c>
      <x:c r="E45" s="79" t="str">
        <x:v>Bras gauche / poignet</x:v>
      </x:c>
      <x:c r="F45" s="79" t="str">
        <x:v>PARTIEL · prototype technique</x:v>
      </x:c>
      <x:c r="G45" s="79" t="str">
        <x:v>Comparer bras et poignet à plusieurs plans canoniques ; adapter au rig dans toutes poses</x:v>
      </x:c>
      <x:c r="H45" s="79" t="str">
        <x:v>ART+QA</x:v>
      </x:c>
      <x:c r="I45" s="79" t="str">
        <x:v>Oui, pour les contrats techniques uniquement</x:v>
      </x:c>
      <x:c r="J45" s="79" t="str">
        <x:v>P2</x:v>
      </x:c>
      <x:c r="K45" s="79" t="str">
        <x:v>https://github.com/darknigthmare/yautja-la-longue-chasse/blob/feat/v131-gauntlet-hologram-dual-view-20261030/public/game/assets/v136/gauntlets/lost-shaman/01-arm.svg</x:v>
      </x:c>
      <x:c r="L45" s="79" t="str">
        <x:v>Prototype SVG individuel + alpha PNG</x:v>
      </x:c>
    </x:row>
    <x:row r="46" ht="29" customHeight="1">
      <x:c r="A46" s="79" t="str">
        <x:v>05_Assets</x:v>
      </x:c>
      <x:c r="B46" s="79" t="n">
        <x:v>46</x:v>
      </x:c>
      <x:c r="C46" s="79" t="str">
        <x:v>lost-shaman-SHELL-C</x:v>
      </x:c>
      <x:c r="D46" s="79" t="str">
        <x:v>lost-shaman</x:v>
      </x:c>
      <x:c r="E46" s="79" t="str">
        <x:v>Coque fermée</x:v>
      </x:c>
      <x:c r="F46" s="79" t="str">
        <x:v>PARTIEL · prototype technique</x:v>
      </x:c>
      <x:c r="G46" s="79" t="str">
        <x:v>Vérifier forme/proportions/cuirasse 1:1 et textures, pas seulement SVG</x:v>
      </x:c>
      <x:c r="H46" s="79" t="str">
        <x:v>ART+QA</x:v>
      </x:c>
      <x:c r="I46" s="79" t="str">
        <x:v>Oui, pour les contrats techniques uniquement</x:v>
      </x:c>
      <x:c r="J46" s="79" t="str">
        <x:v>P2</x:v>
      </x:c>
      <x:c r="K46" s="79" t="str">
        <x:v>https://github.com/darknigthmare/yautja-la-longue-chasse/blob/feat/v131-gauntlet-hologram-dual-view-20261030/public/game/assets/v136/gauntlets/lost-shaman/02-shell.svg</x:v>
      </x:c>
      <x:c r="L46" s="79" t="str">
        <x:v>Coque individuelle SVG + PNG, non 1:1</x:v>
      </x:c>
    </x:row>
    <x:row r="47" ht="29" customHeight="1">
      <x:c r="A47" s="79" t="str">
        <x:v>05_Assets</x:v>
      </x:c>
      <x:c r="B47" s="79" t="n">
        <x:v>47</x:v>
      </x:c>
      <x:c r="C47" s="79" t="str">
        <x:v>lost-shaman-SHELL-O</x:v>
      </x:c>
      <x:c r="D47" s="79" t="str">
        <x:v>lost-shaman</x:v>
      </x:c>
      <x:c r="E47" s="79" t="str">
        <x:v>Coque ouverte</x:v>
      </x:c>
      <x:c r="F47" s="79" t="str">
        <x:v>PARTIEL · prototype technique</x:v>
      </x:c>
      <x:c r="G47" s="79" t="str">
        <x:v>Mesurer pivot/capots sur film et compléter les états ouvrir-fermer-ranger</x:v>
      </x:c>
      <x:c r="H47" s="79" t="str">
        <x:v>ART+QA</x:v>
      </x:c>
      <x:c r="I47" s="79" t="str">
        <x:v>Oui, pour les contrats techniques uniquement</x:v>
      </x:c>
      <x:c r="J47" s="79" t="str">
        <x:v>P2</x:v>
      </x:c>
      <x:c r="K47" s="79" t="str">
        <x:v>https://github.com/darknigthmare/yautja-la-longue-chasse/blob/feat/v131-gauntlet-hologram-dual-view-20261030/public/game/assets/v136/gauntlets/lost-shaman/04-lid.svg</x:v>
      </x:c>
      <x:c r="L47" s="79" t="str">
        <x:v>Capot ouvrable en React/CSS, animation partielle</x:v>
      </x:c>
    </x:row>
    <x:row r="48" ht="29" customHeight="1">
      <x:c r="A48" s="79" t="str">
        <x:v>05_Assets</x:v>
      </x:c>
      <x:c r="B48" s="79" t="n">
        <x:v>48</x:v>
      </x:c>
      <x:c r="C48" s="79" t="str">
        <x:v>lost-shaman-UI-RED</x:v>
      </x:c>
      <x:c r="D48" s="79" t="str">
        <x:v>lost-shaman</x:v>
      </x:c>
      <x:c r="E48" s="79" t="str">
        <x:v>Contrôle / glyphes</x:v>
      </x:c>
      <x:c r="F48" s="79" t="str">
        <x:v>PARTIEL · prototype technique</x:v>
      </x:c>
      <x:c r="G48" s="79" t="str">
        <x:v>Remplacer symboles conceptuels par graphismes source documentés sans inventer du canon</x:v>
      </x:c>
      <x:c r="H48" s="79" t="str">
        <x:v>ART+QA</x:v>
      </x:c>
      <x:c r="I48" s="79" t="str">
        <x:v>Oui, pour les contrats techniques uniquement</x:v>
      </x:c>
      <x:c r="J48" s="79" t="str">
        <x:v>P2</x:v>
      </x:c>
      <x:c r="K48" s="79" t="str">
        <x:v>https://github.com/darknigthmare/yautja-la-longue-chasse/blob/feat/v131-gauntlet-hologram-dual-view-20261030/public/game/assets/v136/gauntlets/lost-shaman/03-interface.svg</x:v>
      </x:c>
      <x:c r="L48" s="79" t="str">
        <x:v>Interface distincte en SVG / couleurs non certifiées</x:v>
      </x:c>
    </x:row>
    <x:row r="49" ht="29" customHeight="1">
      <x:c r="A49" s="79" t="str">
        <x:v>05_Assets</x:v>
      </x:c>
      <x:c r="B49" s="79" t="n">
        <x:v>49</x:v>
      </x:c>
      <x:c r="C49" s="79" t="str">
        <x:v>lost-shaman-RIBS</x:v>
      </x:c>
      <x:c r="D49" s="79" t="str">
        <x:v>lost-shaman</x:v>
      </x:c>
      <x:c r="E49" s="79" t="str">
        <x:v>Ribures et mécanique</x:v>
      </x:c>
      <x:c r="F49" s="79" t="str">
        <x:v>OUVERT · séparation des sous-pièces</x:v>
      </x:c>
      <x:c r="G49" s="79" t="str">
        <x:v>Découper les pièces mécaniques, valider attaches et reliefs individuels</x:v>
      </x:c>
      <x:c r="H49" s="79" t="str">
        <x:v>ART+QA</x:v>
      </x:c>
      <x:c r="I49" s="79" t="str">
        <x:v>Oui, pour les contrats techniques uniquement</x:v>
      </x:c>
      <x:c r="J49" s="79" t="str">
        <x:v>P2</x:v>
      </x:c>
      <x:c r="K49" s="79" t="str">
        <x:v>https://github.com/darknigthmare/yautja-la-longue-chasse/blob/feat/v131-gauntlet-hologram-dual-view-20261030/public/game/assets/v136/gauntlets/lost-shaman/02-shell.svg</x:v>
      </x:c>
      <x:c r="L49" s="79" t="str">
        <x:v>Détails de coque présents, sous-pièces non séparées</x:v>
      </x:c>
    </x:row>
    <x:row r="50" ht="29" customHeight="1">
      <x:c r="A50" s="79" t="str">
        <x:v>05_Assets</x:v>
      </x:c>
      <x:c r="B50" s="79" t="n">
        <x:v>50</x:v>
      </x:c>
      <x:c r="C50" s="79" t="str">
        <x:v>lost-shaman-BEAM</x:v>
      </x:c>
      <x:c r="D50" s="79" t="str">
        <x:v>lost-shaman</x:v>
      </x:c>
      <x:c r="E50" s="79" t="str">
        <x:v>Émetteur holographique</x:v>
      </x:c>
      <x:c r="F50" s="79" t="str">
        <x:v>PARTIEL · prototype technique</x:v>
      </x:c>
      <x:c r="G50" s="79" t="str">
        <x:v>Conserver fonctionnalité HUD et produire la signature holographique de chaque modèle</x:v>
      </x:c>
      <x:c r="H50" s="79" t="str">
        <x:v>ART+QA</x:v>
      </x:c>
      <x:c r="I50" s="79" t="str">
        <x:v>Oui, pour les contrats techniques uniquement</x:v>
      </x:c>
      <x:c r="J50" s="79" t="str">
        <x:v>P2</x:v>
      </x:c>
      <x:c r="K50" s="79" t="str">
        <x:v>https://github.com/darknigthmare/yautja-la-longue-chasse/blob/feat/v131-gauntlet-hologram-dual-view-20261030/app/game/ClanWarGauntletV131.tsx</x:v>
      </x:c>
      <x:c r="L50" s="79" t="str">
        <x:v>Faisceau du projet (JH dédié, autres effet commun)</x:v>
      </x:c>
    </x:row>
    <x:row r="51" ht="29" customHeight="1">
      <x:c r="A51" s="79" t="str">
        <x:v>05_Assets</x:v>
      </x:c>
      <x:c r="B51" s="79" t="n">
        <x:v>51</x:v>
      </x:c>
      <x:c r="C51" s="79" t="str">
        <x:v>lost-shaman-MOVE</x:v>
      </x:c>
      <x:c r="D51" s="79" t="str">
        <x:v>lost-shaman</x:v>
      </x:c>
      <x:c r="E51" s="79" t="str">
        <x:v>Animations 4 états</x:v>
      </x:c>
      <x:c r="F51" s="79" t="str">
        <x:v>PARTIEL · prototype technique</x:v>
      </x:c>
      <x:c r="G51" s="79" t="str">
        <x:v>Compléter lever, ouvrir, projeter, ranger ; aligner au rig et à la caméra</x:v>
      </x:c>
      <x:c r="H51" s="79" t="str">
        <x:v>ART+QA</x:v>
      </x:c>
      <x:c r="I51" s="79" t="str">
        <x:v>Oui, pour les contrats techniques uniquement</x:v>
      </x:c>
      <x:c r="J51" s="79" t="str">
        <x:v>P2</x:v>
      </x:c>
      <x:c r="K51" s="79" t="str">
        <x:v>https://github.com/darknigthmare/yautja-la-longue-chasse/blob/feat/v131-gauntlet-hologram-dual-view-20261030/public/game/assets/v136/gauntlets/lost-shaman/04-lid.svg</x:v>
      </x:c>
      <x:c r="L51" s="79" t="str">
        <x:v>Capot ouvert/fermé ; 3 gestes complets restent à faire</x:v>
      </x:c>
    </x:row>
    <x:row r="52" ht="29" customHeight="1">
      <x:c r="A52" s="79" t="str">
        <x:v>05_Assets</x:v>
      </x:c>
      <x:c r="B52" s="79" t="n">
        <x:v>52</x:v>
      </x:c>
      <x:c r="C52" s="79" t="str">
        <x:v>lost-shaman-SFX</x:v>
      </x:c>
      <x:c r="D52" s="79" t="str">
        <x:v>lost-shaman</x:v>
      </x:c>
      <x:c r="E52" s="79" t="str">
        <x:v>Identité sonore</x:v>
      </x:c>
      <x:c r="F52" s="79" t="str">
        <x:v>PARTIEL · prototype technique</x:v>
      </x:c>
      <x:c r="G52" s="79" t="str">
        <x:v>Distinguer signatures individualisées, écouter et calibrer mixage/mute</x:v>
      </x:c>
      <x:c r="H52" s="79" t="str">
        <x:v>UI/AUDIO</x:v>
      </x:c>
      <x:c r="I52" s="79" t="str">
        <x:v>Oui, pour les contrats techniques uniquement</x:v>
      </x:c>
      <x:c r="J52" s="79" t="str">
        <x:v>P2</x:v>
      </x:c>
      <x:c r="K52" s="79" t="str">
        <x:v>https://github.com/darknigthmare/yautja-la-longue-chasse/blob/feat/v131-gauntlet-hologram-dual-view-20261030/app/game/sound.ts</x:v>
      </x:c>
      <x:c r="L52" s="79" t="str">
        <x:v>Signature sonore par thème (10 profils), source non cinéma</x:v>
      </x:c>
    </x:row>
    <x:row r="53" ht="29" customHeight="1">
      <x:c r="A53" s="79" t="str">
        <x:v>05_Assets</x:v>
      </x:c>
      <x:c r="B53" s="79" t="n">
        <x:v>53</x:v>
      </x:c>
      <x:c r="C53" s="79" t="str">
        <x:v>lost-shaman-HUD</x:v>
      </x:c>
      <x:c r="D53" s="79" t="str">
        <x:v>lost-shaman</x:v>
      </x:c>
      <x:c r="E53" s="79" t="str">
        <x:v>Palette / projection</x:v>
      </x:c>
      <x:c r="F53" s="79" t="str">
        <x:v>PARTIEL · prototype technique</x:v>
      </x:c>
      <x:c r="G53" s="79" t="str">
        <x:v>Tester toutes résolutions, contrôles, sous-modes et cohérence d'infos</x:v>
      </x:c>
      <x:c r="H53" s="79" t="str">
        <x:v>UI/AUDIO</x:v>
      </x:c>
      <x:c r="I53" s="79" t="str">
        <x:v>Oui, pour les contrats techniques uniquement</x:v>
      </x:c>
      <x:c r="J53" s="79" t="str">
        <x:v>P2</x:v>
      </x:c>
      <x:c r="K53" s="79" t="str">
        <x:v>https://github.com/darknigthmare/yautja-la-longue-chasse/blob/feat/v131-gauntlet-hologram-dual-view-20261030/app/game/ClanWarGauntletV131.tsx</x:v>
      </x:c>
      <x:c r="L53" s="79" t="str">
        <x:v>HUD connecté / simulation intacte ; QA visuelle restante</x:v>
      </x:c>
    </x:row>
    <x:row r="54" ht="29" customHeight="1">
      <x:c r="A54" s="79" t="str">
        <x:v>05_Assets</x:v>
      </x:c>
      <x:c r="B54" s="79" t="n">
        <x:v>54</x:v>
      </x:c>
      <x:c r="C54" s="79" t="str">
        <x:v>lost-shaman-QA</x:v>
      </x:c>
      <x:c r="D54" s="79" t="str">
        <x:v>lost-shaman</x:v>
      </x:c>
      <x:c r="E54" s="79" t="str">
        <x:v>Comparaisons + tests</x:v>
      </x:c>
      <x:c r="F54" s="79" t="str">
        <x:v>PARTIEL · prototype technique</x:v>
      </x:c>
      <x:c r="G54" s="79" t="str">
        <x:v>Réaliser contrôles visuels film/rig + E2E jeu, FPS et accessibilité</x:v>
      </x:c>
      <x:c r="H54" s="79" t="str">
        <x:v>ART+QA</x:v>
      </x:c>
      <x:c r="I54" s="79" t="str">
        <x:v>Oui, pour les contrats techniques uniquement</x:v>
      </x:c>
      <x:c r="J54" s="79" t="str">
        <x:v>P2</x:v>
      </x:c>
      <x:c r="K54" s="79" t="str">
        <x:v>https://github.com/darknigthmare/yautja-la-longue-chasse/blob/feat/v131-gauntlet-hologram-dual-view-20261030/tests/gauntlet-archive-studies-v136.test.mjs</x:v>
      </x:c>
      <x:c r="L54" s="79" t="str">
        <x:v>Tests CI source / alpha / type / navigateur autonome ; 1:1 restant</x:v>
      </x:c>
    </x:row>
    <x:row r="55" ht="29" customHeight="1">
      <x:c r="A55" s="79" t="str">
        <x:v>05_Assets</x:v>
      </x:c>
      <x:c r="B55" s="79" t="n">
        <x:v>55</x:v>
      </x:c>
      <x:c r="C55" s="79" t="str">
        <x:v>lost-guardian-ARM-L</x:v>
      </x:c>
      <x:c r="D55" s="79" t="str">
        <x:v>lost-guardian</x:v>
      </x:c>
      <x:c r="E55" s="79" t="str">
        <x:v>Bras gauche / poignet</x:v>
      </x:c>
      <x:c r="F55" s="79" t="str">
        <x:v>PARTIEL · prototype technique</x:v>
      </x:c>
      <x:c r="G55" s="79" t="str">
        <x:v>Comparer bras et poignet à plusieurs plans canoniques ; adapter au rig dans toutes poses</x:v>
      </x:c>
      <x:c r="H55" s="79" t="str">
        <x:v>ART+QA</x:v>
      </x:c>
      <x:c r="I55" s="79" t="str">
        <x:v>Oui, pour les contrats techniques uniquement</x:v>
      </x:c>
      <x:c r="J55" s="79" t="str">
        <x:v>P2</x:v>
      </x:c>
      <x:c r="K55" s="79" t="str">
        <x:v>https://github.com/darknigthmare/yautja-la-longue-chasse/blob/feat/v131-gauntlet-hologram-dual-view-20261030/public/game/assets/v136/gauntlets/lost-guardian/01-arm.svg</x:v>
      </x:c>
      <x:c r="L55" s="79" t="str">
        <x:v>Prototype SVG individuel + alpha PNG</x:v>
      </x:c>
    </x:row>
    <x:row r="56" ht="29" customHeight="1">
      <x:c r="A56" s="79" t="str">
        <x:v>05_Assets</x:v>
      </x:c>
      <x:c r="B56" s="79" t="n">
        <x:v>56</x:v>
      </x:c>
      <x:c r="C56" s="79" t="str">
        <x:v>lost-guardian-SHELL-C</x:v>
      </x:c>
      <x:c r="D56" s="79" t="str">
        <x:v>lost-guardian</x:v>
      </x:c>
      <x:c r="E56" s="79" t="str">
        <x:v>Coque fermée</x:v>
      </x:c>
      <x:c r="F56" s="79" t="str">
        <x:v>PARTIEL · prototype technique</x:v>
      </x:c>
      <x:c r="G56" s="79" t="str">
        <x:v>Vérifier forme/proportions/cuirasse 1:1 et textures, pas seulement SVG</x:v>
      </x:c>
      <x:c r="H56" s="79" t="str">
        <x:v>ART+QA</x:v>
      </x:c>
      <x:c r="I56" s="79" t="str">
        <x:v>Oui, pour les contrats techniques uniquement</x:v>
      </x:c>
      <x:c r="J56" s="79" t="str">
        <x:v>P2</x:v>
      </x:c>
      <x:c r="K56" s="79" t="str">
        <x:v>https://github.com/darknigthmare/yautja-la-longue-chasse/blob/feat/v131-gauntlet-hologram-dual-view-20261030/public/game/assets/v136/gauntlets/lost-guardian/02-shell.svg</x:v>
      </x:c>
      <x:c r="L56" s="79" t="str">
        <x:v>Coque individuelle SVG + PNG, non 1:1</x:v>
      </x:c>
    </x:row>
    <x:row r="57" ht="29" customHeight="1">
      <x:c r="A57" s="79" t="str">
        <x:v>05_Assets</x:v>
      </x:c>
      <x:c r="B57" s="79" t="n">
        <x:v>57</x:v>
      </x:c>
      <x:c r="C57" s="79" t="str">
        <x:v>lost-guardian-SHELL-O</x:v>
      </x:c>
      <x:c r="D57" s="79" t="str">
        <x:v>lost-guardian</x:v>
      </x:c>
      <x:c r="E57" s="79" t="str">
        <x:v>Coque ouverte</x:v>
      </x:c>
      <x:c r="F57" s="79" t="str">
        <x:v>PARTIEL · prototype technique</x:v>
      </x:c>
      <x:c r="G57" s="79" t="str">
        <x:v>Mesurer pivot/capots sur film et compléter les états ouvrir-fermer-ranger</x:v>
      </x:c>
      <x:c r="H57" s="79" t="str">
        <x:v>ART+QA</x:v>
      </x:c>
      <x:c r="I57" s="79" t="str">
        <x:v>Oui, pour les contrats techniques uniquement</x:v>
      </x:c>
      <x:c r="J57" s="79" t="str">
        <x:v>P2</x:v>
      </x:c>
      <x:c r="K57" s="79" t="str">
        <x:v>https://github.com/darknigthmare/yautja-la-longue-chasse/blob/feat/v131-gauntlet-hologram-dual-view-20261030/public/game/assets/v136/gauntlets/lost-guardian/04-lid.svg</x:v>
      </x:c>
      <x:c r="L57" s="79" t="str">
        <x:v>Capot ouvrable en React/CSS, animation partielle</x:v>
      </x:c>
    </x:row>
    <x:row r="58" ht="29" customHeight="1">
      <x:c r="A58" s="79" t="str">
        <x:v>05_Assets</x:v>
      </x:c>
      <x:c r="B58" s="79" t="n">
        <x:v>58</x:v>
      </x:c>
      <x:c r="C58" s="79" t="str">
        <x:v>lost-guardian-UI-RED</x:v>
      </x:c>
      <x:c r="D58" s="79" t="str">
        <x:v>lost-guardian</x:v>
      </x:c>
      <x:c r="E58" s="79" t="str">
        <x:v>Contrôle / glyphes</x:v>
      </x:c>
      <x:c r="F58" s="79" t="str">
        <x:v>PARTIEL · prototype technique</x:v>
      </x:c>
      <x:c r="G58" s="79" t="str">
        <x:v>Remplacer symboles conceptuels par graphismes source documentés sans inventer du canon</x:v>
      </x:c>
      <x:c r="H58" s="79" t="str">
        <x:v>ART+QA</x:v>
      </x:c>
      <x:c r="I58" s="79" t="str">
        <x:v>Oui, pour les contrats techniques uniquement</x:v>
      </x:c>
      <x:c r="J58" s="79" t="str">
        <x:v>P2</x:v>
      </x:c>
      <x:c r="K58" s="79" t="str">
        <x:v>https://github.com/darknigthmare/yautja-la-longue-chasse/blob/feat/v131-gauntlet-hologram-dual-view-20261030/public/game/assets/v136/gauntlets/lost-guardian/03-interface.svg</x:v>
      </x:c>
      <x:c r="L58" s="79" t="str">
        <x:v>Interface distincte en SVG / couleurs non certifiées</x:v>
      </x:c>
    </x:row>
    <x:row r="59" ht="29" customHeight="1">
      <x:c r="A59" s="79" t="str">
        <x:v>05_Assets</x:v>
      </x:c>
      <x:c r="B59" s="79" t="n">
        <x:v>59</x:v>
      </x:c>
      <x:c r="C59" s="79" t="str">
        <x:v>lost-guardian-RIBS</x:v>
      </x:c>
      <x:c r="D59" s="79" t="str">
        <x:v>lost-guardian</x:v>
      </x:c>
      <x:c r="E59" s="79" t="str">
        <x:v>Ribures et mécanique</x:v>
      </x:c>
      <x:c r="F59" s="79" t="str">
        <x:v>OUVERT · séparation des sous-pièces</x:v>
      </x:c>
      <x:c r="G59" s="79" t="str">
        <x:v>Découper les pièces mécaniques, valider attaches et reliefs individuels</x:v>
      </x:c>
      <x:c r="H59" s="79" t="str">
        <x:v>ART+QA</x:v>
      </x:c>
      <x:c r="I59" s="79" t="str">
        <x:v>Oui, pour les contrats techniques uniquement</x:v>
      </x:c>
      <x:c r="J59" s="79" t="str">
        <x:v>P2</x:v>
      </x:c>
      <x:c r="K59" s="79" t="str">
        <x:v>https://github.com/darknigthmare/yautja-la-longue-chasse/blob/feat/v131-gauntlet-hologram-dual-view-20261030/public/game/assets/v136/gauntlets/lost-guardian/02-shell.svg</x:v>
      </x:c>
      <x:c r="L59" s="79" t="str">
        <x:v>Détails de coque présents, sous-pièces non séparées</x:v>
      </x:c>
    </x:row>
    <x:row r="60" ht="29" customHeight="1">
      <x:c r="A60" s="79" t="str">
        <x:v>05_Assets</x:v>
      </x:c>
      <x:c r="B60" s="79" t="n">
        <x:v>60</x:v>
      </x:c>
      <x:c r="C60" s="79" t="str">
        <x:v>lost-guardian-BEAM</x:v>
      </x:c>
      <x:c r="D60" s="79" t="str">
        <x:v>lost-guardian</x:v>
      </x:c>
      <x:c r="E60" s="79" t="str">
        <x:v>Émetteur holographique</x:v>
      </x:c>
      <x:c r="F60" s="79" t="str">
        <x:v>PARTIEL · prototype technique</x:v>
      </x:c>
      <x:c r="G60" s="79" t="str">
        <x:v>Conserver fonctionnalité HUD et produire la signature holographique de chaque modèle</x:v>
      </x:c>
      <x:c r="H60" s="79" t="str">
        <x:v>ART+QA</x:v>
      </x:c>
      <x:c r="I60" s="79" t="str">
        <x:v>Oui, pour les contrats techniques uniquement</x:v>
      </x:c>
      <x:c r="J60" s="79" t="str">
        <x:v>P2</x:v>
      </x:c>
      <x:c r="K60" s="79" t="str">
        <x:v>https://github.com/darknigthmare/yautja-la-longue-chasse/blob/feat/v131-gauntlet-hologram-dual-view-20261030/app/game/ClanWarGauntletV131.tsx</x:v>
      </x:c>
      <x:c r="L60" s="79" t="str">
        <x:v>Faisceau du projet (JH dédié, autres effet commun)</x:v>
      </x:c>
    </x:row>
    <x:row r="61" ht="29" customHeight="1">
      <x:c r="A61" s="79" t="str">
        <x:v>05_Assets</x:v>
      </x:c>
      <x:c r="B61" s="79" t="n">
        <x:v>61</x:v>
      </x:c>
      <x:c r="C61" s="79" t="str">
        <x:v>lost-guardian-MOVE</x:v>
      </x:c>
      <x:c r="D61" s="79" t="str">
        <x:v>lost-guardian</x:v>
      </x:c>
      <x:c r="E61" s="79" t="str">
        <x:v>Animations 4 états</x:v>
      </x:c>
      <x:c r="F61" s="79" t="str">
        <x:v>PARTIEL · prototype technique</x:v>
      </x:c>
      <x:c r="G61" s="79" t="str">
        <x:v>Compléter lever, ouvrir, projeter, ranger ; aligner au rig et à la caméra</x:v>
      </x:c>
      <x:c r="H61" s="79" t="str">
        <x:v>ART+QA</x:v>
      </x:c>
      <x:c r="I61" s="79" t="str">
        <x:v>Oui, pour les contrats techniques uniquement</x:v>
      </x:c>
      <x:c r="J61" s="79" t="str">
        <x:v>P2</x:v>
      </x:c>
      <x:c r="K61" s="79" t="str">
        <x:v>https://github.com/darknigthmare/yautja-la-longue-chasse/blob/feat/v131-gauntlet-hologram-dual-view-20261030/public/game/assets/v136/gauntlets/lost-guardian/04-lid.svg</x:v>
      </x:c>
      <x:c r="L61" s="79" t="str">
        <x:v>Capot ouvert/fermé ; 3 gestes complets restent à faire</x:v>
      </x:c>
    </x:row>
    <x:row r="62" ht="29" customHeight="1">
      <x:c r="A62" s="79" t="str">
        <x:v>05_Assets</x:v>
      </x:c>
      <x:c r="B62" s="79" t="n">
        <x:v>62</x:v>
      </x:c>
      <x:c r="C62" s="79" t="str">
        <x:v>lost-guardian-SFX</x:v>
      </x:c>
      <x:c r="D62" s="79" t="str">
        <x:v>lost-guardian</x:v>
      </x:c>
      <x:c r="E62" s="79" t="str">
        <x:v>Identité sonore</x:v>
      </x:c>
      <x:c r="F62" s="79" t="str">
        <x:v>PARTIEL · prototype technique</x:v>
      </x:c>
      <x:c r="G62" s="79" t="str">
        <x:v>Distinguer signatures individualisées, écouter et calibrer mixage/mute</x:v>
      </x:c>
      <x:c r="H62" s="79" t="str">
        <x:v>UI/AUDIO</x:v>
      </x:c>
      <x:c r="I62" s="79" t="str">
        <x:v>Oui, pour les contrats techniques uniquement</x:v>
      </x:c>
      <x:c r="J62" s="79" t="str">
        <x:v>P2</x:v>
      </x:c>
      <x:c r="K62" s="79" t="str">
        <x:v>https://github.com/darknigthmare/yautja-la-longue-chasse/blob/feat/v131-gauntlet-hologram-dual-view-20261030/app/game/sound.ts</x:v>
      </x:c>
      <x:c r="L62" s="79" t="str">
        <x:v>Signature sonore par thème (10 profils), source non cinéma</x:v>
      </x:c>
    </x:row>
    <x:row r="63" ht="29" customHeight="1">
      <x:c r="A63" s="79" t="str">
        <x:v>05_Assets</x:v>
      </x:c>
      <x:c r="B63" s="79" t="n">
        <x:v>63</x:v>
      </x:c>
      <x:c r="C63" s="79" t="str">
        <x:v>lost-guardian-HUD</x:v>
      </x:c>
      <x:c r="D63" s="79" t="str">
        <x:v>lost-guardian</x:v>
      </x:c>
      <x:c r="E63" s="79" t="str">
        <x:v>Palette / projection</x:v>
      </x:c>
      <x:c r="F63" s="79" t="str">
        <x:v>PARTIEL · prototype technique</x:v>
      </x:c>
      <x:c r="G63" s="79" t="str">
        <x:v>Tester toutes résolutions, contrôles, sous-modes et cohérence d'infos</x:v>
      </x:c>
      <x:c r="H63" s="79" t="str">
        <x:v>UI/AUDIO</x:v>
      </x:c>
      <x:c r="I63" s="79" t="str">
        <x:v>Oui, pour les contrats techniques uniquement</x:v>
      </x:c>
      <x:c r="J63" s="79" t="str">
        <x:v>P2</x:v>
      </x:c>
      <x:c r="K63" s="79" t="str">
        <x:v>https://github.com/darknigthmare/yautja-la-longue-chasse/blob/feat/v131-gauntlet-hologram-dual-view-20261030/app/game/ClanWarGauntletV131.tsx</x:v>
      </x:c>
      <x:c r="L63" s="79" t="str">
        <x:v>HUD connecté / simulation intacte ; QA visuelle restante</x:v>
      </x:c>
    </x:row>
    <x:row r="64" ht="29" customHeight="1">
      <x:c r="A64" s="79" t="str">
        <x:v>05_Assets</x:v>
      </x:c>
      <x:c r="B64" s="79" t="n">
        <x:v>64</x:v>
      </x:c>
      <x:c r="C64" s="79" t="str">
        <x:v>lost-guardian-QA</x:v>
      </x:c>
      <x:c r="D64" s="79" t="str">
        <x:v>lost-guardian</x:v>
      </x:c>
      <x:c r="E64" s="79" t="str">
        <x:v>Comparaisons + tests</x:v>
      </x:c>
      <x:c r="F64" s="79" t="str">
        <x:v>PARTIEL · prototype technique</x:v>
      </x:c>
      <x:c r="G64" s="79" t="str">
        <x:v>Réaliser contrôles visuels film/rig + E2E jeu, FPS et accessibilité</x:v>
      </x:c>
      <x:c r="H64" s="79" t="str">
        <x:v>ART+QA</x:v>
      </x:c>
      <x:c r="I64" s="79" t="str">
        <x:v>Oui, pour les contrats techniques uniquement</x:v>
      </x:c>
      <x:c r="J64" s="79" t="str">
        <x:v>P2</x:v>
      </x:c>
      <x:c r="K64" s="79" t="str">
        <x:v>https://github.com/darknigthmare/yautja-la-longue-chasse/blob/feat/v131-gauntlet-hologram-dual-view-20261030/tests/gauntlet-archive-studies-v136.test.mjs</x:v>
      </x:c>
      <x:c r="L64" s="79" t="str">
        <x:v>Tests CI source / alpha / type / navigateur autonome ; 1:1 restant</x:v>
      </x:c>
    </x:row>
    <x:row r="65" ht="29" customHeight="1">
      <x:c r="A65" s="79" t="str">
        <x:v>05_Assets</x:v>
      </x:c>
      <x:c r="B65" s="79" t="n">
        <x:v>65</x:v>
      </x:c>
      <x:c r="C65" s="79" t="str">
        <x:v>lost-stalker-ARM-L</x:v>
      </x:c>
      <x:c r="D65" s="79" t="str">
        <x:v>lost-stalker</x:v>
      </x:c>
      <x:c r="E65" s="79" t="str">
        <x:v>Bras gauche / poignet</x:v>
      </x:c>
      <x:c r="F65" s="79" t="str">
        <x:v>PARTIEL · prototype technique</x:v>
      </x:c>
      <x:c r="G65" s="79" t="str">
        <x:v>Comparer bras et poignet à plusieurs plans canoniques ; adapter au rig dans toutes poses</x:v>
      </x:c>
      <x:c r="H65" s="79" t="str">
        <x:v>ART+QA</x:v>
      </x:c>
      <x:c r="I65" s="79" t="str">
        <x:v>Oui, pour les contrats techniques uniquement</x:v>
      </x:c>
      <x:c r="J65" s="79" t="str">
        <x:v>P2</x:v>
      </x:c>
      <x:c r="K65" s="79" t="str">
        <x:v>https://github.com/darknigthmare/yautja-la-longue-chasse/blob/feat/v131-gauntlet-hologram-dual-view-20261030/public/game/assets/v136/gauntlets/lost-stalker/01-arm.svg</x:v>
      </x:c>
      <x:c r="L65" s="79" t="str">
        <x:v>Prototype SVG individuel + alpha PNG</x:v>
      </x:c>
    </x:row>
    <x:row r="66" ht="29" customHeight="1">
      <x:c r="A66" s="79" t="str">
        <x:v>05_Assets</x:v>
      </x:c>
      <x:c r="B66" s="79" t="n">
        <x:v>66</x:v>
      </x:c>
      <x:c r="C66" s="79" t="str">
        <x:v>lost-stalker-SHELL-C</x:v>
      </x:c>
      <x:c r="D66" s="79" t="str">
        <x:v>lost-stalker</x:v>
      </x:c>
      <x:c r="E66" s="79" t="str">
        <x:v>Coque fermée</x:v>
      </x:c>
      <x:c r="F66" s="79" t="str">
        <x:v>PARTIEL · prototype technique</x:v>
      </x:c>
      <x:c r="G66" s="79" t="str">
        <x:v>Vérifier forme/proportions/cuirasse 1:1 et textures, pas seulement SVG</x:v>
      </x:c>
      <x:c r="H66" s="79" t="str">
        <x:v>ART+QA</x:v>
      </x:c>
      <x:c r="I66" s="79" t="str">
        <x:v>Oui, pour les contrats techniques uniquement</x:v>
      </x:c>
      <x:c r="J66" s="79" t="str">
        <x:v>P2</x:v>
      </x:c>
      <x:c r="K66" s="79" t="str">
        <x:v>https://github.com/darknigthmare/yautja-la-longue-chasse/blob/feat/v131-gauntlet-hologram-dual-view-20261030/public/game/assets/v136/gauntlets/lost-stalker/02-shell.svg</x:v>
      </x:c>
      <x:c r="L66" s="79" t="str">
        <x:v>Coque individuelle SVG + PNG, non 1:1</x:v>
      </x:c>
    </x:row>
    <x:row r="67" ht="29" customHeight="1">
      <x:c r="A67" s="79" t="str">
        <x:v>05_Assets</x:v>
      </x:c>
      <x:c r="B67" s="79" t="n">
        <x:v>67</x:v>
      </x:c>
      <x:c r="C67" s="79" t="str">
        <x:v>lost-stalker-SHELL-O</x:v>
      </x:c>
      <x:c r="D67" s="79" t="str">
        <x:v>lost-stalker</x:v>
      </x:c>
      <x:c r="E67" s="79" t="str">
        <x:v>Coque ouverte</x:v>
      </x:c>
      <x:c r="F67" s="79" t="str">
        <x:v>PARTIEL · prototype technique</x:v>
      </x:c>
      <x:c r="G67" s="79" t="str">
        <x:v>Mesurer pivot/capots sur film et compléter les états ouvrir-fermer-ranger</x:v>
      </x:c>
      <x:c r="H67" s="79" t="str">
        <x:v>ART+QA</x:v>
      </x:c>
      <x:c r="I67" s="79" t="str">
        <x:v>Oui, pour les contrats techniques uniquement</x:v>
      </x:c>
      <x:c r="J67" s="79" t="str">
        <x:v>P2</x:v>
      </x:c>
      <x:c r="K67" s="79" t="str">
        <x:v>https://github.com/darknigthmare/yautja-la-longue-chasse/blob/feat/v131-gauntlet-hologram-dual-view-20261030/public/game/assets/v136/gauntlets/lost-stalker/04-lid.svg</x:v>
      </x:c>
      <x:c r="L67" s="79" t="str">
        <x:v>Capot ouvrable en React/CSS, animation partielle</x:v>
      </x:c>
    </x:row>
    <x:row r="68" ht="29" customHeight="1">
      <x:c r="A68" s="79" t="str">
        <x:v>05_Assets</x:v>
      </x:c>
      <x:c r="B68" s="79" t="n">
        <x:v>68</x:v>
      </x:c>
      <x:c r="C68" s="79" t="str">
        <x:v>lost-stalker-UI-RED</x:v>
      </x:c>
      <x:c r="D68" s="79" t="str">
        <x:v>lost-stalker</x:v>
      </x:c>
      <x:c r="E68" s="79" t="str">
        <x:v>Contrôle / glyphes</x:v>
      </x:c>
      <x:c r="F68" s="79" t="str">
        <x:v>PARTIEL · prototype technique</x:v>
      </x:c>
      <x:c r="G68" s="79" t="str">
        <x:v>Remplacer symboles conceptuels par graphismes source documentés sans inventer du canon</x:v>
      </x:c>
      <x:c r="H68" s="79" t="str">
        <x:v>ART+QA</x:v>
      </x:c>
      <x:c r="I68" s="79" t="str">
        <x:v>Oui, pour les contrats techniques uniquement</x:v>
      </x:c>
      <x:c r="J68" s="79" t="str">
        <x:v>P2</x:v>
      </x:c>
      <x:c r="K68" s="79" t="str">
        <x:v>https://github.com/darknigthmare/yautja-la-longue-chasse/blob/feat/v131-gauntlet-hologram-dual-view-20261030/public/game/assets/v136/gauntlets/lost-stalker/03-interface.svg</x:v>
      </x:c>
      <x:c r="L68" s="79" t="str">
        <x:v>Interface distincte en SVG / couleurs non certifiées</x:v>
      </x:c>
    </x:row>
    <x:row r="69" ht="29" customHeight="1">
      <x:c r="A69" s="79" t="str">
        <x:v>05_Assets</x:v>
      </x:c>
      <x:c r="B69" s="79" t="n">
        <x:v>69</x:v>
      </x:c>
      <x:c r="C69" s="79" t="str">
        <x:v>lost-stalker-RIBS</x:v>
      </x:c>
      <x:c r="D69" s="79" t="str">
        <x:v>lost-stalker</x:v>
      </x:c>
      <x:c r="E69" s="79" t="str">
        <x:v>Ribures et mécanique</x:v>
      </x:c>
      <x:c r="F69" s="79" t="str">
        <x:v>OUVERT · séparation des sous-pièces</x:v>
      </x:c>
      <x:c r="G69" s="79" t="str">
        <x:v>Découper les pièces mécaniques, valider attaches et reliefs individuels</x:v>
      </x:c>
      <x:c r="H69" s="79" t="str">
        <x:v>ART+QA</x:v>
      </x:c>
      <x:c r="I69" s="79" t="str">
        <x:v>Oui, pour les contrats techniques uniquement</x:v>
      </x:c>
      <x:c r="J69" s="79" t="str">
        <x:v>P2</x:v>
      </x:c>
      <x:c r="K69" s="79" t="str">
        <x:v>https://github.com/darknigthmare/yautja-la-longue-chasse/blob/feat/v131-gauntlet-hologram-dual-view-20261030/public/game/assets/v136/gauntlets/lost-stalker/02-shell.svg</x:v>
      </x:c>
      <x:c r="L69" s="79" t="str">
        <x:v>Détails de coque présents, sous-pièces non séparées</x:v>
      </x:c>
    </x:row>
    <x:row r="70" ht="29" customHeight="1">
      <x:c r="A70" s="79" t="str">
        <x:v>05_Assets</x:v>
      </x:c>
      <x:c r="B70" s="79" t="n">
        <x:v>70</x:v>
      </x:c>
      <x:c r="C70" s="79" t="str">
        <x:v>lost-stalker-BEAM</x:v>
      </x:c>
      <x:c r="D70" s="79" t="str">
        <x:v>lost-stalker</x:v>
      </x:c>
      <x:c r="E70" s="79" t="str">
        <x:v>Émetteur holographique</x:v>
      </x:c>
      <x:c r="F70" s="79" t="str">
        <x:v>PARTIEL · prototype technique</x:v>
      </x:c>
      <x:c r="G70" s="79" t="str">
        <x:v>Conserver fonctionnalité HUD et produire la signature holographique de chaque modèle</x:v>
      </x:c>
      <x:c r="H70" s="79" t="str">
        <x:v>ART+QA</x:v>
      </x:c>
      <x:c r="I70" s="79" t="str">
        <x:v>Oui, pour les contrats techniques uniquement</x:v>
      </x:c>
      <x:c r="J70" s="79" t="str">
        <x:v>P2</x:v>
      </x:c>
      <x:c r="K70" s="79" t="str">
        <x:v>https://github.com/darknigthmare/yautja-la-longue-chasse/blob/feat/v131-gauntlet-hologram-dual-view-20261030/app/game/ClanWarGauntletV131.tsx</x:v>
      </x:c>
      <x:c r="L70" s="79" t="str">
        <x:v>Faisceau du projet (JH dédié, autres effet commun)</x:v>
      </x:c>
    </x:row>
    <x:row r="71" ht="29" customHeight="1">
      <x:c r="A71" s="79" t="str">
        <x:v>05_Assets</x:v>
      </x:c>
      <x:c r="B71" s="79" t="n">
        <x:v>71</x:v>
      </x:c>
      <x:c r="C71" s="79" t="str">
        <x:v>lost-stalker-MOVE</x:v>
      </x:c>
      <x:c r="D71" s="79" t="str">
        <x:v>lost-stalker</x:v>
      </x:c>
      <x:c r="E71" s="79" t="str">
        <x:v>Animations 4 états</x:v>
      </x:c>
      <x:c r="F71" s="79" t="str">
        <x:v>PARTIEL · prototype technique</x:v>
      </x:c>
      <x:c r="G71" s="79" t="str">
        <x:v>Compléter lever, ouvrir, projeter, ranger ; aligner au rig et à la caméra</x:v>
      </x:c>
      <x:c r="H71" s="79" t="str">
        <x:v>ART+QA</x:v>
      </x:c>
      <x:c r="I71" s="79" t="str">
        <x:v>Oui, pour les contrats techniques uniquement</x:v>
      </x:c>
      <x:c r="J71" s="79" t="str">
        <x:v>P2</x:v>
      </x:c>
      <x:c r="K71" s="79" t="str">
        <x:v>https://github.com/darknigthmare/yautja-la-longue-chasse/blob/feat/v131-gauntlet-hologram-dual-view-20261030/public/game/assets/v136/gauntlets/lost-stalker/04-lid.svg</x:v>
      </x:c>
      <x:c r="L71" s="79" t="str">
        <x:v>Capot ouvert/fermé ; 3 gestes complets restent à faire</x:v>
      </x:c>
    </x:row>
    <x:row r="72" ht="29" customHeight="1">
      <x:c r="A72" s="79" t="str">
        <x:v>05_Assets</x:v>
      </x:c>
      <x:c r="B72" s="79" t="n">
        <x:v>72</x:v>
      </x:c>
      <x:c r="C72" s="79" t="str">
        <x:v>lost-stalker-SFX</x:v>
      </x:c>
      <x:c r="D72" s="79" t="str">
        <x:v>lost-stalker</x:v>
      </x:c>
      <x:c r="E72" s="79" t="str">
        <x:v>Identité sonore</x:v>
      </x:c>
      <x:c r="F72" s="79" t="str">
        <x:v>PARTIEL · prototype technique</x:v>
      </x:c>
      <x:c r="G72" s="79" t="str">
        <x:v>Distinguer signatures individualisées, écouter et calibrer mixage/mute</x:v>
      </x:c>
      <x:c r="H72" s="79" t="str">
        <x:v>UI/AUDIO</x:v>
      </x:c>
      <x:c r="I72" s="79" t="str">
        <x:v>Oui, pour les contrats techniques uniquement</x:v>
      </x:c>
      <x:c r="J72" s="79" t="str">
        <x:v>P2</x:v>
      </x:c>
      <x:c r="K72" s="79" t="str">
        <x:v>https://github.com/darknigthmare/yautja-la-longue-chasse/blob/feat/v131-gauntlet-hologram-dual-view-20261030/app/game/sound.ts</x:v>
      </x:c>
      <x:c r="L72" s="79" t="str">
        <x:v>Signature sonore par thème (10 profils), source non cinéma</x:v>
      </x:c>
    </x:row>
    <x:row r="73" ht="29" customHeight="1">
      <x:c r="A73" s="79" t="str">
        <x:v>05_Assets</x:v>
      </x:c>
      <x:c r="B73" s="79" t="n">
        <x:v>73</x:v>
      </x:c>
      <x:c r="C73" s="79" t="str">
        <x:v>lost-stalker-HUD</x:v>
      </x:c>
      <x:c r="D73" s="79" t="str">
        <x:v>lost-stalker</x:v>
      </x:c>
      <x:c r="E73" s="79" t="str">
        <x:v>Palette / projection</x:v>
      </x:c>
      <x:c r="F73" s="79" t="str">
        <x:v>PARTIEL · prototype technique</x:v>
      </x:c>
      <x:c r="G73" s="79" t="str">
        <x:v>Tester toutes résolutions, contrôles, sous-modes et cohérence d'infos</x:v>
      </x:c>
      <x:c r="H73" s="79" t="str">
        <x:v>UI/AUDIO</x:v>
      </x:c>
      <x:c r="I73" s="79" t="str">
        <x:v>Oui, pour les contrats techniques uniquement</x:v>
      </x:c>
      <x:c r="J73" s="79" t="str">
        <x:v>P2</x:v>
      </x:c>
      <x:c r="K73" s="79" t="str">
        <x:v>https://github.com/darknigthmare/yautja-la-longue-chasse/blob/feat/v131-gauntlet-hologram-dual-view-20261030/app/game/ClanWarGauntletV131.tsx</x:v>
      </x:c>
      <x:c r="L73" s="79" t="str">
        <x:v>HUD connecté / simulation intacte ; QA visuelle restante</x:v>
      </x:c>
    </x:row>
    <x:row r="74" ht="29" customHeight="1">
      <x:c r="A74" s="79" t="str">
        <x:v>05_Assets</x:v>
      </x:c>
      <x:c r="B74" s="79" t="n">
        <x:v>74</x:v>
      </x:c>
      <x:c r="C74" s="79" t="str">
        <x:v>lost-stalker-QA</x:v>
      </x:c>
      <x:c r="D74" s="79" t="str">
        <x:v>lost-stalker</x:v>
      </x:c>
      <x:c r="E74" s="79" t="str">
        <x:v>Comparaisons + tests</x:v>
      </x:c>
      <x:c r="F74" s="79" t="str">
        <x:v>PARTIEL · prototype technique</x:v>
      </x:c>
      <x:c r="G74" s="79" t="str">
        <x:v>Réaliser contrôles visuels film/rig + E2E jeu, FPS et accessibilité</x:v>
      </x:c>
      <x:c r="H74" s="79" t="str">
        <x:v>ART+QA</x:v>
      </x:c>
      <x:c r="I74" s="79" t="str">
        <x:v>Oui, pour les contrats techniques uniquement</x:v>
      </x:c>
      <x:c r="J74" s="79" t="str">
        <x:v>P2</x:v>
      </x:c>
      <x:c r="K74" s="79" t="str">
        <x:v>https://github.com/darknigthmare/yautja-la-longue-chasse/blob/feat/v131-gauntlet-hologram-dual-view-20261030/tests/gauntlet-archive-studies-v136.test.mjs</x:v>
      </x:c>
      <x:c r="L74" s="79" t="str">
        <x:v>Tests CI source / alpha / type / navigateur autonome ; 1:1 restant</x:v>
      </x:c>
    </x:row>
    <x:row r="75" ht="29" customHeight="1">
      <x:c r="A75" s="79" t="str">
        <x:v>05_Assets</x:v>
      </x:c>
      <x:c r="B75" s="79" t="n">
        <x:v>75</x:v>
      </x:c>
      <x:c r="C75" s="79" t="str">
        <x:v>lost-snake-ARM-L</x:v>
      </x:c>
      <x:c r="D75" s="79" t="str">
        <x:v>lost-snake</x:v>
      </x:c>
      <x:c r="E75" s="79" t="str">
        <x:v>Bras gauche / poignet</x:v>
      </x:c>
      <x:c r="F75" s="79" t="str">
        <x:v>PARTIEL · prototype technique</x:v>
      </x:c>
      <x:c r="G75" s="79" t="str">
        <x:v>Comparer bras et poignet à plusieurs plans canoniques ; adapter au rig dans toutes poses</x:v>
      </x:c>
      <x:c r="H75" s="79" t="str">
        <x:v>ART+QA</x:v>
      </x:c>
      <x:c r="I75" s="79" t="str">
        <x:v>Oui, pour les contrats techniques uniquement</x:v>
      </x:c>
      <x:c r="J75" s="79" t="str">
        <x:v>P2</x:v>
      </x:c>
      <x:c r="K75" s="79" t="str">
        <x:v>https://github.com/darknigthmare/yautja-la-longue-chasse/blob/feat/v131-gauntlet-hologram-dual-view-20261030/public/game/assets/v136/gauntlets/lost-snake/01-arm.svg</x:v>
      </x:c>
      <x:c r="L75" s="79" t="str">
        <x:v>Prototype SVG individuel + alpha PNG</x:v>
      </x:c>
    </x:row>
    <x:row r="76" ht="29" customHeight="1">
      <x:c r="A76" s="79" t="str">
        <x:v>05_Assets</x:v>
      </x:c>
      <x:c r="B76" s="79" t="n">
        <x:v>76</x:v>
      </x:c>
      <x:c r="C76" s="79" t="str">
        <x:v>lost-snake-SHELL-C</x:v>
      </x:c>
      <x:c r="D76" s="79" t="str">
        <x:v>lost-snake</x:v>
      </x:c>
      <x:c r="E76" s="79" t="str">
        <x:v>Coque fermée</x:v>
      </x:c>
      <x:c r="F76" s="79" t="str">
        <x:v>PARTIEL · prototype technique</x:v>
      </x:c>
      <x:c r="G76" s="79" t="str">
        <x:v>Vérifier forme/proportions/cuirasse 1:1 et textures, pas seulement SVG</x:v>
      </x:c>
      <x:c r="H76" s="79" t="str">
        <x:v>ART+QA</x:v>
      </x:c>
      <x:c r="I76" s="79" t="str">
        <x:v>Oui, pour les contrats techniques uniquement</x:v>
      </x:c>
      <x:c r="J76" s="79" t="str">
        <x:v>P2</x:v>
      </x:c>
      <x:c r="K76" s="79" t="str">
        <x:v>https://github.com/darknigthmare/yautja-la-longue-chasse/blob/feat/v131-gauntlet-hologram-dual-view-20261030/public/game/assets/v136/gauntlets/lost-snake/02-shell.svg</x:v>
      </x:c>
      <x:c r="L76" s="79" t="str">
        <x:v>Coque individuelle SVG + PNG, non 1:1</x:v>
      </x:c>
    </x:row>
    <x:row r="77" ht="29" customHeight="1">
      <x:c r="A77" s="79" t="str">
        <x:v>05_Assets</x:v>
      </x:c>
      <x:c r="B77" s="79" t="n">
        <x:v>77</x:v>
      </x:c>
      <x:c r="C77" s="79" t="str">
        <x:v>lost-snake-SHELL-O</x:v>
      </x:c>
      <x:c r="D77" s="79" t="str">
        <x:v>lost-snake</x:v>
      </x:c>
      <x:c r="E77" s="79" t="str">
        <x:v>Coque ouverte</x:v>
      </x:c>
      <x:c r="F77" s="79" t="str">
        <x:v>PARTIEL · prototype technique</x:v>
      </x:c>
      <x:c r="G77" s="79" t="str">
        <x:v>Mesurer pivot/capots sur film et compléter les états ouvrir-fermer-ranger</x:v>
      </x:c>
      <x:c r="H77" s="79" t="str">
        <x:v>ART+QA</x:v>
      </x:c>
      <x:c r="I77" s="79" t="str">
        <x:v>Oui, pour les contrats techniques uniquement</x:v>
      </x:c>
      <x:c r="J77" s="79" t="str">
        <x:v>P2</x:v>
      </x:c>
      <x:c r="K77" s="79" t="str">
        <x:v>https://github.com/darknigthmare/yautja-la-longue-chasse/blob/feat/v131-gauntlet-hologram-dual-view-20261030/public/game/assets/v136/gauntlets/lost-snake/04-lid.svg</x:v>
      </x:c>
      <x:c r="L77" s="79" t="str">
        <x:v>Capot ouvrable en React/CSS, animation partielle</x:v>
      </x:c>
    </x:row>
    <x:row r="78" ht="29" customHeight="1">
      <x:c r="A78" s="79" t="str">
        <x:v>05_Assets</x:v>
      </x:c>
      <x:c r="B78" s="79" t="n">
        <x:v>78</x:v>
      </x:c>
      <x:c r="C78" s="79" t="str">
        <x:v>lost-snake-UI-RED</x:v>
      </x:c>
      <x:c r="D78" s="79" t="str">
        <x:v>lost-snake</x:v>
      </x:c>
      <x:c r="E78" s="79" t="str">
        <x:v>Contrôle / glyphes</x:v>
      </x:c>
      <x:c r="F78" s="79" t="str">
        <x:v>PARTIEL · prototype technique</x:v>
      </x:c>
      <x:c r="G78" s="79" t="str">
        <x:v>Remplacer symboles conceptuels par graphismes source documentés sans inventer du canon</x:v>
      </x:c>
      <x:c r="H78" s="79" t="str">
        <x:v>ART+QA</x:v>
      </x:c>
      <x:c r="I78" s="79" t="str">
        <x:v>Oui, pour les contrats techniques uniquement</x:v>
      </x:c>
      <x:c r="J78" s="79" t="str">
        <x:v>P2</x:v>
      </x:c>
      <x:c r="K78" s="79" t="str">
        <x:v>https://github.com/darknigthmare/yautja-la-longue-chasse/blob/feat/v131-gauntlet-hologram-dual-view-20261030/public/game/assets/v136/gauntlets/lost-snake/03-interface.svg</x:v>
      </x:c>
      <x:c r="L78" s="79" t="str">
        <x:v>Interface distincte en SVG / couleurs non certifiées</x:v>
      </x:c>
    </x:row>
    <x:row r="79" ht="29" customHeight="1">
      <x:c r="A79" s="79" t="str">
        <x:v>05_Assets</x:v>
      </x:c>
      <x:c r="B79" s="79" t="n">
        <x:v>79</x:v>
      </x:c>
      <x:c r="C79" s="79" t="str">
        <x:v>lost-snake-RIBS</x:v>
      </x:c>
      <x:c r="D79" s="79" t="str">
        <x:v>lost-snake</x:v>
      </x:c>
      <x:c r="E79" s="79" t="str">
        <x:v>Ribures et mécanique</x:v>
      </x:c>
      <x:c r="F79" s="79" t="str">
        <x:v>OUVERT · séparation des sous-pièces</x:v>
      </x:c>
      <x:c r="G79" s="79" t="str">
        <x:v>Découper les pièces mécaniques, valider attaches et reliefs individuels</x:v>
      </x:c>
      <x:c r="H79" s="79" t="str">
        <x:v>ART+QA</x:v>
      </x:c>
      <x:c r="I79" s="79" t="str">
        <x:v>Oui, pour les contrats techniques uniquement</x:v>
      </x:c>
      <x:c r="J79" s="79" t="str">
        <x:v>P2</x:v>
      </x:c>
      <x:c r="K79" s="79" t="str">
        <x:v>https://github.com/darknigthmare/yautja-la-longue-chasse/blob/feat/v131-gauntlet-hologram-dual-view-20261030/public/game/assets/v136/gauntlets/lost-snake/02-shell.svg</x:v>
      </x:c>
      <x:c r="L79" s="79" t="str">
        <x:v>Détails de coque présents, sous-pièces non séparées</x:v>
      </x:c>
    </x:row>
    <x:row r="80" ht="29" customHeight="1">
      <x:c r="A80" s="79" t="str">
        <x:v>05_Assets</x:v>
      </x:c>
      <x:c r="B80" s="79" t="n">
        <x:v>80</x:v>
      </x:c>
      <x:c r="C80" s="79" t="str">
        <x:v>lost-snake-BEAM</x:v>
      </x:c>
      <x:c r="D80" s="79" t="str">
        <x:v>lost-snake</x:v>
      </x:c>
      <x:c r="E80" s="79" t="str">
        <x:v>Émetteur holographique</x:v>
      </x:c>
      <x:c r="F80" s="79" t="str">
        <x:v>PARTIEL · prototype technique</x:v>
      </x:c>
      <x:c r="G80" s="79" t="str">
        <x:v>Conserver fonctionnalité HUD et produire la signature holographique de chaque modèle</x:v>
      </x:c>
      <x:c r="H80" s="79" t="str">
        <x:v>ART+QA</x:v>
      </x:c>
      <x:c r="I80" s="79" t="str">
        <x:v>Oui, pour les contrats techniques uniquement</x:v>
      </x:c>
      <x:c r="J80" s="79" t="str">
        <x:v>P2</x:v>
      </x:c>
      <x:c r="K80" s="79" t="str">
        <x:v>https://github.com/darknigthmare/yautja-la-longue-chasse/blob/feat/v131-gauntlet-hologram-dual-view-20261030/app/game/ClanWarGauntletV131.tsx</x:v>
      </x:c>
      <x:c r="L80" s="79" t="str">
        <x:v>Faisceau du projet (JH dédié, autres effet commun)</x:v>
      </x:c>
    </x:row>
    <x:row r="81" ht="29" customHeight="1">
      <x:c r="A81" s="79" t="str">
        <x:v>05_Assets</x:v>
      </x:c>
      <x:c r="B81" s="79" t="n">
        <x:v>81</x:v>
      </x:c>
      <x:c r="C81" s="79" t="str">
        <x:v>lost-snake-MOVE</x:v>
      </x:c>
      <x:c r="D81" s="79" t="str">
        <x:v>lost-snake</x:v>
      </x:c>
      <x:c r="E81" s="79" t="str">
        <x:v>Animations 4 états</x:v>
      </x:c>
      <x:c r="F81" s="79" t="str">
        <x:v>PARTIEL · prototype technique</x:v>
      </x:c>
      <x:c r="G81" s="79" t="str">
        <x:v>Compléter lever, ouvrir, projeter, ranger ; aligner au rig et à la caméra</x:v>
      </x:c>
      <x:c r="H81" s="79" t="str">
        <x:v>ART+QA</x:v>
      </x:c>
      <x:c r="I81" s="79" t="str">
        <x:v>Oui, pour les contrats techniques uniquement</x:v>
      </x:c>
      <x:c r="J81" s="79" t="str">
        <x:v>P2</x:v>
      </x:c>
      <x:c r="K81" s="79" t="str">
        <x:v>https://github.com/darknigthmare/yautja-la-longue-chasse/blob/feat/v131-gauntlet-hologram-dual-view-20261030/public/game/assets/v136/gauntlets/lost-snake/04-lid.svg</x:v>
      </x:c>
      <x:c r="L81" s="79" t="str">
        <x:v>Capot ouvert/fermé ; 3 gestes complets restent à faire</x:v>
      </x:c>
    </x:row>
    <x:row r="82" ht="29" customHeight="1">
      <x:c r="A82" s="79" t="str">
        <x:v>05_Assets</x:v>
      </x:c>
      <x:c r="B82" s="79" t="n">
        <x:v>82</x:v>
      </x:c>
      <x:c r="C82" s="79" t="str">
        <x:v>lost-snake-SFX</x:v>
      </x:c>
      <x:c r="D82" s="79" t="str">
        <x:v>lost-snake</x:v>
      </x:c>
      <x:c r="E82" s="79" t="str">
        <x:v>Identité sonore</x:v>
      </x:c>
      <x:c r="F82" s="79" t="str">
        <x:v>PARTIEL · prototype technique</x:v>
      </x:c>
      <x:c r="G82" s="79" t="str">
        <x:v>Distinguer signatures individualisées, écouter et calibrer mixage/mute</x:v>
      </x:c>
      <x:c r="H82" s="79" t="str">
        <x:v>UI/AUDIO</x:v>
      </x:c>
      <x:c r="I82" s="79" t="str">
        <x:v>Oui, pour les contrats techniques uniquement</x:v>
      </x:c>
      <x:c r="J82" s="79" t="str">
        <x:v>P2</x:v>
      </x:c>
      <x:c r="K82" s="79" t="str">
        <x:v>https://github.com/darknigthmare/yautja-la-longue-chasse/blob/feat/v131-gauntlet-hologram-dual-view-20261030/app/game/sound.ts</x:v>
      </x:c>
      <x:c r="L82" s="79" t="str">
        <x:v>Signature sonore par thème (10 profils), source non cinéma</x:v>
      </x:c>
    </x:row>
    <x:row r="83" ht="29" customHeight="1">
      <x:c r="A83" s="79" t="str">
        <x:v>05_Assets</x:v>
      </x:c>
      <x:c r="B83" s="79" t="n">
        <x:v>83</x:v>
      </x:c>
      <x:c r="C83" s="79" t="str">
        <x:v>lost-snake-HUD</x:v>
      </x:c>
      <x:c r="D83" s="79" t="str">
        <x:v>lost-snake</x:v>
      </x:c>
      <x:c r="E83" s="79" t="str">
        <x:v>Palette / projection</x:v>
      </x:c>
      <x:c r="F83" s="79" t="str">
        <x:v>PARTIEL · prototype technique</x:v>
      </x:c>
      <x:c r="G83" s="79" t="str">
        <x:v>Tester toutes résolutions, contrôles, sous-modes et cohérence d'infos</x:v>
      </x:c>
      <x:c r="H83" s="79" t="str">
        <x:v>UI/AUDIO</x:v>
      </x:c>
      <x:c r="I83" s="79" t="str">
        <x:v>Oui, pour les contrats techniques uniquement</x:v>
      </x:c>
      <x:c r="J83" s="79" t="str">
        <x:v>P2</x:v>
      </x:c>
      <x:c r="K83" s="79" t="str">
        <x:v>https://github.com/darknigthmare/yautja-la-longue-chasse/blob/feat/v131-gauntlet-hologram-dual-view-20261030/app/game/ClanWarGauntletV131.tsx</x:v>
      </x:c>
      <x:c r="L83" s="79" t="str">
        <x:v>HUD connecté / simulation intacte ; QA visuelle restante</x:v>
      </x:c>
    </x:row>
    <x:row r="84" ht="29" customHeight="1">
      <x:c r="A84" s="79" t="str">
        <x:v>05_Assets</x:v>
      </x:c>
      <x:c r="B84" s="79" t="n">
        <x:v>84</x:v>
      </x:c>
      <x:c r="C84" s="79" t="str">
        <x:v>lost-snake-QA</x:v>
      </x:c>
      <x:c r="D84" s="79" t="str">
        <x:v>lost-snake</x:v>
      </x:c>
      <x:c r="E84" s="79" t="str">
        <x:v>Comparaisons + tests</x:v>
      </x:c>
      <x:c r="F84" s="79" t="str">
        <x:v>PARTIEL · prototype technique</x:v>
      </x:c>
      <x:c r="G84" s="79" t="str">
        <x:v>Réaliser contrôles visuels film/rig + E2E jeu, FPS et accessibilité</x:v>
      </x:c>
      <x:c r="H84" s="79" t="str">
        <x:v>ART+QA</x:v>
      </x:c>
      <x:c r="I84" s="79" t="str">
        <x:v>Oui, pour les contrats techniques uniquement</x:v>
      </x:c>
      <x:c r="J84" s="79" t="str">
        <x:v>P2</x:v>
      </x:c>
      <x:c r="K84" s="79" t="str">
        <x:v>https://github.com/darknigthmare/yautja-la-longue-chasse/blob/feat/v131-gauntlet-hologram-dual-view-20261030/tests/gauntlet-archive-studies-v136.test.mjs</x:v>
      </x:c>
      <x:c r="L84" s="79" t="str">
        <x:v>Tests CI source / alpha / type / navigateur autonome ; 1:1 restant</x:v>
      </x:c>
    </x:row>
    <x:row r="85" ht="29" customHeight="1">
      <x:c r="A85" s="79" t="str">
        <x:v>05_Assets</x:v>
      </x:c>
      <x:c r="B85" s="79" t="n">
        <x:v>85</x:v>
      </x:c>
      <x:c r="C85" s="79" t="str">
        <x:v>lost-warrior-ARM-L</x:v>
      </x:c>
      <x:c r="D85" s="79" t="str">
        <x:v>lost-warrior</x:v>
      </x:c>
      <x:c r="E85" s="79" t="str">
        <x:v>Bras gauche / poignet</x:v>
      </x:c>
      <x:c r="F85" s="79" t="str">
        <x:v>PARTIEL · prototype technique</x:v>
      </x:c>
      <x:c r="G85" s="79" t="str">
        <x:v>Comparer bras et poignet à plusieurs plans canoniques ; adapter au rig dans toutes poses</x:v>
      </x:c>
      <x:c r="H85" s="79" t="str">
        <x:v>ART+QA</x:v>
      </x:c>
      <x:c r="I85" s="79" t="str">
        <x:v>Oui, pour les contrats techniques uniquement</x:v>
      </x:c>
      <x:c r="J85" s="79" t="str">
        <x:v>P2</x:v>
      </x:c>
      <x:c r="K85" s="79" t="str">
        <x:v>https://github.com/darknigthmare/yautja-la-longue-chasse/blob/feat/v131-gauntlet-hologram-dual-view-20261030/public/game/assets/v136/gauntlets/lost-warrior/01-arm.svg</x:v>
      </x:c>
      <x:c r="L85" s="79" t="str">
        <x:v>Prototype SVG individuel + alpha PNG</x:v>
      </x:c>
    </x:row>
    <x:row r="86" ht="29" customHeight="1">
      <x:c r="A86" s="79" t="str">
        <x:v>05_Assets</x:v>
      </x:c>
      <x:c r="B86" s="79" t="n">
        <x:v>86</x:v>
      </x:c>
      <x:c r="C86" s="79" t="str">
        <x:v>lost-warrior-SHELL-C</x:v>
      </x:c>
      <x:c r="D86" s="79" t="str">
        <x:v>lost-warrior</x:v>
      </x:c>
      <x:c r="E86" s="79" t="str">
        <x:v>Coque fermée</x:v>
      </x:c>
      <x:c r="F86" s="79" t="str">
        <x:v>PARTIEL · prototype technique</x:v>
      </x:c>
      <x:c r="G86" s="79" t="str">
        <x:v>Vérifier forme/proportions/cuirasse 1:1 et textures, pas seulement SVG</x:v>
      </x:c>
      <x:c r="H86" s="79" t="str">
        <x:v>ART+QA</x:v>
      </x:c>
      <x:c r="I86" s="79" t="str">
        <x:v>Oui, pour les contrats techniques uniquement</x:v>
      </x:c>
      <x:c r="J86" s="79" t="str">
        <x:v>P2</x:v>
      </x:c>
      <x:c r="K86" s="79" t="str">
        <x:v>https://github.com/darknigthmare/yautja-la-longue-chasse/blob/feat/v131-gauntlet-hologram-dual-view-20261030/public/game/assets/v136/gauntlets/lost-warrior/02-shell.svg</x:v>
      </x:c>
      <x:c r="L86" s="79" t="str">
        <x:v>Coque individuelle SVG + PNG, non 1:1</x:v>
      </x:c>
    </x:row>
    <x:row r="87" ht="29" customHeight="1">
      <x:c r="A87" s="79" t="str">
        <x:v>05_Assets</x:v>
      </x:c>
      <x:c r="B87" s="79" t="n">
        <x:v>87</x:v>
      </x:c>
      <x:c r="C87" s="79" t="str">
        <x:v>lost-warrior-SHELL-O</x:v>
      </x:c>
      <x:c r="D87" s="79" t="str">
        <x:v>lost-warrior</x:v>
      </x:c>
      <x:c r="E87" s="79" t="str">
        <x:v>Coque ouverte</x:v>
      </x:c>
      <x:c r="F87" s="79" t="str">
        <x:v>PARTIEL · prototype technique</x:v>
      </x:c>
      <x:c r="G87" s="79" t="str">
        <x:v>Mesurer pivot/capots sur film et compléter les états ouvrir-fermer-ranger</x:v>
      </x:c>
      <x:c r="H87" s="79" t="str">
        <x:v>ART+QA</x:v>
      </x:c>
      <x:c r="I87" s="79" t="str">
        <x:v>Oui, pour les contrats techniques uniquement</x:v>
      </x:c>
      <x:c r="J87" s="79" t="str">
        <x:v>P2</x:v>
      </x:c>
      <x:c r="K87" s="79" t="str">
        <x:v>https://github.com/darknigthmare/yautja-la-longue-chasse/blob/feat/v131-gauntlet-hologram-dual-view-20261030/public/game/assets/v136/gauntlets/lost-warrior/04-lid.svg</x:v>
      </x:c>
      <x:c r="L87" s="79" t="str">
        <x:v>Capot ouvrable en React/CSS, animation partielle</x:v>
      </x:c>
    </x:row>
    <x:row r="88" ht="29" customHeight="1">
      <x:c r="A88" s="79" t="str">
        <x:v>05_Assets</x:v>
      </x:c>
      <x:c r="B88" s="79" t="n">
        <x:v>88</x:v>
      </x:c>
      <x:c r="C88" s="79" t="str">
        <x:v>lost-warrior-UI-RED</x:v>
      </x:c>
      <x:c r="D88" s="79" t="str">
        <x:v>lost-warrior</x:v>
      </x:c>
      <x:c r="E88" s="79" t="str">
        <x:v>Contrôle / glyphes</x:v>
      </x:c>
      <x:c r="F88" s="79" t="str">
        <x:v>PARTIEL · prototype technique</x:v>
      </x:c>
      <x:c r="G88" s="79" t="str">
        <x:v>Remplacer symboles conceptuels par graphismes source documentés sans inventer du canon</x:v>
      </x:c>
      <x:c r="H88" s="79" t="str">
        <x:v>ART+QA</x:v>
      </x:c>
      <x:c r="I88" s="79" t="str">
        <x:v>Oui, pour les contrats techniques uniquement</x:v>
      </x:c>
      <x:c r="J88" s="79" t="str">
        <x:v>P2</x:v>
      </x:c>
      <x:c r="K88" s="79" t="str">
        <x:v>https://github.com/darknigthmare/yautja-la-longue-chasse/blob/feat/v131-gauntlet-hologram-dual-view-20261030/public/game/assets/v136/gauntlets/lost-warrior/03-interface.svg</x:v>
      </x:c>
      <x:c r="L88" s="79" t="str">
        <x:v>Interface distincte en SVG / couleurs non certifiées</x:v>
      </x:c>
    </x:row>
    <x:row r="89" ht="29" customHeight="1">
      <x:c r="A89" s="79" t="str">
        <x:v>05_Assets</x:v>
      </x:c>
      <x:c r="B89" s="79" t="n">
        <x:v>89</x:v>
      </x:c>
      <x:c r="C89" s="79" t="str">
        <x:v>lost-warrior-RIBS</x:v>
      </x:c>
      <x:c r="D89" s="79" t="str">
        <x:v>lost-warrior</x:v>
      </x:c>
      <x:c r="E89" s="79" t="str">
        <x:v>Ribures et mécanique</x:v>
      </x:c>
      <x:c r="F89" s="79" t="str">
        <x:v>OUVERT · séparation des sous-pièces</x:v>
      </x:c>
      <x:c r="G89" s="79" t="str">
        <x:v>Découper les pièces mécaniques, valider attaches et reliefs individuels</x:v>
      </x:c>
      <x:c r="H89" s="79" t="str">
        <x:v>ART+QA</x:v>
      </x:c>
      <x:c r="I89" s="79" t="str">
        <x:v>Oui, pour les contrats techniques uniquement</x:v>
      </x:c>
      <x:c r="J89" s="79" t="str">
        <x:v>P2</x:v>
      </x:c>
      <x:c r="K89" s="79" t="str">
        <x:v>https://github.com/darknigthmare/yautja-la-longue-chasse/blob/feat/v131-gauntlet-hologram-dual-view-20261030/public/game/assets/v136/gauntlets/lost-warrior/02-shell.svg</x:v>
      </x:c>
      <x:c r="L89" s="79" t="str">
        <x:v>Détails de coque présents, sous-pièces non séparées</x:v>
      </x:c>
    </x:row>
    <x:row r="90" ht="29" customHeight="1">
      <x:c r="A90" s="79" t="str">
        <x:v>05_Assets</x:v>
      </x:c>
      <x:c r="B90" s="79" t="n">
        <x:v>90</x:v>
      </x:c>
      <x:c r="C90" s="79" t="str">
        <x:v>lost-warrior-BEAM</x:v>
      </x:c>
      <x:c r="D90" s="79" t="str">
        <x:v>lost-warrior</x:v>
      </x:c>
      <x:c r="E90" s="79" t="str">
        <x:v>Émetteur holographique</x:v>
      </x:c>
      <x:c r="F90" s="79" t="str">
        <x:v>PARTIEL · prototype technique</x:v>
      </x:c>
      <x:c r="G90" s="79" t="str">
        <x:v>Conserver fonctionnalité HUD et produire la signature holographique de chaque modèle</x:v>
      </x:c>
      <x:c r="H90" s="79" t="str">
        <x:v>ART+QA</x:v>
      </x:c>
      <x:c r="I90" s="79" t="str">
        <x:v>Oui, pour les contrats techniques uniquement</x:v>
      </x:c>
      <x:c r="J90" s="79" t="str">
        <x:v>P2</x:v>
      </x:c>
      <x:c r="K90" s="79" t="str">
        <x:v>https://github.com/darknigthmare/yautja-la-longue-chasse/blob/feat/v131-gauntlet-hologram-dual-view-20261030/app/game/ClanWarGauntletV131.tsx</x:v>
      </x:c>
      <x:c r="L90" s="79" t="str">
        <x:v>Faisceau du projet (JH dédié, autres effet commun)</x:v>
      </x:c>
    </x:row>
    <x:row r="91" ht="29" customHeight="1">
      <x:c r="A91" s="79" t="str">
        <x:v>05_Assets</x:v>
      </x:c>
      <x:c r="B91" s="79" t="n">
        <x:v>91</x:v>
      </x:c>
      <x:c r="C91" s="79" t="str">
        <x:v>lost-warrior-MOVE</x:v>
      </x:c>
      <x:c r="D91" s="79" t="str">
        <x:v>lost-warrior</x:v>
      </x:c>
      <x:c r="E91" s="79" t="str">
        <x:v>Animations 4 états</x:v>
      </x:c>
      <x:c r="F91" s="79" t="str">
        <x:v>PARTIEL · prototype technique</x:v>
      </x:c>
      <x:c r="G91" s="79" t="str">
        <x:v>Compléter lever, ouvrir, projeter, ranger ; aligner au rig et à la caméra</x:v>
      </x:c>
      <x:c r="H91" s="79" t="str">
        <x:v>ART+QA</x:v>
      </x:c>
      <x:c r="I91" s="79" t="str">
        <x:v>Oui, pour les contrats techniques uniquement</x:v>
      </x:c>
      <x:c r="J91" s="79" t="str">
        <x:v>P2</x:v>
      </x:c>
      <x:c r="K91" s="79" t="str">
        <x:v>https://github.com/darknigthmare/yautja-la-longue-chasse/blob/feat/v131-gauntlet-hologram-dual-view-20261030/public/game/assets/v136/gauntlets/lost-warrior/04-lid.svg</x:v>
      </x:c>
      <x:c r="L91" s="79" t="str">
        <x:v>Capot ouvert/fermé ; 3 gestes complets restent à faire</x:v>
      </x:c>
    </x:row>
    <x:row r="92" ht="29" customHeight="1">
      <x:c r="A92" s="79" t="str">
        <x:v>05_Assets</x:v>
      </x:c>
      <x:c r="B92" s="79" t="n">
        <x:v>92</x:v>
      </x:c>
      <x:c r="C92" s="79" t="str">
        <x:v>lost-warrior-SFX</x:v>
      </x:c>
      <x:c r="D92" s="79" t="str">
        <x:v>lost-warrior</x:v>
      </x:c>
      <x:c r="E92" s="79" t="str">
        <x:v>Identité sonore</x:v>
      </x:c>
      <x:c r="F92" s="79" t="str">
        <x:v>PARTIEL · prototype technique</x:v>
      </x:c>
      <x:c r="G92" s="79" t="str">
        <x:v>Distinguer signatures individualisées, écouter et calibrer mixage/mute</x:v>
      </x:c>
      <x:c r="H92" s="79" t="str">
        <x:v>UI/AUDIO</x:v>
      </x:c>
      <x:c r="I92" s="79" t="str">
        <x:v>Oui, pour les contrats techniques uniquement</x:v>
      </x:c>
      <x:c r="J92" s="79" t="str">
        <x:v>P2</x:v>
      </x:c>
      <x:c r="K92" s="79" t="str">
        <x:v>https://github.com/darknigthmare/yautja-la-longue-chasse/blob/feat/v131-gauntlet-hologram-dual-view-20261030/app/game/sound.ts</x:v>
      </x:c>
      <x:c r="L92" s="79" t="str">
        <x:v>Signature sonore par thème (10 profils), source non cinéma</x:v>
      </x:c>
    </x:row>
    <x:row r="93" ht="29" customHeight="1">
      <x:c r="A93" s="79" t="str">
        <x:v>05_Assets</x:v>
      </x:c>
      <x:c r="B93" s="79" t="n">
        <x:v>93</x:v>
      </x:c>
      <x:c r="C93" s="79" t="str">
        <x:v>lost-warrior-HUD</x:v>
      </x:c>
      <x:c r="D93" s="79" t="str">
        <x:v>lost-warrior</x:v>
      </x:c>
      <x:c r="E93" s="79" t="str">
        <x:v>Palette / projection</x:v>
      </x:c>
      <x:c r="F93" s="79" t="str">
        <x:v>PARTIEL · prototype technique</x:v>
      </x:c>
      <x:c r="G93" s="79" t="str">
        <x:v>Tester toutes résolutions, contrôles, sous-modes et cohérence d'infos</x:v>
      </x:c>
      <x:c r="H93" s="79" t="str">
        <x:v>UI/AUDIO</x:v>
      </x:c>
      <x:c r="I93" s="79" t="str">
        <x:v>Oui, pour les contrats techniques uniquement</x:v>
      </x:c>
      <x:c r="J93" s="79" t="str">
        <x:v>P2</x:v>
      </x:c>
      <x:c r="K93" s="79" t="str">
        <x:v>https://github.com/darknigthmare/yautja-la-longue-chasse/blob/feat/v131-gauntlet-hologram-dual-view-20261030/app/game/ClanWarGauntletV131.tsx</x:v>
      </x:c>
      <x:c r="L93" s="79" t="str">
        <x:v>HUD connecté / simulation intacte ; QA visuelle restante</x:v>
      </x:c>
    </x:row>
    <x:row r="94" ht="29" customHeight="1">
      <x:c r="A94" s="79" t="str">
        <x:v>05_Assets</x:v>
      </x:c>
      <x:c r="B94" s="79" t="n">
        <x:v>94</x:v>
      </x:c>
      <x:c r="C94" s="79" t="str">
        <x:v>lost-warrior-QA</x:v>
      </x:c>
      <x:c r="D94" s="79" t="str">
        <x:v>lost-warrior</x:v>
      </x:c>
      <x:c r="E94" s="79" t="str">
        <x:v>Comparaisons + tests</x:v>
      </x:c>
      <x:c r="F94" s="79" t="str">
        <x:v>PARTIEL · prototype technique</x:v>
      </x:c>
      <x:c r="G94" s="79" t="str">
        <x:v>Réaliser contrôles visuels film/rig + E2E jeu, FPS et accessibilité</x:v>
      </x:c>
      <x:c r="H94" s="79" t="str">
        <x:v>ART+QA</x:v>
      </x:c>
      <x:c r="I94" s="79" t="str">
        <x:v>Oui, pour les contrats techniques uniquement</x:v>
      </x:c>
      <x:c r="J94" s="79" t="str">
        <x:v>P2</x:v>
      </x:c>
      <x:c r="K94" s="79" t="str">
        <x:v>https://github.com/darknigthmare/yautja-la-longue-chasse/blob/feat/v131-gauntlet-hologram-dual-view-20261030/tests/gauntlet-archive-studies-v136.test.mjs</x:v>
      </x:c>
      <x:c r="L94" s="79" t="str">
        <x:v>Tests CI source / alpha / type / navigateur autonome ; 1:1 restant</x:v>
      </x:c>
    </x:row>
    <x:row r="95" ht="29" customHeight="1">
      <x:c r="A95" s="79" t="str">
        <x:v>05_Assets</x:v>
      </x:c>
      <x:c r="B95" s="79" t="n">
        <x:v>95</x:v>
      </x:c>
      <x:c r="C95" s="79" t="str">
        <x:v>lost-scout-ARM-L</x:v>
      </x:c>
      <x:c r="D95" s="79" t="str">
        <x:v>lost-scout</x:v>
      </x:c>
      <x:c r="E95" s="79" t="str">
        <x:v>Bras gauche / poignet</x:v>
      </x:c>
      <x:c r="F95" s="79" t="str">
        <x:v>PARTIEL · prototype technique</x:v>
      </x:c>
      <x:c r="G95" s="79" t="str">
        <x:v>Comparer bras et poignet à plusieurs plans canoniques ; adapter au rig dans toutes poses</x:v>
      </x:c>
      <x:c r="H95" s="79" t="str">
        <x:v>ART+QA</x:v>
      </x:c>
      <x:c r="I95" s="79" t="str">
        <x:v>Oui, pour les contrats techniques uniquement</x:v>
      </x:c>
      <x:c r="J95" s="79" t="str">
        <x:v>P2</x:v>
      </x:c>
      <x:c r="K95" s="79" t="str">
        <x:v>https://github.com/darknigthmare/yautja-la-longue-chasse/blob/feat/v131-gauntlet-hologram-dual-view-20261030/public/game/assets/v136/gauntlets/lost-scout/01-arm.svg</x:v>
      </x:c>
      <x:c r="L95" s="79" t="str">
        <x:v>Prototype SVG individuel + alpha PNG</x:v>
      </x:c>
    </x:row>
    <x:row r="96" ht="29" customHeight="1">
      <x:c r="A96" s="79" t="str">
        <x:v>05_Assets</x:v>
      </x:c>
      <x:c r="B96" s="79" t="n">
        <x:v>96</x:v>
      </x:c>
      <x:c r="C96" s="79" t="str">
        <x:v>lost-scout-SHELL-C</x:v>
      </x:c>
      <x:c r="D96" s="79" t="str">
        <x:v>lost-scout</x:v>
      </x:c>
      <x:c r="E96" s="79" t="str">
        <x:v>Coque fermée</x:v>
      </x:c>
      <x:c r="F96" s="79" t="str">
        <x:v>PARTIEL · prototype technique</x:v>
      </x:c>
      <x:c r="G96" s="79" t="str">
        <x:v>Vérifier forme/proportions/cuirasse 1:1 et textures, pas seulement SVG</x:v>
      </x:c>
      <x:c r="H96" s="79" t="str">
        <x:v>ART+QA</x:v>
      </x:c>
      <x:c r="I96" s="79" t="str">
        <x:v>Oui, pour les contrats techniques uniquement</x:v>
      </x:c>
      <x:c r="J96" s="79" t="str">
        <x:v>P2</x:v>
      </x:c>
      <x:c r="K96" s="79" t="str">
        <x:v>https://github.com/darknigthmare/yautja-la-longue-chasse/blob/feat/v131-gauntlet-hologram-dual-view-20261030/public/game/assets/v136/gauntlets/lost-scout/02-shell.svg</x:v>
      </x:c>
      <x:c r="L96" s="79" t="str">
        <x:v>Coque individuelle SVG + PNG, non 1:1</x:v>
      </x:c>
    </x:row>
    <x:row r="97" ht="29" customHeight="1">
      <x:c r="A97" s="79" t="str">
        <x:v>05_Assets</x:v>
      </x:c>
      <x:c r="B97" s="79" t="n">
        <x:v>97</x:v>
      </x:c>
      <x:c r="C97" s="79" t="str">
        <x:v>lost-scout-SHELL-O</x:v>
      </x:c>
      <x:c r="D97" s="79" t="str">
        <x:v>lost-scout</x:v>
      </x:c>
      <x:c r="E97" s="79" t="str">
        <x:v>Coque ouverte</x:v>
      </x:c>
      <x:c r="F97" s="79" t="str">
        <x:v>PARTIEL · prototype technique</x:v>
      </x:c>
      <x:c r="G97" s="79" t="str">
        <x:v>Mesurer pivot/capots sur film et compléter les états ouvrir-fermer-ranger</x:v>
      </x:c>
      <x:c r="H97" s="79" t="str">
        <x:v>ART+QA</x:v>
      </x:c>
      <x:c r="I97" s="79" t="str">
        <x:v>Oui, pour les contrats techniques uniquement</x:v>
      </x:c>
      <x:c r="J97" s="79" t="str">
        <x:v>P2</x:v>
      </x:c>
      <x:c r="K97" s="79" t="str">
        <x:v>https://github.com/darknigthmare/yautja-la-longue-chasse/blob/feat/v131-gauntlet-hologram-dual-view-20261030/public/game/assets/v136/gauntlets/lost-scout/04-lid.svg</x:v>
      </x:c>
      <x:c r="L97" s="79" t="str">
        <x:v>Capot ouvrable en React/CSS, animation partielle</x:v>
      </x:c>
    </x:row>
    <x:row r="98" ht="29" customHeight="1">
      <x:c r="A98" s="79" t="str">
        <x:v>05_Assets</x:v>
      </x:c>
      <x:c r="B98" s="79" t="n">
        <x:v>98</x:v>
      </x:c>
      <x:c r="C98" s="79" t="str">
        <x:v>lost-scout-UI-RED</x:v>
      </x:c>
      <x:c r="D98" s="79" t="str">
        <x:v>lost-scout</x:v>
      </x:c>
      <x:c r="E98" s="79" t="str">
        <x:v>Contrôle / glyphes</x:v>
      </x:c>
      <x:c r="F98" s="79" t="str">
        <x:v>PARTIEL · prototype technique</x:v>
      </x:c>
      <x:c r="G98" s="79" t="str">
        <x:v>Remplacer symboles conceptuels par graphismes source documentés sans inventer du canon</x:v>
      </x:c>
      <x:c r="H98" s="79" t="str">
        <x:v>ART+QA</x:v>
      </x:c>
      <x:c r="I98" s="79" t="str">
        <x:v>Oui, pour les contrats techniques uniquement</x:v>
      </x:c>
      <x:c r="J98" s="79" t="str">
        <x:v>P2</x:v>
      </x:c>
      <x:c r="K98" s="79" t="str">
        <x:v>https://github.com/darknigthmare/yautja-la-longue-chasse/blob/feat/v131-gauntlet-hologram-dual-view-20261030/public/game/assets/v136/gauntlets/lost-scout/03-interface.svg</x:v>
      </x:c>
      <x:c r="L98" s="79" t="str">
        <x:v>Interface distincte en SVG / couleurs non certifiées</x:v>
      </x:c>
    </x:row>
    <x:row r="99" ht="29" customHeight="1">
      <x:c r="A99" s="79" t="str">
        <x:v>05_Assets</x:v>
      </x:c>
      <x:c r="B99" s="79" t="n">
        <x:v>99</x:v>
      </x:c>
      <x:c r="C99" s="79" t="str">
        <x:v>lost-scout-RIBS</x:v>
      </x:c>
      <x:c r="D99" s="79" t="str">
        <x:v>lost-scout</x:v>
      </x:c>
      <x:c r="E99" s="79" t="str">
        <x:v>Ribures et mécanique</x:v>
      </x:c>
      <x:c r="F99" s="79" t="str">
        <x:v>OUVERT · séparation des sous-pièces</x:v>
      </x:c>
      <x:c r="G99" s="79" t="str">
        <x:v>Découper les pièces mécaniques, valider attaches et reliefs individuels</x:v>
      </x:c>
      <x:c r="H99" s="79" t="str">
        <x:v>ART+QA</x:v>
      </x:c>
      <x:c r="I99" s="79" t="str">
        <x:v>Oui, pour les contrats techniques uniquement</x:v>
      </x:c>
      <x:c r="J99" s="79" t="str">
        <x:v>P2</x:v>
      </x:c>
      <x:c r="K99" s="79" t="str">
        <x:v>https://github.com/darknigthmare/yautja-la-longue-chasse/blob/feat/v131-gauntlet-hologram-dual-view-20261030/public/game/assets/v136/gauntlets/lost-scout/02-shell.svg</x:v>
      </x:c>
      <x:c r="L99" s="79" t="str">
        <x:v>Détails de coque présents, sous-pièces non séparées</x:v>
      </x:c>
    </x:row>
    <x:row r="100" ht="29" customHeight="1">
      <x:c r="A100" s="79" t="str">
        <x:v>05_Assets</x:v>
      </x:c>
      <x:c r="B100" s="79" t="n">
        <x:v>100</x:v>
      </x:c>
      <x:c r="C100" s="79" t="str">
        <x:v>lost-scout-BEAM</x:v>
      </x:c>
      <x:c r="D100" s="79" t="str">
        <x:v>lost-scout</x:v>
      </x:c>
      <x:c r="E100" s="79" t="str">
        <x:v>Émetteur holographique</x:v>
      </x:c>
      <x:c r="F100" s="79" t="str">
        <x:v>PARTIEL · prototype technique</x:v>
      </x:c>
      <x:c r="G100" s="79" t="str">
        <x:v>Conserver fonctionnalité HUD et produire la signature holographique de chaque modèle</x:v>
      </x:c>
      <x:c r="H100" s="79" t="str">
        <x:v>ART+QA</x:v>
      </x:c>
      <x:c r="I100" s="79" t="str">
        <x:v>Oui, pour les contrats techniques uniquement</x:v>
      </x:c>
      <x:c r="J100" s="79" t="str">
        <x:v>P2</x:v>
      </x:c>
      <x:c r="K100" s="79" t="str">
        <x:v>https://github.com/darknigthmare/yautja-la-longue-chasse/blob/feat/v131-gauntlet-hologram-dual-view-20261030/app/game/ClanWarGauntletV131.tsx</x:v>
      </x:c>
      <x:c r="L100" s="79" t="str">
        <x:v>Faisceau du projet (JH dédié, autres effet commun)</x:v>
      </x:c>
    </x:row>
    <x:row r="101" ht="29" customHeight="1">
      <x:c r="A101" s="79" t="str">
        <x:v>05_Assets</x:v>
      </x:c>
      <x:c r="B101" s="79" t="n">
        <x:v>101</x:v>
      </x:c>
      <x:c r="C101" s="79" t="str">
        <x:v>lost-scout-MOVE</x:v>
      </x:c>
      <x:c r="D101" s="79" t="str">
        <x:v>lost-scout</x:v>
      </x:c>
      <x:c r="E101" s="79" t="str">
        <x:v>Animations 4 états</x:v>
      </x:c>
      <x:c r="F101" s="79" t="str">
        <x:v>PARTIEL · prototype technique</x:v>
      </x:c>
      <x:c r="G101" s="79" t="str">
        <x:v>Compléter lever, ouvrir, projeter, ranger ; aligner au rig et à la caméra</x:v>
      </x:c>
      <x:c r="H101" s="79" t="str">
        <x:v>ART+QA</x:v>
      </x:c>
      <x:c r="I101" s="79" t="str">
        <x:v>Oui, pour les contrats techniques uniquement</x:v>
      </x:c>
      <x:c r="J101" s="79" t="str">
        <x:v>P2</x:v>
      </x:c>
      <x:c r="K101" s="79" t="str">
        <x:v>https://github.com/darknigthmare/yautja-la-longue-chasse/blob/feat/v131-gauntlet-hologram-dual-view-20261030/public/game/assets/v136/gauntlets/lost-scout/04-lid.svg</x:v>
      </x:c>
      <x:c r="L101" s="79" t="str">
        <x:v>Capot ouvert/fermé ; 3 gestes complets restent à faire</x:v>
      </x:c>
    </x:row>
    <x:row r="102" ht="29" customHeight="1">
      <x:c r="A102" s="79" t="str">
        <x:v>05_Assets</x:v>
      </x:c>
      <x:c r="B102" s="79" t="n">
        <x:v>102</x:v>
      </x:c>
      <x:c r="C102" s="79" t="str">
        <x:v>lost-scout-SFX</x:v>
      </x:c>
      <x:c r="D102" s="79" t="str">
        <x:v>lost-scout</x:v>
      </x:c>
      <x:c r="E102" s="79" t="str">
        <x:v>Identité sonore</x:v>
      </x:c>
      <x:c r="F102" s="79" t="str">
        <x:v>PARTIEL · prototype technique</x:v>
      </x:c>
      <x:c r="G102" s="79" t="str">
        <x:v>Distinguer signatures individualisées, écouter et calibrer mixage/mute</x:v>
      </x:c>
      <x:c r="H102" s="79" t="str">
        <x:v>UI/AUDIO</x:v>
      </x:c>
      <x:c r="I102" s="79" t="str">
        <x:v>Oui, pour les contrats techniques uniquement</x:v>
      </x:c>
      <x:c r="J102" s="79" t="str">
        <x:v>P2</x:v>
      </x:c>
      <x:c r="K102" s="79" t="str">
        <x:v>https://github.com/darknigthmare/yautja-la-longue-chasse/blob/feat/v131-gauntlet-hologram-dual-view-20261030/app/game/sound.ts</x:v>
      </x:c>
      <x:c r="L102" s="79" t="str">
        <x:v>Signature sonore par thème (10 profils), source non cinéma</x:v>
      </x:c>
    </x:row>
    <x:row r="103" ht="29" customHeight="1">
      <x:c r="A103" s="79" t="str">
        <x:v>05_Assets</x:v>
      </x:c>
      <x:c r="B103" s="79" t="n">
        <x:v>103</x:v>
      </x:c>
      <x:c r="C103" s="79" t="str">
        <x:v>lost-scout-HUD</x:v>
      </x:c>
      <x:c r="D103" s="79" t="str">
        <x:v>lost-scout</x:v>
      </x:c>
      <x:c r="E103" s="79" t="str">
        <x:v>Palette / projection</x:v>
      </x:c>
      <x:c r="F103" s="79" t="str">
        <x:v>PARTIEL · prototype technique</x:v>
      </x:c>
      <x:c r="G103" s="79" t="str">
        <x:v>Tester toutes résolutions, contrôles, sous-modes et cohérence d'infos</x:v>
      </x:c>
      <x:c r="H103" s="79" t="str">
        <x:v>UI/AUDIO</x:v>
      </x:c>
      <x:c r="I103" s="79" t="str">
        <x:v>Oui, pour les contrats techniques uniquement</x:v>
      </x:c>
      <x:c r="J103" s="79" t="str">
        <x:v>P2</x:v>
      </x:c>
      <x:c r="K103" s="79" t="str">
        <x:v>https://github.com/darknigthmare/yautja-la-longue-chasse/blob/feat/v131-gauntlet-hologram-dual-view-20261030/app/game/ClanWarGauntletV131.tsx</x:v>
      </x:c>
      <x:c r="L103" s="79" t="str">
        <x:v>HUD connecté / simulation intacte ; QA visuelle restante</x:v>
      </x:c>
    </x:row>
    <x:row r="104" ht="29" customHeight="1">
      <x:c r="A104" s="79" t="str">
        <x:v>05_Assets</x:v>
      </x:c>
      <x:c r="B104" s="79" t="n">
        <x:v>104</x:v>
      </x:c>
      <x:c r="C104" s="79" t="str">
        <x:v>lost-scout-QA</x:v>
      </x:c>
      <x:c r="D104" s="79" t="str">
        <x:v>lost-scout</x:v>
      </x:c>
      <x:c r="E104" s="79" t="str">
        <x:v>Comparaisons + tests</x:v>
      </x:c>
      <x:c r="F104" s="79" t="str">
        <x:v>PARTIEL · prototype technique</x:v>
      </x:c>
      <x:c r="G104" s="79" t="str">
        <x:v>Réaliser contrôles visuels film/rig + E2E jeu, FPS et accessibilité</x:v>
      </x:c>
      <x:c r="H104" s="79" t="str">
        <x:v>ART+QA</x:v>
      </x:c>
      <x:c r="I104" s="79" t="str">
        <x:v>Oui, pour les contrats techniques uniquement</x:v>
      </x:c>
      <x:c r="J104" s="79" t="str">
        <x:v>P2</x:v>
      </x:c>
      <x:c r="K104" s="79" t="str">
        <x:v>https://github.com/darknigthmare/yautja-la-longue-chasse/blob/feat/v131-gauntlet-hologram-dual-view-20261030/tests/gauntlet-archive-studies-v136.test.mjs</x:v>
      </x:c>
      <x:c r="L104" s="79" t="str">
        <x:v>Tests CI source / alpha / type / navigateur autonome ; 1:1 restant</x:v>
      </x:c>
    </x:row>
    <x:row r="105" ht="29" customHeight="1">
      <x:c r="A105" s="79" t="str">
        <x:v>05_Assets</x:v>
      </x:c>
      <x:c r="B105" s="79" t="n">
        <x:v>105</x:v>
      </x:c>
      <x:c r="C105" s="79" t="str">
        <x:v>lost-borg-ARM-L</x:v>
      </x:c>
      <x:c r="D105" s="79" t="str">
        <x:v>lost-borg</x:v>
      </x:c>
      <x:c r="E105" s="79" t="str">
        <x:v>Bras gauche / poignet</x:v>
      </x:c>
      <x:c r="F105" s="79" t="str">
        <x:v>PARTIEL · prototype technique</x:v>
      </x:c>
      <x:c r="G105" s="79" t="str">
        <x:v>Comparer bras et poignet à plusieurs plans canoniques ; adapter au rig dans toutes poses</x:v>
      </x:c>
      <x:c r="H105" s="79" t="str">
        <x:v>ART+QA</x:v>
      </x:c>
      <x:c r="I105" s="79" t="str">
        <x:v>Oui, pour les contrats techniques uniquement</x:v>
      </x:c>
      <x:c r="J105" s="79" t="str">
        <x:v>P2</x:v>
      </x:c>
      <x:c r="K105" s="79" t="str">
        <x:v>https://github.com/darknigthmare/yautja-la-longue-chasse/blob/feat/v131-gauntlet-hologram-dual-view-20261030/public/game/assets/v136/gauntlets/lost-borg/01-arm.svg</x:v>
      </x:c>
      <x:c r="L105" s="79" t="str">
        <x:v>Prototype SVG individuel + alpha PNG</x:v>
      </x:c>
    </x:row>
    <x:row r="106" ht="29" customHeight="1">
      <x:c r="A106" s="79" t="str">
        <x:v>05_Assets</x:v>
      </x:c>
      <x:c r="B106" s="79" t="n">
        <x:v>106</x:v>
      </x:c>
      <x:c r="C106" s="79" t="str">
        <x:v>lost-borg-SHELL-C</x:v>
      </x:c>
      <x:c r="D106" s="79" t="str">
        <x:v>lost-borg</x:v>
      </x:c>
      <x:c r="E106" s="79" t="str">
        <x:v>Coque fermée</x:v>
      </x:c>
      <x:c r="F106" s="79" t="str">
        <x:v>PARTIEL · prototype technique</x:v>
      </x:c>
      <x:c r="G106" s="79" t="str">
        <x:v>Vérifier forme/proportions/cuirasse 1:1 et textures, pas seulement SVG</x:v>
      </x:c>
      <x:c r="H106" s="79" t="str">
        <x:v>ART+QA</x:v>
      </x:c>
      <x:c r="I106" s="79" t="str">
        <x:v>Oui, pour les contrats techniques uniquement</x:v>
      </x:c>
      <x:c r="J106" s="79" t="str">
        <x:v>P2</x:v>
      </x:c>
      <x:c r="K106" s="79" t="str">
        <x:v>https://github.com/darknigthmare/yautja-la-longue-chasse/blob/feat/v131-gauntlet-hologram-dual-view-20261030/public/game/assets/v136/gauntlets/lost-borg/02-shell.svg</x:v>
      </x:c>
      <x:c r="L106" s="79" t="str">
        <x:v>Coque individuelle SVG + PNG, non 1:1</x:v>
      </x:c>
    </x:row>
    <x:row r="107" ht="29" customHeight="1">
      <x:c r="A107" s="79" t="str">
        <x:v>05_Assets</x:v>
      </x:c>
      <x:c r="B107" s="79" t="n">
        <x:v>107</x:v>
      </x:c>
      <x:c r="C107" s="79" t="str">
        <x:v>lost-borg-SHELL-O</x:v>
      </x:c>
      <x:c r="D107" s="79" t="str">
        <x:v>lost-borg</x:v>
      </x:c>
      <x:c r="E107" s="79" t="str">
        <x:v>Coque ouverte</x:v>
      </x:c>
      <x:c r="F107" s="79" t="str">
        <x:v>PARTIEL · prototype technique</x:v>
      </x:c>
      <x:c r="G107" s="79" t="str">
        <x:v>Mesurer pivot/capots sur film et compléter les états ouvrir-fermer-ranger</x:v>
      </x:c>
      <x:c r="H107" s="79" t="str">
        <x:v>ART+QA</x:v>
      </x:c>
      <x:c r="I107" s="79" t="str">
        <x:v>Oui, pour les contrats techniques uniquement</x:v>
      </x:c>
      <x:c r="J107" s="79" t="str">
        <x:v>P2</x:v>
      </x:c>
      <x:c r="K107" s="79" t="str">
        <x:v>https://github.com/darknigthmare/yautja-la-longue-chasse/blob/feat/v131-gauntlet-hologram-dual-view-20261030/public/game/assets/v136/gauntlets/lost-borg/04-lid.svg</x:v>
      </x:c>
      <x:c r="L107" s="79" t="str">
        <x:v>Capot ouvrable en React/CSS, animation partielle</x:v>
      </x:c>
    </x:row>
    <x:row r="108" ht="29" customHeight="1">
      <x:c r="A108" s="79" t="str">
        <x:v>05_Assets</x:v>
      </x:c>
      <x:c r="B108" s="79" t="n">
        <x:v>108</x:v>
      </x:c>
      <x:c r="C108" s="79" t="str">
        <x:v>lost-borg-UI-RED</x:v>
      </x:c>
      <x:c r="D108" s="79" t="str">
        <x:v>lost-borg</x:v>
      </x:c>
      <x:c r="E108" s="79" t="str">
        <x:v>Contrôle / glyphes</x:v>
      </x:c>
      <x:c r="F108" s="79" t="str">
        <x:v>PARTIEL · prototype technique</x:v>
      </x:c>
      <x:c r="G108" s="79" t="str">
        <x:v>Remplacer symboles conceptuels par graphismes source documentés sans inventer du canon</x:v>
      </x:c>
      <x:c r="H108" s="79" t="str">
        <x:v>ART+QA</x:v>
      </x:c>
      <x:c r="I108" s="79" t="str">
        <x:v>Oui, pour les contrats techniques uniquement</x:v>
      </x:c>
      <x:c r="J108" s="79" t="str">
        <x:v>P2</x:v>
      </x:c>
      <x:c r="K108" s="79" t="str">
        <x:v>https://github.com/darknigthmare/yautja-la-longue-chasse/blob/feat/v131-gauntlet-hologram-dual-view-20261030/public/game/assets/v136/gauntlets/lost-borg/03-interface.svg</x:v>
      </x:c>
      <x:c r="L108" s="79" t="str">
        <x:v>Interface distincte en SVG / couleurs non certifiées</x:v>
      </x:c>
    </x:row>
    <x:row r="109" ht="29" customHeight="1">
      <x:c r="A109" s="79" t="str">
        <x:v>05_Assets</x:v>
      </x:c>
      <x:c r="B109" s="79" t="n">
        <x:v>109</x:v>
      </x:c>
      <x:c r="C109" s="79" t="str">
        <x:v>lost-borg-RIBS</x:v>
      </x:c>
      <x:c r="D109" s="79" t="str">
        <x:v>lost-borg</x:v>
      </x:c>
      <x:c r="E109" s="79" t="str">
        <x:v>Ribures et mécanique</x:v>
      </x:c>
      <x:c r="F109" s="79" t="str">
        <x:v>OUVERT · séparation des sous-pièces</x:v>
      </x:c>
      <x:c r="G109" s="79" t="str">
        <x:v>Découper les pièces mécaniques, valider attaches et reliefs individuels</x:v>
      </x:c>
      <x:c r="H109" s="79" t="str">
        <x:v>ART+QA</x:v>
      </x:c>
      <x:c r="I109" s="79" t="str">
        <x:v>Oui, pour les contrats techniques uniquement</x:v>
      </x:c>
      <x:c r="J109" s="79" t="str">
        <x:v>P2</x:v>
      </x:c>
      <x:c r="K109" s="79" t="str">
        <x:v>https://github.com/darknigthmare/yautja-la-longue-chasse/blob/feat/v131-gauntlet-hologram-dual-view-20261030/public/game/assets/v136/gauntlets/lost-borg/02-shell.svg</x:v>
      </x:c>
      <x:c r="L109" s="79" t="str">
        <x:v>Détails de coque présents, sous-pièces non séparées</x:v>
      </x:c>
    </x:row>
    <x:row r="110" ht="29" customHeight="1">
      <x:c r="A110" s="79" t="str">
        <x:v>05_Assets</x:v>
      </x:c>
      <x:c r="B110" s="79" t="n">
        <x:v>110</x:v>
      </x:c>
      <x:c r="C110" s="79" t="str">
        <x:v>lost-borg-BEAM</x:v>
      </x:c>
      <x:c r="D110" s="79" t="str">
        <x:v>lost-borg</x:v>
      </x:c>
      <x:c r="E110" s="79" t="str">
        <x:v>Émetteur holographique</x:v>
      </x:c>
      <x:c r="F110" s="79" t="str">
        <x:v>PARTIEL · prototype technique</x:v>
      </x:c>
      <x:c r="G110" s="79" t="str">
        <x:v>Conserver fonctionnalité HUD et produire la signature holographique de chaque modèle</x:v>
      </x:c>
      <x:c r="H110" s="79" t="str">
        <x:v>ART+QA</x:v>
      </x:c>
      <x:c r="I110" s="79" t="str">
        <x:v>Oui, pour les contrats techniques uniquement</x:v>
      </x:c>
      <x:c r="J110" s="79" t="str">
        <x:v>P2</x:v>
      </x:c>
      <x:c r="K110" s="79" t="str">
        <x:v>https://github.com/darknigthmare/yautja-la-longue-chasse/blob/feat/v131-gauntlet-hologram-dual-view-20261030/app/game/ClanWarGauntletV131.tsx</x:v>
      </x:c>
      <x:c r="L110" s="79" t="str">
        <x:v>Faisceau du projet (JH dédié, autres effet commun)</x:v>
      </x:c>
    </x:row>
    <x:row r="111" ht="29" customHeight="1">
      <x:c r="A111" s="79" t="str">
        <x:v>05_Assets</x:v>
      </x:c>
      <x:c r="B111" s="79" t="n">
        <x:v>111</x:v>
      </x:c>
      <x:c r="C111" s="79" t="str">
        <x:v>lost-borg-MOVE</x:v>
      </x:c>
      <x:c r="D111" s="79" t="str">
        <x:v>lost-borg</x:v>
      </x:c>
      <x:c r="E111" s="79" t="str">
        <x:v>Animations 4 états</x:v>
      </x:c>
      <x:c r="F111" s="79" t="str">
        <x:v>PARTIEL · prototype technique</x:v>
      </x:c>
      <x:c r="G111" s="79" t="str">
        <x:v>Compléter lever, ouvrir, projeter, ranger ; aligner au rig et à la caméra</x:v>
      </x:c>
      <x:c r="H111" s="79" t="str">
        <x:v>ART+QA</x:v>
      </x:c>
      <x:c r="I111" s="79" t="str">
        <x:v>Oui, pour les contrats techniques uniquement</x:v>
      </x:c>
      <x:c r="J111" s="79" t="str">
        <x:v>P2</x:v>
      </x:c>
      <x:c r="K111" s="79" t="str">
        <x:v>https://github.com/darknigthmare/yautja-la-longue-chasse/blob/feat/v131-gauntlet-hologram-dual-view-20261030/public/game/assets/v136/gauntlets/lost-borg/04-lid.svg</x:v>
      </x:c>
      <x:c r="L111" s="79" t="str">
        <x:v>Capot ouvert/fermé ; 3 gestes complets restent à faire</x:v>
      </x:c>
    </x:row>
    <x:row r="112" ht="29" customHeight="1">
      <x:c r="A112" s="79" t="str">
        <x:v>05_Assets</x:v>
      </x:c>
      <x:c r="B112" s="79" t="n">
        <x:v>112</x:v>
      </x:c>
      <x:c r="C112" s="79" t="str">
        <x:v>lost-borg-SFX</x:v>
      </x:c>
      <x:c r="D112" s="79" t="str">
        <x:v>lost-borg</x:v>
      </x:c>
      <x:c r="E112" s="79" t="str">
        <x:v>Identité sonore</x:v>
      </x:c>
      <x:c r="F112" s="79" t="str">
        <x:v>PARTIEL · prototype technique</x:v>
      </x:c>
      <x:c r="G112" s="79" t="str">
        <x:v>Distinguer signatures individualisées, écouter et calibrer mixage/mute</x:v>
      </x:c>
      <x:c r="H112" s="79" t="str">
        <x:v>UI/AUDIO</x:v>
      </x:c>
      <x:c r="I112" s="79" t="str">
        <x:v>Oui, pour les contrats techniques uniquement</x:v>
      </x:c>
      <x:c r="J112" s="79" t="str">
        <x:v>P2</x:v>
      </x:c>
      <x:c r="K112" s="79" t="str">
        <x:v>https://github.com/darknigthmare/yautja-la-longue-chasse/blob/feat/v131-gauntlet-hologram-dual-view-20261030/app/game/sound.ts</x:v>
      </x:c>
      <x:c r="L112" s="79" t="str">
        <x:v>Signature sonore par thème (10 profils), source non cinéma</x:v>
      </x:c>
    </x:row>
    <x:row r="113" ht="29" customHeight="1">
      <x:c r="A113" s="79" t="str">
        <x:v>05_Assets</x:v>
      </x:c>
      <x:c r="B113" s="79" t="n">
        <x:v>113</x:v>
      </x:c>
      <x:c r="C113" s="79" t="str">
        <x:v>lost-borg-HUD</x:v>
      </x:c>
      <x:c r="D113" s="79" t="str">
        <x:v>lost-borg</x:v>
      </x:c>
      <x:c r="E113" s="79" t="str">
        <x:v>Palette / projection</x:v>
      </x:c>
      <x:c r="F113" s="79" t="str">
        <x:v>PARTIEL · prototype technique</x:v>
      </x:c>
      <x:c r="G113" s="79" t="str">
        <x:v>Tester toutes résolutions, contrôles, sous-modes et cohérence d'infos</x:v>
      </x:c>
      <x:c r="H113" s="79" t="str">
        <x:v>UI/AUDIO</x:v>
      </x:c>
      <x:c r="I113" s="79" t="str">
        <x:v>Oui, pour les contrats techniques uniquement</x:v>
      </x:c>
      <x:c r="J113" s="79" t="str">
        <x:v>P2</x:v>
      </x:c>
      <x:c r="K113" s="79" t="str">
        <x:v>https://github.com/darknigthmare/yautja-la-longue-chasse/blob/feat/v131-gauntlet-hologram-dual-view-20261030/app/game/ClanWarGauntletV131.tsx</x:v>
      </x:c>
      <x:c r="L113" s="79" t="str">
        <x:v>HUD connecté / simulation intacte ; QA visuelle restante</x:v>
      </x:c>
    </x:row>
    <x:row r="114" ht="29" customHeight="1">
      <x:c r="A114" s="79" t="str">
        <x:v>05_Assets</x:v>
      </x:c>
      <x:c r="B114" s="79" t="n">
        <x:v>114</x:v>
      </x:c>
      <x:c r="C114" s="79" t="str">
        <x:v>lost-borg-QA</x:v>
      </x:c>
      <x:c r="D114" s="79" t="str">
        <x:v>lost-borg</x:v>
      </x:c>
      <x:c r="E114" s="79" t="str">
        <x:v>Comparaisons + tests</x:v>
      </x:c>
      <x:c r="F114" s="79" t="str">
        <x:v>PARTIEL · prototype technique</x:v>
      </x:c>
      <x:c r="G114" s="79" t="str">
        <x:v>Réaliser contrôles visuels film/rig + E2E jeu, FPS et accessibilité</x:v>
      </x:c>
      <x:c r="H114" s="79" t="str">
        <x:v>ART+QA</x:v>
      </x:c>
      <x:c r="I114" s="79" t="str">
        <x:v>Oui, pour les contrats techniques uniquement</x:v>
      </x:c>
      <x:c r="J114" s="79" t="str">
        <x:v>P2</x:v>
      </x:c>
      <x:c r="K114" s="79" t="str">
        <x:v>https://github.com/darknigthmare/yautja-la-longue-chasse/blob/feat/v131-gauntlet-hologram-dual-view-20261030/tests/gauntlet-archive-studies-v136.test.mjs</x:v>
      </x:c>
      <x:c r="L114" s="79" t="str">
        <x:v>Tests CI source / alpha / type / navigateur autonome ; 1:1 restant</x:v>
      </x:c>
    </x:row>
    <x:row r="115" ht="29" customHeight="1">
      <x:c r="A115" s="79" t="str">
        <x:v>05_Assets</x:v>
      </x:c>
      <x:c r="B115" s="79" t="n">
        <x:v>115</x:v>
      </x:c>
      <x:c r="C115" s="79" t="str">
        <x:v>scar-ARM-L</x:v>
      </x:c>
      <x:c r="D115" s="79" t="str">
        <x:v>scar</x:v>
      </x:c>
      <x:c r="E115" s="79" t="str">
        <x:v>Bras gauche / poignet</x:v>
      </x:c>
      <x:c r="F115" s="79" t="str">
        <x:v>PARTIEL · prototype technique</x:v>
      </x:c>
      <x:c r="G115" s="79" t="str">
        <x:v>Comparer bras et poignet à plusieurs plans canoniques ; adapter au rig dans toutes poses</x:v>
      </x:c>
      <x:c r="H115" s="79" t="str">
        <x:v>ART+QA</x:v>
      </x:c>
      <x:c r="I115" s="79" t="str">
        <x:v>Oui, pour les contrats techniques uniquement</x:v>
      </x:c>
      <x:c r="J115" s="79" t="str">
        <x:v>P1</x:v>
      </x:c>
      <x:c r="K115" s="79" t="str">
        <x:v>https://github.com/darknigthmare/yautja-la-longue-chasse/blob/feat/v131-gauntlet-hologram-dual-view-20261030/public/game/assets/v136/gauntlets/scar/01-arm.svg</x:v>
      </x:c>
      <x:c r="L115" s="79" t="str">
        <x:v>Prototype SVG individuel + alpha PNG</x:v>
      </x:c>
    </x:row>
    <x:row r="116" ht="29" customHeight="1">
      <x:c r="A116" s="79" t="str">
        <x:v>05_Assets</x:v>
      </x:c>
      <x:c r="B116" s="79" t="n">
        <x:v>116</x:v>
      </x:c>
      <x:c r="C116" s="79" t="str">
        <x:v>scar-SHELL-C</x:v>
      </x:c>
      <x:c r="D116" s="79" t="str">
        <x:v>scar</x:v>
      </x:c>
      <x:c r="E116" s="79" t="str">
        <x:v>Coque fermée</x:v>
      </x:c>
      <x:c r="F116" s="79" t="str">
        <x:v>PARTIEL · prototype technique</x:v>
      </x:c>
      <x:c r="G116" s="79" t="str">
        <x:v>Vérifier forme/proportions/cuirasse 1:1 et textures, pas seulement SVG</x:v>
      </x:c>
      <x:c r="H116" s="79" t="str">
        <x:v>ART+QA</x:v>
      </x:c>
      <x:c r="I116" s="79" t="str">
        <x:v>Oui, pour les contrats techniques uniquement</x:v>
      </x:c>
      <x:c r="J116" s="79" t="str">
        <x:v>P1</x:v>
      </x:c>
      <x:c r="K116" s="79" t="str">
        <x:v>https://github.com/darknigthmare/yautja-la-longue-chasse/blob/feat/v131-gauntlet-hologram-dual-view-20261030/public/game/assets/v136/gauntlets/scar/02-shell.svg</x:v>
      </x:c>
      <x:c r="L116" s="79" t="str">
        <x:v>Coque individuelle SVG + PNG, non 1:1</x:v>
      </x:c>
    </x:row>
    <x:row r="117" ht="29" customHeight="1">
      <x:c r="A117" s="79" t="str">
        <x:v>05_Assets</x:v>
      </x:c>
      <x:c r="B117" s="79" t="n">
        <x:v>117</x:v>
      </x:c>
      <x:c r="C117" s="79" t="str">
        <x:v>scar-SHELL-O</x:v>
      </x:c>
      <x:c r="D117" s="79" t="str">
        <x:v>scar</x:v>
      </x:c>
      <x:c r="E117" s="79" t="str">
        <x:v>Coque ouverte</x:v>
      </x:c>
      <x:c r="F117" s="79" t="str">
        <x:v>PARTIEL · prototype technique</x:v>
      </x:c>
      <x:c r="G117" s="79" t="str">
        <x:v>Mesurer pivot/capots sur film et compléter les états ouvrir-fermer-ranger</x:v>
      </x:c>
      <x:c r="H117" s="79" t="str">
        <x:v>ART+QA</x:v>
      </x:c>
      <x:c r="I117" s="79" t="str">
        <x:v>Oui, pour les contrats techniques uniquement</x:v>
      </x:c>
      <x:c r="J117" s="79" t="str">
        <x:v>P1</x:v>
      </x:c>
      <x:c r="K117" s="79" t="str">
        <x:v>https://github.com/darknigthmare/yautja-la-longue-chasse/blob/feat/v131-gauntlet-hologram-dual-view-20261030/public/game/assets/v136/gauntlets/scar/04-lid.svg</x:v>
      </x:c>
      <x:c r="L117" s="79" t="str">
        <x:v>Capot ouvrable en React/CSS, animation partielle</x:v>
      </x:c>
    </x:row>
    <x:row r="118" ht="29" customHeight="1">
      <x:c r="A118" s="79" t="str">
        <x:v>05_Assets</x:v>
      </x:c>
      <x:c r="B118" s="79" t="n">
        <x:v>118</x:v>
      </x:c>
      <x:c r="C118" s="79" t="str">
        <x:v>scar-UI-RED</x:v>
      </x:c>
      <x:c r="D118" s="79" t="str">
        <x:v>scar</x:v>
      </x:c>
      <x:c r="E118" s="79" t="str">
        <x:v>Contrôle / glyphes</x:v>
      </x:c>
      <x:c r="F118" s="79" t="str">
        <x:v>PARTIEL · prototype technique</x:v>
      </x:c>
      <x:c r="G118" s="79" t="str">
        <x:v>Remplacer symboles conceptuels par graphismes source documentés sans inventer du canon</x:v>
      </x:c>
      <x:c r="H118" s="79" t="str">
        <x:v>ART+QA</x:v>
      </x:c>
      <x:c r="I118" s="79" t="str">
        <x:v>Oui, pour les contrats techniques uniquement</x:v>
      </x:c>
      <x:c r="J118" s="79" t="str">
        <x:v>P1</x:v>
      </x:c>
      <x:c r="K118" s="79" t="str">
        <x:v>https://github.com/darknigthmare/yautja-la-longue-chasse/blob/feat/v131-gauntlet-hologram-dual-view-20261030/public/game/assets/v136/gauntlets/scar/03-interface.svg</x:v>
      </x:c>
      <x:c r="L118" s="79" t="str">
        <x:v>Interface distincte en SVG / couleurs non certifiées</x:v>
      </x:c>
    </x:row>
    <x:row r="119" ht="29" customHeight="1">
      <x:c r="A119" s="79" t="str">
        <x:v>05_Assets</x:v>
      </x:c>
      <x:c r="B119" s="79" t="n">
        <x:v>119</x:v>
      </x:c>
      <x:c r="C119" s="79" t="str">
        <x:v>scar-RIBS</x:v>
      </x:c>
      <x:c r="D119" s="79" t="str">
        <x:v>scar</x:v>
      </x:c>
      <x:c r="E119" s="79" t="str">
        <x:v>Ribures et mécanique</x:v>
      </x:c>
      <x:c r="F119" s="79" t="str">
        <x:v>OUVERT · séparation des sous-pièces</x:v>
      </x:c>
      <x:c r="G119" s="79" t="str">
        <x:v>Découper les pièces mécaniques, valider attaches et reliefs individuels</x:v>
      </x:c>
      <x:c r="H119" s="79" t="str">
        <x:v>ART+QA</x:v>
      </x:c>
      <x:c r="I119" s="79" t="str">
        <x:v>Oui, pour les contrats techniques uniquement</x:v>
      </x:c>
      <x:c r="J119" s="79" t="str">
        <x:v>P1</x:v>
      </x:c>
      <x:c r="K119" s="79" t="str">
        <x:v>https://github.com/darknigthmare/yautja-la-longue-chasse/blob/feat/v131-gauntlet-hologram-dual-view-20261030/public/game/assets/v136/gauntlets/scar/02-shell.svg</x:v>
      </x:c>
      <x:c r="L119" s="79" t="str">
        <x:v>Détails de coque présents, sous-pièces non séparées</x:v>
      </x:c>
    </x:row>
    <x:row r="120" ht="29" customHeight="1">
      <x:c r="A120" s="79" t="str">
        <x:v>05_Assets</x:v>
      </x:c>
      <x:c r="B120" s="79" t="n">
        <x:v>120</x:v>
      </x:c>
      <x:c r="C120" s="79" t="str">
        <x:v>scar-BEAM</x:v>
      </x:c>
      <x:c r="D120" s="79" t="str">
        <x:v>scar</x:v>
      </x:c>
      <x:c r="E120" s="79" t="str">
        <x:v>Émetteur holographique</x:v>
      </x:c>
      <x:c r="F120" s="79" t="str">
        <x:v>PARTIEL · prototype technique</x:v>
      </x:c>
      <x:c r="G120" s="79" t="str">
        <x:v>Conserver fonctionnalité HUD et produire la signature holographique de chaque modèle</x:v>
      </x:c>
      <x:c r="H120" s="79" t="str">
        <x:v>ART+QA</x:v>
      </x:c>
      <x:c r="I120" s="79" t="str">
        <x:v>Oui, pour les contrats techniques uniquement</x:v>
      </x:c>
      <x:c r="J120" s="79" t="str">
        <x:v>P1</x:v>
      </x:c>
      <x:c r="K120" s="79" t="str">
        <x:v>https://github.com/darknigthmare/yautja-la-longue-chasse/blob/feat/v131-gauntlet-hologram-dual-view-20261030/app/game/ClanWarGauntletV131.tsx</x:v>
      </x:c>
      <x:c r="L120" s="79" t="str">
        <x:v>Faisceau du projet (JH dédié, autres effet commun)</x:v>
      </x:c>
    </x:row>
    <x:row r="121" ht="29" customHeight="1">
      <x:c r="A121" s="79" t="str">
        <x:v>05_Assets</x:v>
      </x:c>
      <x:c r="B121" s="79" t="n">
        <x:v>121</x:v>
      </x:c>
      <x:c r="C121" s="79" t="str">
        <x:v>scar-MOVE</x:v>
      </x:c>
      <x:c r="D121" s="79" t="str">
        <x:v>scar</x:v>
      </x:c>
      <x:c r="E121" s="79" t="str">
        <x:v>Animations 4 états</x:v>
      </x:c>
      <x:c r="F121" s="79" t="str">
        <x:v>PARTIEL · prototype technique</x:v>
      </x:c>
      <x:c r="G121" s="79" t="str">
        <x:v>Compléter lever, ouvrir, projeter, ranger ; aligner au rig et à la caméra</x:v>
      </x:c>
      <x:c r="H121" s="79" t="str">
        <x:v>ART+QA</x:v>
      </x:c>
      <x:c r="I121" s="79" t="str">
        <x:v>Oui, pour les contrats techniques uniquement</x:v>
      </x:c>
      <x:c r="J121" s="79" t="str">
        <x:v>P1</x:v>
      </x:c>
      <x:c r="K121" s="79" t="str">
        <x:v>https://github.com/darknigthmare/yautja-la-longue-chasse/blob/feat/v131-gauntlet-hologram-dual-view-20261030/public/game/assets/v136/gauntlets/scar/04-lid.svg</x:v>
      </x:c>
      <x:c r="L121" s="79" t="str">
        <x:v>Capot ouvert/fermé ; 3 gestes complets restent à faire</x:v>
      </x:c>
    </x:row>
    <x:row r="122" ht="29" customHeight="1">
      <x:c r="A122" s="79" t="str">
        <x:v>05_Assets</x:v>
      </x:c>
      <x:c r="B122" s="79" t="n">
        <x:v>122</x:v>
      </x:c>
      <x:c r="C122" s="79" t="str">
        <x:v>scar-SFX</x:v>
      </x:c>
      <x:c r="D122" s="79" t="str">
        <x:v>scar</x:v>
      </x:c>
      <x:c r="E122" s="79" t="str">
        <x:v>Identité sonore</x:v>
      </x:c>
      <x:c r="F122" s="79" t="str">
        <x:v>PARTIEL · prototype technique</x:v>
      </x:c>
      <x:c r="G122" s="79" t="str">
        <x:v>Distinguer signatures individualisées, écouter et calibrer mixage/mute</x:v>
      </x:c>
      <x:c r="H122" s="79" t="str">
        <x:v>UI/AUDIO</x:v>
      </x:c>
      <x:c r="I122" s="79" t="str">
        <x:v>Oui, pour les contrats techniques uniquement</x:v>
      </x:c>
      <x:c r="J122" s="79" t="str">
        <x:v>P1</x:v>
      </x:c>
      <x:c r="K122" s="79" t="str">
        <x:v>https://github.com/darknigthmare/yautja-la-longue-chasse/blob/feat/v131-gauntlet-hologram-dual-view-20261030/app/game/sound.ts</x:v>
      </x:c>
      <x:c r="L122" s="79" t="str">
        <x:v>Signature sonore par thème (10 profils), source non cinéma</x:v>
      </x:c>
    </x:row>
    <x:row r="123" ht="29" customHeight="1">
      <x:c r="A123" s="79" t="str">
        <x:v>05_Assets</x:v>
      </x:c>
      <x:c r="B123" s="79" t="n">
        <x:v>123</x:v>
      </x:c>
      <x:c r="C123" s="79" t="str">
        <x:v>scar-HUD</x:v>
      </x:c>
      <x:c r="D123" s="79" t="str">
        <x:v>scar</x:v>
      </x:c>
      <x:c r="E123" s="79" t="str">
        <x:v>Palette / projection</x:v>
      </x:c>
      <x:c r="F123" s="79" t="str">
        <x:v>PARTIEL · prototype technique</x:v>
      </x:c>
      <x:c r="G123" s="79" t="str">
        <x:v>Tester toutes résolutions, contrôles, sous-modes et cohérence d'infos</x:v>
      </x:c>
      <x:c r="H123" s="79" t="str">
        <x:v>UI/AUDIO</x:v>
      </x:c>
      <x:c r="I123" s="79" t="str">
        <x:v>Oui, pour les contrats techniques uniquement</x:v>
      </x:c>
      <x:c r="J123" s="79" t="str">
        <x:v>P1</x:v>
      </x:c>
      <x:c r="K123" s="79" t="str">
        <x:v>https://github.com/darknigthmare/yautja-la-longue-chasse/blob/feat/v131-gauntlet-hologram-dual-view-20261030/app/game/ClanWarGauntletV131.tsx</x:v>
      </x:c>
      <x:c r="L123" s="79" t="str">
        <x:v>HUD connecté / simulation intacte ; QA visuelle restante</x:v>
      </x:c>
    </x:row>
    <x:row r="124" ht="29" customHeight="1">
      <x:c r="A124" s="79" t="str">
        <x:v>05_Assets</x:v>
      </x:c>
      <x:c r="B124" s="79" t="n">
        <x:v>124</x:v>
      </x:c>
      <x:c r="C124" s="79" t="str">
        <x:v>scar-QA</x:v>
      </x:c>
      <x:c r="D124" s="79" t="str">
        <x:v>scar</x:v>
      </x:c>
      <x:c r="E124" s="79" t="str">
        <x:v>Comparaisons + tests</x:v>
      </x:c>
      <x:c r="F124" s="79" t="str">
        <x:v>PARTIEL · prototype technique</x:v>
      </x:c>
      <x:c r="G124" s="79" t="str">
        <x:v>Réaliser contrôles visuels film/rig + E2E jeu, FPS et accessibilité</x:v>
      </x:c>
      <x:c r="H124" s="79" t="str">
        <x:v>ART+QA</x:v>
      </x:c>
      <x:c r="I124" s="79" t="str">
        <x:v>Oui, pour les contrats techniques uniquement</x:v>
      </x:c>
      <x:c r="J124" s="79" t="str">
        <x:v>P1</x:v>
      </x:c>
      <x:c r="K124" s="79" t="str">
        <x:v>https://github.com/darknigthmare/yautja-la-longue-chasse/blob/feat/v131-gauntlet-hologram-dual-view-20261030/tests/gauntlet-archive-studies-v136.test.mjs</x:v>
      </x:c>
      <x:c r="L124" s="79" t="str">
        <x:v>Tests CI source / alpha / type / navigateur autonome ; 1:1 restant</x:v>
      </x:c>
    </x:row>
    <x:row r="125" ht="29" customHeight="1">
      <x:c r="A125" s="79" t="str">
        <x:v>05_Assets</x:v>
      </x:c>
      <x:c r="B125" s="79" t="n">
        <x:v>125</x:v>
      </x:c>
      <x:c r="C125" s="79" t="str">
        <x:v>celtic-ARM-L</x:v>
      </x:c>
      <x:c r="D125" s="79" t="str">
        <x:v>celtic</x:v>
      </x:c>
      <x:c r="E125" s="79" t="str">
        <x:v>Bras gauche / poignet</x:v>
      </x:c>
      <x:c r="F125" s="79" t="str">
        <x:v>PARTIEL · prototype technique</x:v>
      </x:c>
      <x:c r="G125" s="79" t="str">
        <x:v>Comparer bras et poignet à plusieurs plans canoniques ; adapter au rig dans toutes poses</x:v>
      </x:c>
      <x:c r="H125" s="79" t="str">
        <x:v>ART+QA</x:v>
      </x:c>
      <x:c r="I125" s="79" t="str">
        <x:v>Oui, pour les contrats techniques uniquement</x:v>
      </x:c>
      <x:c r="J125" s="79" t="str">
        <x:v>P2</x:v>
      </x:c>
      <x:c r="K125" s="79" t="str">
        <x:v>https://github.com/darknigthmare/yautja-la-longue-chasse/blob/feat/v131-gauntlet-hologram-dual-view-20261030/public/game/assets/v136/gauntlets/celtic/01-arm.svg</x:v>
      </x:c>
      <x:c r="L125" s="79" t="str">
        <x:v>Prototype SVG individuel + alpha PNG</x:v>
      </x:c>
    </x:row>
    <x:row r="126" ht="29" customHeight="1">
      <x:c r="A126" s="79" t="str">
        <x:v>05_Assets</x:v>
      </x:c>
      <x:c r="B126" s="79" t="n">
        <x:v>126</x:v>
      </x:c>
      <x:c r="C126" s="79" t="str">
        <x:v>celtic-SHELL-C</x:v>
      </x:c>
      <x:c r="D126" s="79" t="str">
        <x:v>celtic</x:v>
      </x:c>
      <x:c r="E126" s="79" t="str">
        <x:v>Coque fermée</x:v>
      </x:c>
      <x:c r="F126" s="79" t="str">
        <x:v>PARTIEL · prototype technique</x:v>
      </x:c>
      <x:c r="G126" s="79" t="str">
        <x:v>Vérifier forme/proportions/cuirasse 1:1 et textures, pas seulement SVG</x:v>
      </x:c>
      <x:c r="H126" s="79" t="str">
        <x:v>ART+QA</x:v>
      </x:c>
      <x:c r="I126" s="79" t="str">
        <x:v>Oui, pour les contrats techniques uniquement</x:v>
      </x:c>
      <x:c r="J126" s="79" t="str">
        <x:v>P2</x:v>
      </x:c>
      <x:c r="K126" s="79" t="str">
        <x:v>https://github.com/darknigthmare/yautja-la-longue-chasse/blob/feat/v131-gauntlet-hologram-dual-view-20261030/public/game/assets/v136/gauntlets/celtic/02-shell.svg</x:v>
      </x:c>
      <x:c r="L126" s="79" t="str">
        <x:v>Coque individuelle SVG + PNG, non 1:1</x:v>
      </x:c>
    </x:row>
    <x:row r="127" ht="29" customHeight="1">
      <x:c r="A127" s="79" t="str">
        <x:v>05_Assets</x:v>
      </x:c>
      <x:c r="B127" s="79" t="n">
        <x:v>127</x:v>
      </x:c>
      <x:c r="C127" s="79" t="str">
        <x:v>celtic-SHELL-O</x:v>
      </x:c>
      <x:c r="D127" s="79" t="str">
        <x:v>celtic</x:v>
      </x:c>
      <x:c r="E127" s="79" t="str">
        <x:v>Coque ouverte</x:v>
      </x:c>
      <x:c r="F127" s="79" t="str">
        <x:v>PARTIEL · prototype technique</x:v>
      </x:c>
      <x:c r="G127" s="79" t="str">
        <x:v>Mesurer pivot/capots sur film et compléter les états ouvrir-fermer-ranger</x:v>
      </x:c>
      <x:c r="H127" s="79" t="str">
        <x:v>ART+QA</x:v>
      </x:c>
      <x:c r="I127" s="79" t="str">
        <x:v>Oui, pour les contrats techniques uniquement</x:v>
      </x:c>
      <x:c r="J127" s="79" t="str">
        <x:v>P2</x:v>
      </x:c>
      <x:c r="K127" s="79" t="str">
        <x:v>https://github.com/darknigthmare/yautja-la-longue-chasse/blob/feat/v131-gauntlet-hologram-dual-view-20261030/public/game/assets/v136/gauntlets/celtic/04-lid.svg</x:v>
      </x:c>
      <x:c r="L127" s="79" t="str">
        <x:v>Capot ouvrable en React/CSS, animation partielle</x:v>
      </x:c>
    </x:row>
    <x:row r="128" ht="29" customHeight="1">
      <x:c r="A128" s="79" t="str">
        <x:v>05_Assets</x:v>
      </x:c>
      <x:c r="B128" s="79" t="n">
        <x:v>128</x:v>
      </x:c>
      <x:c r="C128" s="79" t="str">
        <x:v>celtic-UI-RED</x:v>
      </x:c>
      <x:c r="D128" s="79" t="str">
        <x:v>celtic</x:v>
      </x:c>
      <x:c r="E128" s="79" t="str">
        <x:v>Contrôle / glyphes</x:v>
      </x:c>
      <x:c r="F128" s="79" t="str">
        <x:v>PARTIEL · prototype technique</x:v>
      </x:c>
      <x:c r="G128" s="79" t="str">
        <x:v>Remplacer symboles conceptuels par graphismes source documentés sans inventer du canon</x:v>
      </x:c>
      <x:c r="H128" s="79" t="str">
        <x:v>ART+QA</x:v>
      </x:c>
      <x:c r="I128" s="79" t="str">
        <x:v>Oui, pour les contrats techniques uniquement</x:v>
      </x:c>
      <x:c r="J128" s="79" t="str">
        <x:v>P2</x:v>
      </x:c>
      <x:c r="K128" s="79" t="str">
        <x:v>https://github.com/darknigthmare/yautja-la-longue-chasse/blob/feat/v131-gauntlet-hologram-dual-view-20261030/public/game/assets/v136/gauntlets/celtic/03-interface.svg</x:v>
      </x:c>
      <x:c r="L128" s="79" t="str">
        <x:v>Interface distincte en SVG / couleurs non certifiées</x:v>
      </x:c>
    </x:row>
    <x:row r="129" ht="29" customHeight="1">
      <x:c r="A129" s="79" t="str">
        <x:v>05_Assets</x:v>
      </x:c>
      <x:c r="B129" s="79" t="n">
        <x:v>129</x:v>
      </x:c>
      <x:c r="C129" s="79" t="str">
        <x:v>celtic-RIBS</x:v>
      </x:c>
      <x:c r="D129" s="79" t="str">
        <x:v>celtic</x:v>
      </x:c>
      <x:c r="E129" s="79" t="str">
        <x:v>Ribures et mécanique</x:v>
      </x:c>
      <x:c r="F129" s="79" t="str">
        <x:v>OUVERT · séparation des sous-pièces</x:v>
      </x:c>
      <x:c r="G129" s="79" t="str">
        <x:v>Découper les pièces mécaniques, valider attaches et reliefs individuels</x:v>
      </x:c>
      <x:c r="H129" s="79" t="str">
        <x:v>ART+QA</x:v>
      </x:c>
      <x:c r="I129" s="79" t="str">
        <x:v>Oui, pour les contrats techniques uniquement</x:v>
      </x:c>
      <x:c r="J129" s="79" t="str">
        <x:v>P2</x:v>
      </x:c>
      <x:c r="K129" s="79" t="str">
        <x:v>https://github.com/darknigthmare/yautja-la-longue-chasse/blob/feat/v131-gauntlet-hologram-dual-view-20261030/public/game/assets/v136/gauntlets/celtic/02-shell.svg</x:v>
      </x:c>
      <x:c r="L129" s="79" t="str">
        <x:v>Détails de coque présents, sous-pièces non séparées</x:v>
      </x:c>
    </x:row>
    <x:row r="130" ht="29" customHeight="1">
      <x:c r="A130" s="79" t="str">
        <x:v>05_Assets</x:v>
      </x:c>
      <x:c r="B130" s="79" t="n">
        <x:v>130</x:v>
      </x:c>
      <x:c r="C130" s="79" t="str">
        <x:v>celtic-BEAM</x:v>
      </x:c>
      <x:c r="D130" s="79" t="str">
        <x:v>celtic</x:v>
      </x:c>
      <x:c r="E130" s="79" t="str">
        <x:v>Émetteur holographique</x:v>
      </x:c>
      <x:c r="F130" s="79" t="str">
        <x:v>PARTIEL · prototype technique</x:v>
      </x:c>
      <x:c r="G130" s="79" t="str">
        <x:v>Conserver fonctionnalité HUD et produire la signature holographique de chaque modèle</x:v>
      </x:c>
      <x:c r="H130" s="79" t="str">
        <x:v>ART+QA</x:v>
      </x:c>
      <x:c r="I130" s="79" t="str">
        <x:v>Oui, pour les contrats techniques uniquement</x:v>
      </x:c>
      <x:c r="J130" s="79" t="str">
        <x:v>P2</x:v>
      </x:c>
      <x:c r="K130" s="79" t="str">
        <x:v>https://github.com/darknigthmare/yautja-la-longue-chasse/blob/feat/v131-gauntlet-hologram-dual-view-20261030/app/game/ClanWarGauntletV131.tsx</x:v>
      </x:c>
      <x:c r="L130" s="79" t="str">
        <x:v>Faisceau du projet (JH dédié, autres effet commun)</x:v>
      </x:c>
    </x:row>
    <x:row r="131" ht="29" customHeight="1">
      <x:c r="A131" s="79" t="str">
        <x:v>05_Assets</x:v>
      </x:c>
      <x:c r="B131" s="79" t="n">
        <x:v>131</x:v>
      </x:c>
      <x:c r="C131" s="79" t="str">
        <x:v>celtic-MOVE</x:v>
      </x:c>
      <x:c r="D131" s="79" t="str">
        <x:v>celtic</x:v>
      </x:c>
      <x:c r="E131" s="79" t="str">
        <x:v>Animations 4 états</x:v>
      </x:c>
      <x:c r="F131" s="79" t="str">
        <x:v>PARTIEL · prototype technique</x:v>
      </x:c>
      <x:c r="G131" s="79" t="str">
        <x:v>Compléter lever, ouvrir, projeter, ranger ; aligner au rig et à la caméra</x:v>
      </x:c>
      <x:c r="H131" s="79" t="str">
        <x:v>ART+QA</x:v>
      </x:c>
      <x:c r="I131" s="79" t="str">
        <x:v>Oui, pour les contrats techniques uniquement</x:v>
      </x:c>
      <x:c r="J131" s="79" t="str">
        <x:v>P2</x:v>
      </x:c>
      <x:c r="K131" s="79" t="str">
        <x:v>https://github.com/darknigthmare/yautja-la-longue-chasse/blob/feat/v131-gauntlet-hologram-dual-view-20261030/public/game/assets/v136/gauntlets/celtic/04-lid.svg</x:v>
      </x:c>
      <x:c r="L131" s="79" t="str">
        <x:v>Capot ouvert/fermé ; 3 gestes complets restent à faire</x:v>
      </x:c>
    </x:row>
    <x:row r="132" ht="29" customHeight="1">
      <x:c r="A132" s="79" t="str">
        <x:v>05_Assets</x:v>
      </x:c>
      <x:c r="B132" s="79" t="n">
        <x:v>132</x:v>
      </x:c>
      <x:c r="C132" s="79" t="str">
        <x:v>celtic-SFX</x:v>
      </x:c>
      <x:c r="D132" s="79" t="str">
        <x:v>celtic</x:v>
      </x:c>
      <x:c r="E132" s="79" t="str">
        <x:v>Identité sonore</x:v>
      </x:c>
      <x:c r="F132" s="79" t="str">
        <x:v>PARTIEL · prototype technique</x:v>
      </x:c>
      <x:c r="G132" s="79" t="str">
        <x:v>Distinguer signatures individualisées, écouter et calibrer mixage/mute</x:v>
      </x:c>
      <x:c r="H132" s="79" t="str">
        <x:v>UI/AUDIO</x:v>
      </x:c>
      <x:c r="I132" s="79" t="str">
        <x:v>Oui, pour les contrats techniques uniquement</x:v>
      </x:c>
      <x:c r="J132" s="79" t="str">
        <x:v>P2</x:v>
      </x:c>
      <x:c r="K132" s="79" t="str">
        <x:v>https://github.com/darknigthmare/yautja-la-longue-chasse/blob/feat/v131-gauntlet-hologram-dual-view-20261030/app/game/sound.ts</x:v>
      </x:c>
      <x:c r="L132" s="79" t="str">
        <x:v>Signature sonore par thème (10 profils), source non cinéma</x:v>
      </x:c>
    </x:row>
    <x:row r="133" ht="29" customHeight="1">
      <x:c r="A133" s="79" t="str">
        <x:v>05_Assets</x:v>
      </x:c>
      <x:c r="B133" s="79" t="n">
        <x:v>133</x:v>
      </x:c>
      <x:c r="C133" s="79" t="str">
        <x:v>celtic-HUD</x:v>
      </x:c>
      <x:c r="D133" s="79" t="str">
        <x:v>celtic</x:v>
      </x:c>
      <x:c r="E133" s="79" t="str">
        <x:v>Palette / projection</x:v>
      </x:c>
      <x:c r="F133" s="79" t="str">
        <x:v>PARTIEL · prototype technique</x:v>
      </x:c>
      <x:c r="G133" s="79" t="str">
        <x:v>Tester toutes résolutions, contrôles, sous-modes et cohérence d'infos</x:v>
      </x:c>
      <x:c r="H133" s="79" t="str">
        <x:v>UI/AUDIO</x:v>
      </x:c>
      <x:c r="I133" s="79" t="str">
        <x:v>Oui, pour les contrats techniques uniquement</x:v>
      </x:c>
      <x:c r="J133" s="79" t="str">
        <x:v>P2</x:v>
      </x:c>
      <x:c r="K133" s="79" t="str">
        <x:v>https://github.com/darknigthmare/yautja-la-longue-chasse/blob/feat/v131-gauntlet-hologram-dual-view-20261030/app/game/ClanWarGauntletV131.tsx</x:v>
      </x:c>
      <x:c r="L133" s="79" t="str">
        <x:v>HUD connecté / simulation intacte ; QA visuelle restante</x:v>
      </x:c>
    </x:row>
    <x:row r="134" ht="29" customHeight="1">
      <x:c r="A134" s="79" t="str">
        <x:v>05_Assets</x:v>
      </x:c>
      <x:c r="B134" s="79" t="n">
        <x:v>134</x:v>
      </x:c>
      <x:c r="C134" s="79" t="str">
        <x:v>celtic-QA</x:v>
      </x:c>
      <x:c r="D134" s="79" t="str">
        <x:v>celtic</x:v>
      </x:c>
      <x:c r="E134" s="79" t="str">
        <x:v>Comparaisons + tests</x:v>
      </x:c>
      <x:c r="F134" s="79" t="str">
        <x:v>PARTIEL · prototype technique</x:v>
      </x:c>
      <x:c r="G134" s="79" t="str">
        <x:v>Réaliser contrôles visuels film/rig + E2E jeu, FPS et accessibilité</x:v>
      </x:c>
      <x:c r="H134" s="79" t="str">
        <x:v>ART+QA</x:v>
      </x:c>
      <x:c r="I134" s="79" t="str">
        <x:v>Oui, pour les contrats techniques uniquement</x:v>
      </x:c>
      <x:c r="J134" s="79" t="str">
        <x:v>P2</x:v>
      </x:c>
      <x:c r="K134" s="79" t="str">
        <x:v>https://github.com/darknigthmare/yautja-la-longue-chasse/blob/feat/v131-gauntlet-hologram-dual-view-20261030/tests/gauntlet-archive-studies-v136.test.mjs</x:v>
      </x:c>
      <x:c r="L134" s="79" t="str">
        <x:v>Tests CI source / alpha / type / navigateur autonome ; 1:1 restant</x:v>
      </x:c>
    </x:row>
    <x:row r="135" ht="29" customHeight="1">
      <x:c r="A135" s="79" t="str">
        <x:v>05_Assets</x:v>
      </x:c>
      <x:c r="B135" s="79" t="n">
        <x:v>135</x:v>
      </x:c>
      <x:c r="C135" s="79" t="str">
        <x:v>chopper-ARM-L</x:v>
      </x:c>
      <x:c r="D135" s="79" t="str">
        <x:v>chopper</x:v>
      </x:c>
      <x:c r="E135" s="79" t="str">
        <x:v>Bras gauche / poignet</x:v>
      </x:c>
      <x:c r="F135" s="79" t="str">
        <x:v>PARTIEL · prototype technique</x:v>
      </x:c>
      <x:c r="G135" s="79" t="str">
        <x:v>Comparer bras et poignet à plusieurs plans canoniques ; adapter au rig dans toutes poses</x:v>
      </x:c>
      <x:c r="H135" s="79" t="str">
        <x:v>ART+QA</x:v>
      </x:c>
      <x:c r="I135" s="79" t="str">
        <x:v>Oui, pour les contrats techniques uniquement</x:v>
      </x:c>
      <x:c r="J135" s="79" t="str">
        <x:v>P2</x:v>
      </x:c>
      <x:c r="K135" s="79" t="str">
        <x:v>https://github.com/darknigthmare/yautja-la-longue-chasse/blob/feat/v131-gauntlet-hologram-dual-view-20261030/public/game/assets/v136/gauntlets/chopper/01-arm.svg</x:v>
      </x:c>
      <x:c r="L135" s="79" t="str">
        <x:v>Prototype SVG individuel + alpha PNG</x:v>
      </x:c>
    </x:row>
    <x:row r="136" ht="29" customHeight="1">
      <x:c r="A136" s="79" t="str">
        <x:v>05_Assets</x:v>
      </x:c>
      <x:c r="B136" s="79" t="n">
        <x:v>136</x:v>
      </x:c>
      <x:c r="C136" s="79" t="str">
        <x:v>chopper-SHELL-C</x:v>
      </x:c>
      <x:c r="D136" s="79" t="str">
        <x:v>chopper</x:v>
      </x:c>
      <x:c r="E136" s="79" t="str">
        <x:v>Coque fermée</x:v>
      </x:c>
      <x:c r="F136" s="79" t="str">
        <x:v>PARTIEL · prototype technique</x:v>
      </x:c>
      <x:c r="G136" s="79" t="str">
        <x:v>Vérifier forme/proportions/cuirasse 1:1 et textures, pas seulement SVG</x:v>
      </x:c>
      <x:c r="H136" s="79" t="str">
        <x:v>ART+QA</x:v>
      </x:c>
      <x:c r="I136" s="79" t="str">
        <x:v>Oui, pour les contrats techniques uniquement</x:v>
      </x:c>
      <x:c r="J136" s="79" t="str">
        <x:v>P2</x:v>
      </x:c>
      <x:c r="K136" s="79" t="str">
        <x:v>https://github.com/darknigthmare/yautja-la-longue-chasse/blob/feat/v131-gauntlet-hologram-dual-view-20261030/public/game/assets/v136/gauntlets/chopper/02-shell.svg</x:v>
      </x:c>
      <x:c r="L136" s="79" t="str">
        <x:v>Coque individuelle SVG + PNG, non 1:1</x:v>
      </x:c>
    </x:row>
    <x:row r="137" ht="29" customHeight="1">
      <x:c r="A137" s="79" t="str">
        <x:v>05_Assets</x:v>
      </x:c>
      <x:c r="B137" s="79" t="n">
        <x:v>137</x:v>
      </x:c>
      <x:c r="C137" s="79" t="str">
        <x:v>chopper-SHELL-O</x:v>
      </x:c>
      <x:c r="D137" s="79" t="str">
        <x:v>chopper</x:v>
      </x:c>
      <x:c r="E137" s="79" t="str">
        <x:v>Coque ouverte</x:v>
      </x:c>
      <x:c r="F137" s="79" t="str">
        <x:v>PARTIEL · prototype technique</x:v>
      </x:c>
      <x:c r="G137" s="79" t="str">
        <x:v>Mesurer pivot/capots sur film et compléter les états ouvrir-fermer-ranger</x:v>
      </x:c>
      <x:c r="H137" s="79" t="str">
        <x:v>ART+QA</x:v>
      </x:c>
      <x:c r="I137" s="79" t="str">
        <x:v>Oui, pour les contrats techniques uniquement</x:v>
      </x:c>
      <x:c r="J137" s="79" t="str">
        <x:v>P2</x:v>
      </x:c>
      <x:c r="K137" s="79" t="str">
        <x:v>https://github.com/darknigthmare/yautja-la-longue-chasse/blob/feat/v131-gauntlet-hologram-dual-view-20261030/public/game/assets/v136/gauntlets/chopper/04-lid.svg</x:v>
      </x:c>
      <x:c r="L137" s="79" t="str">
        <x:v>Capot ouvrable en React/CSS, animation partielle</x:v>
      </x:c>
    </x:row>
    <x:row r="138" ht="29" customHeight="1">
      <x:c r="A138" s="79" t="str">
        <x:v>05_Assets</x:v>
      </x:c>
      <x:c r="B138" s="79" t="n">
        <x:v>138</x:v>
      </x:c>
      <x:c r="C138" s="79" t="str">
        <x:v>chopper-UI-RED</x:v>
      </x:c>
      <x:c r="D138" s="79" t="str">
        <x:v>chopper</x:v>
      </x:c>
      <x:c r="E138" s="79" t="str">
        <x:v>Contrôle / glyphes</x:v>
      </x:c>
      <x:c r="F138" s="79" t="str">
        <x:v>PARTIEL · prototype technique</x:v>
      </x:c>
      <x:c r="G138" s="79" t="str">
        <x:v>Remplacer symboles conceptuels par graphismes source documentés sans inventer du canon</x:v>
      </x:c>
      <x:c r="H138" s="79" t="str">
        <x:v>ART+QA</x:v>
      </x:c>
      <x:c r="I138" s="79" t="str">
        <x:v>Oui, pour les contrats techniques uniquement</x:v>
      </x:c>
      <x:c r="J138" s="79" t="str">
        <x:v>P2</x:v>
      </x:c>
      <x:c r="K138" s="79" t="str">
        <x:v>https://github.com/darknigthmare/yautja-la-longue-chasse/blob/feat/v131-gauntlet-hologram-dual-view-20261030/public/game/assets/v136/gauntlets/chopper/03-interface.svg</x:v>
      </x:c>
      <x:c r="L138" s="79" t="str">
        <x:v>Interface distincte en SVG / couleurs non certifiées</x:v>
      </x:c>
    </x:row>
    <x:row r="139" ht="29" customHeight="1">
      <x:c r="A139" s="79" t="str">
        <x:v>05_Assets</x:v>
      </x:c>
      <x:c r="B139" s="79" t="n">
        <x:v>139</x:v>
      </x:c>
      <x:c r="C139" s="79" t="str">
        <x:v>chopper-RIBS</x:v>
      </x:c>
      <x:c r="D139" s="79" t="str">
        <x:v>chopper</x:v>
      </x:c>
      <x:c r="E139" s="79" t="str">
        <x:v>Ribures et mécanique</x:v>
      </x:c>
      <x:c r="F139" s="79" t="str">
        <x:v>OUVERT · séparation des sous-pièces</x:v>
      </x:c>
      <x:c r="G139" s="79" t="str">
        <x:v>Découper les pièces mécaniques, valider attaches et reliefs individuels</x:v>
      </x:c>
      <x:c r="H139" s="79" t="str">
        <x:v>ART+QA</x:v>
      </x:c>
      <x:c r="I139" s="79" t="str">
        <x:v>Oui, pour les contrats techniques uniquement</x:v>
      </x:c>
      <x:c r="J139" s="79" t="str">
        <x:v>P2</x:v>
      </x:c>
      <x:c r="K139" s="79" t="str">
        <x:v>https://github.com/darknigthmare/yautja-la-longue-chasse/blob/feat/v131-gauntlet-hologram-dual-view-20261030/public/game/assets/v136/gauntlets/chopper/02-shell.svg</x:v>
      </x:c>
      <x:c r="L139" s="79" t="str">
        <x:v>Détails de coque présents, sous-pièces non séparées</x:v>
      </x:c>
    </x:row>
    <x:row r="140" ht="29" customHeight="1">
      <x:c r="A140" s="79" t="str">
        <x:v>05_Assets</x:v>
      </x:c>
      <x:c r="B140" s="79" t="n">
        <x:v>140</x:v>
      </x:c>
      <x:c r="C140" s="79" t="str">
        <x:v>chopper-BEAM</x:v>
      </x:c>
      <x:c r="D140" s="79" t="str">
        <x:v>chopper</x:v>
      </x:c>
      <x:c r="E140" s="79" t="str">
        <x:v>Émetteur holographique</x:v>
      </x:c>
      <x:c r="F140" s="79" t="str">
        <x:v>PARTIEL · prototype technique</x:v>
      </x:c>
      <x:c r="G140" s="79" t="str">
        <x:v>Conserver fonctionnalité HUD et produire la signature holographique de chaque modèle</x:v>
      </x:c>
      <x:c r="H140" s="79" t="str">
        <x:v>ART+QA</x:v>
      </x:c>
      <x:c r="I140" s="79" t="str">
        <x:v>Oui, pour les contrats techniques uniquement</x:v>
      </x:c>
      <x:c r="J140" s="79" t="str">
        <x:v>P2</x:v>
      </x:c>
      <x:c r="K140" s="79" t="str">
        <x:v>https://github.com/darknigthmare/yautja-la-longue-chasse/blob/feat/v131-gauntlet-hologram-dual-view-20261030/app/game/ClanWarGauntletV131.tsx</x:v>
      </x:c>
      <x:c r="L140" s="79" t="str">
        <x:v>Faisceau du projet (JH dédié, autres effet commun)</x:v>
      </x:c>
    </x:row>
    <x:row r="141" ht="29" customHeight="1">
      <x:c r="A141" s="79" t="str">
        <x:v>05_Assets</x:v>
      </x:c>
      <x:c r="B141" s="79" t="n">
        <x:v>141</x:v>
      </x:c>
      <x:c r="C141" s="79" t="str">
        <x:v>chopper-MOVE</x:v>
      </x:c>
      <x:c r="D141" s="79" t="str">
        <x:v>chopper</x:v>
      </x:c>
      <x:c r="E141" s="79" t="str">
        <x:v>Animations 4 états</x:v>
      </x:c>
      <x:c r="F141" s="79" t="str">
        <x:v>PARTIEL · prototype technique</x:v>
      </x:c>
      <x:c r="G141" s="79" t="str">
        <x:v>Compléter lever, ouvrir, projeter, ranger ; aligner au rig et à la caméra</x:v>
      </x:c>
      <x:c r="H141" s="79" t="str">
        <x:v>ART+QA</x:v>
      </x:c>
      <x:c r="I141" s="79" t="str">
        <x:v>Oui, pour les contrats techniques uniquement</x:v>
      </x:c>
      <x:c r="J141" s="79" t="str">
        <x:v>P2</x:v>
      </x:c>
      <x:c r="K141" s="79" t="str">
        <x:v>https://github.com/darknigthmare/yautja-la-longue-chasse/blob/feat/v131-gauntlet-hologram-dual-view-20261030/public/game/assets/v136/gauntlets/chopper/04-lid.svg</x:v>
      </x:c>
      <x:c r="L141" s="79" t="str">
        <x:v>Capot ouvert/fermé ; 3 gestes complets restent à faire</x:v>
      </x:c>
    </x:row>
    <x:row r="142" ht="29" customHeight="1">
      <x:c r="A142" s="79" t="str">
        <x:v>05_Assets</x:v>
      </x:c>
      <x:c r="B142" s="79" t="n">
        <x:v>142</x:v>
      </x:c>
      <x:c r="C142" s="79" t="str">
        <x:v>chopper-SFX</x:v>
      </x:c>
      <x:c r="D142" s="79" t="str">
        <x:v>chopper</x:v>
      </x:c>
      <x:c r="E142" s="79" t="str">
        <x:v>Identité sonore</x:v>
      </x:c>
      <x:c r="F142" s="79" t="str">
        <x:v>PARTIEL · prototype technique</x:v>
      </x:c>
      <x:c r="G142" s="79" t="str">
        <x:v>Distinguer signatures individualisées, écouter et calibrer mixage/mute</x:v>
      </x:c>
      <x:c r="H142" s="79" t="str">
        <x:v>UI/AUDIO</x:v>
      </x:c>
      <x:c r="I142" s="79" t="str">
        <x:v>Oui, pour les contrats techniques uniquement</x:v>
      </x:c>
      <x:c r="J142" s="79" t="str">
        <x:v>P2</x:v>
      </x:c>
      <x:c r="K142" s="79" t="str">
        <x:v>https://github.com/darknigthmare/yautja-la-longue-chasse/blob/feat/v131-gauntlet-hologram-dual-view-20261030/app/game/sound.ts</x:v>
      </x:c>
      <x:c r="L142" s="79" t="str">
        <x:v>Signature sonore par thème (10 profils), source non cinéma</x:v>
      </x:c>
    </x:row>
    <x:row r="143" ht="29" customHeight="1">
      <x:c r="A143" s="79" t="str">
        <x:v>05_Assets</x:v>
      </x:c>
      <x:c r="B143" s="79" t="n">
        <x:v>143</x:v>
      </x:c>
      <x:c r="C143" s="79" t="str">
        <x:v>chopper-HUD</x:v>
      </x:c>
      <x:c r="D143" s="79" t="str">
        <x:v>chopper</x:v>
      </x:c>
      <x:c r="E143" s="79" t="str">
        <x:v>Palette / projection</x:v>
      </x:c>
      <x:c r="F143" s="79" t="str">
        <x:v>PARTIEL · prototype technique</x:v>
      </x:c>
      <x:c r="G143" s="79" t="str">
        <x:v>Tester toutes résolutions, contrôles, sous-modes et cohérence d'infos</x:v>
      </x:c>
      <x:c r="H143" s="79" t="str">
        <x:v>UI/AUDIO</x:v>
      </x:c>
      <x:c r="I143" s="79" t="str">
        <x:v>Oui, pour les contrats techniques uniquement</x:v>
      </x:c>
      <x:c r="J143" s="79" t="str">
        <x:v>P2</x:v>
      </x:c>
      <x:c r="K143" s="79" t="str">
        <x:v>https://github.com/darknigthmare/yautja-la-longue-chasse/blob/feat/v131-gauntlet-hologram-dual-view-20261030/app/game/ClanWarGauntletV131.tsx</x:v>
      </x:c>
      <x:c r="L143" s="79" t="str">
        <x:v>HUD connecté / simulation intacte ; QA visuelle restante</x:v>
      </x:c>
    </x:row>
    <x:row r="144" ht="29" customHeight="1">
      <x:c r="A144" s="79" t="str">
        <x:v>05_Assets</x:v>
      </x:c>
      <x:c r="B144" s="79" t="n">
        <x:v>144</x:v>
      </x:c>
      <x:c r="C144" s="79" t="str">
        <x:v>chopper-QA</x:v>
      </x:c>
      <x:c r="D144" s="79" t="str">
        <x:v>chopper</x:v>
      </x:c>
      <x:c r="E144" s="79" t="str">
        <x:v>Comparaisons + tests</x:v>
      </x:c>
      <x:c r="F144" s="79" t="str">
        <x:v>PARTIEL · prototype technique</x:v>
      </x:c>
      <x:c r="G144" s="79" t="str">
        <x:v>Réaliser contrôles visuels film/rig + E2E jeu, FPS et accessibilité</x:v>
      </x:c>
      <x:c r="H144" s="79" t="str">
        <x:v>ART+QA</x:v>
      </x:c>
      <x:c r="I144" s="79" t="str">
        <x:v>Oui, pour les contrats techniques uniquement</x:v>
      </x:c>
      <x:c r="J144" s="79" t="str">
        <x:v>P2</x:v>
      </x:c>
      <x:c r="K144" s="79" t="str">
        <x:v>https://github.com/darknigthmare/yautja-la-longue-chasse/blob/feat/v131-gauntlet-hologram-dual-view-20261030/tests/gauntlet-archive-studies-v136.test.mjs</x:v>
      </x:c>
      <x:c r="L144" s="79" t="str">
        <x:v>Tests CI source / alpha / type / navigateur autonome ; 1:1 restant</x:v>
      </x:c>
    </x:row>
    <x:row r="145" ht="29" customHeight="1">
      <x:c r="A145" s="79" t="str">
        <x:v>05_Assets</x:v>
      </x:c>
      <x:c r="B145" s="79" t="n">
        <x:v>145</x:v>
      </x:c>
      <x:c r="C145" s="79" t="str">
        <x:v>avp-elder-ARM-L</x:v>
      </x:c>
      <x:c r="D145" s="79" t="str">
        <x:v>avp-elder</x:v>
      </x:c>
      <x:c r="E145" s="79" t="str">
        <x:v>Bras gauche / poignet</x:v>
      </x:c>
      <x:c r="F145" s="79" t="str">
        <x:v>PARTIEL · prototype technique</x:v>
      </x:c>
      <x:c r="G145" s="79" t="str">
        <x:v>Comparer bras et poignet à plusieurs plans canoniques ; adapter au rig dans toutes poses</x:v>
      </x:c>
      <x:c r="H145" s="79" t="str">
        <x:v>ART+QA</x:v>
      </x:c>
      <x:c r="I145" s="79" t="str">
        <x:v>Oui, pour les contrats techniques uniquement</x:v>
      </x:c>
      <x:c r="J145" s="79" t="str">
        <x:v>P2</x:v>
      </x:c>
      <x:c r="K145" s="79" t="str">
        <x:v>https://github.com/darknigthmare/yautja-la-longue-chasse/blob/feat/v131-gauntlet-hologram-dual-view-20261030/public/game/assets/v136/gauntlets/avp-elder/01-arm.svg</x:v>
      </x:c>
      <x:c r="L145" s="79" t="str">
        <x:v>Prototype SVG individuel + alpha PNG</x:v>
      </x:c>
    </x:row>
    <x:row r="146" ht="29" customHeight="1">
      <x:c r="A146" s="79" t="str">
        <x:v>05_Assets</x:v>
      </x:c>
      <x:c r="B146" s="79" t="n">
        <x:v>146</x:v>
      </x:c>
      <x:c r="C146" s="79" t="str">
        <x:v>avp-elder-SHELL-C</x:v>
      </x:c>
      <x:c r="D146" s="79" t="str">
        <x:v>avp-elder</x:v>
      </x:c>
      <x:c r="E146" s="79" t="str">
        <x:v>Coque fermée</x:v>
      </x:c>
      <x:c r="F146" s="79" t="str">
        <x:v>PARTIEL · prototype technique</x:v>
      </x:c>
      <x:c r="G146" s="79" t="str">
        <x:v>Vérifier forme/proportions/cuirasse 1:1 et textures, pas seulement SVG</x:v>
      </x:c>
      <x:c r="H146" s="79" t="str">
        <x:v>ART+QA</x:v>
      </x:c>
      <x:c r="I146" s="79" t="str">
        <x:v>Oui, pour les contrats techniques uniquement</x:v>
      </x:c>
      <x:c r="J146" s="79" t="str">
        <x:v>P2</x:v>
      </x:c>
      <x:c r="K146" s="79" t="str">
        <x:v>https://github.com/darknigthmare/yautja-la-longue-chasse/blob/feat/v131-gauntlet-hologram-dual-view-20261030/public/game/assets/v136/gauntlets/avp-elder/02-shell.svg</x:v>
      </x:c>
      <x:c r="L146" s="79" t="str">
        <x:v>Coque individuelle SVG + PNG, non 1:1</x:v>
      </x:c>
    </x:row>
    <x:row r="147" ht="29" customHeight="1">
      <x:c r="A147" s="79" t="str">
        <x:v>05_Assets</x:v>
      </x:c>
      <x:c r="B147" s="79" t="n">
        <x:v>147</x:v>
      </x:c>
      <x:c r="C147" s="79" t="str">
        <x:v>avp-elder-SHELL-O</x:v>
      </x:c>
      <x:c r="D147" s="79" t="str">
        <x:v>avp-elder</x:v>
      </x:c>
      <x:c r="E147" s="79" t="str">
        <x:v>Coque ouverte</x:v>
      </x:c>
      <x:c r="F147" s="79" t="str">
        <x:v>PARTIEL · prototype technique</x:v>
      </x:c>
      <x:c r="G147" s="79" t="str">
        <x:v>Mesurer pivot/capots sur film et compléter les états ouvrir-fermer-ranger</x:v>
      </x:c>
      <x:c r="H147" s="79" t="str">
        <x:v>ART+QA</x:v>
      </x:c>
      <x:c r="I147" s="79" t="str">
        <x:v>Oui, pour les contrats techniques uniquement</x:v>
      </x:c>
      <x:c r="J147" s="79" t="str">
        <x:v>P2</x:v>
      </x:c>
      <x:c r="K147" s="79" t="str">
        <x:v>https://github.com/darknigthmare/yautja-la-longue-chasse/blob/feat/v131-gauntlet-hologram-dual-view-20261030/public/game/assets/v136/gauntlets/avp-elder/04-lid.svg</x:v>
      </x:c>
      <x:c r="L147" s="79" t="str">
        <x:v>Capot ouvrable en React/CSS, animation partielle</x:v>
      </x:c>
    </x:row>
    <x:row r="148" ht="29" customHeight="1">
      <x:c r="A148" s="79" t="str">
        <x:v>05_Assets</x:v>
      </x:c>
      <x:c r="B148" s="79" t="n">
        <x:v>148</x:v>
      </x:c>
      <x:c r="C148" s="79" t="str">
        <x:v>avp-elder-UI-RED</x:v>
      </x:c>
      <x:c r="D148" s="79" t="str">
        <x:v>avp-elder</x:v>
      </x:c>
      <x:c r="E148" s="79" t="str">
        <x:v>Contrôle / glyphes</x:v>
      </x:c>
      <x:c r="F148" s="79" t="str">
        <x:v>PARTIEL · prototype technique</x:v>
      </x:c>
      <x:c r="G148" s="79" t="str">
        <x:v>Remplacer symboles conceptuels par graphismes source documentés sans inventer du canon</x:v>
      </x:c>
      <x:c r="H148" s="79" t="str">
        <x:v>ART+QA</x:v>
      </x:c>
      <x:c r="I148" s="79" t="str">
        <x:v>Oui, pour les contrats techniques uniquement</x:v>
      </x:c>
      <x:c r="J148" s="79" t="str">
        <x:v>P2</x:v>
      </x:c>
      <x:c r="K148" s="79" t="str">
        <x:v>https://github.com/darknigthmare/yautja-la-longue-chasse/blob/feat/v131-gauntlet-hologram-dual-view-20261030/public/game/assets/v136/gauntlets/avp-elder/03-interface.svg</x:v>
      </x:c>
      <x:c r="L148" s="79" t="str">
        <x:v>Interface distincte en SVG / couleurs non certifiées</x:v>
      </x:c>
    </x:row>
    <x:row r="149" ht="29" customHeight="1">
      <x:c r="A149" s="79" t="str">
        <x:v>05_Assets</x:v>
      </x:c>
      <x:c r="B149" s="79" t="n">
        <x:v>149</x:v>
      </x:c>
      <x:c r="C149" s="79" t="str">
        <x:v>avp-elder-RIBS</x:v>
      </x:c>
      <x:c r="D149" s="79" t="str">
        <x:v>avp-elder</x:v>
      </x:c>
      <x:c r="E149" s="79" t="str">
        <x:v>Ribures et mécanique</x:v>
      </x:c>
      <x:c r="F149" s="79" t="str">
        <x:v>OUVERT · séparation des sous-pièces</x:v>
      </x:c>
      <x:c r="G149" s="79" t="str">
        <x:v>Découper les pièces mécaniques, valider attaches et reliefs individuels</x:v>
      </x:c>
      <x:c r="H149" s="79" t="str">
        <x:v>ART+QA</x:v>
      </x:c>
      <x:c r="I149" s="79" t="str">
        <x:v>Oui, pour les contrats techniques uniquement</x:v>
      </x:c>
      <x:c r="J149" s="79" t="str">
        <x:v>P2</x:v>
      </x:c>
      <x:c r="K149" s="79" t="str">
        <x:v>https://github.com/darknigthmare/yautja-la-longue-chasse/blob/feat/v131-gauntlet-hologram-dual-view-20261030/public/game/assets/v136/gauntlets/avp-elder/02-shell.svg</x:v>
      </x:c>
      <x:c r="L149" s="79" t="str">
        <x:v>Détails de coque présents, sous-pièces non séparées</x:v>
      </x:c>
    </x:row>
    <x:row r="150" ht="29" customHeight="1">
      <x:c r="A150" s="79" t="str">
        <x:v>05_Assets</x:v>
      </x:c>
      <x:c r="B150" s="79" t="n">
        <x:v>150</x:v>
      </x:c>
      <x:c r="C150" s="79" t="str">
        <x:v>avp-elder-BEAM</x:v>
      </x:c>
      <x:c r="D150" s="79" t="str">
        <x:v>avp-elder</x:v>
      </x:c>
      <x:c r="E150" s="79" t="str">
        <x:v>Émetteur holographique</x:v>
      </x:c>
      <x:c r="F150" s="79" t="str">
        <x:v>PARTIEL · prototype technique</x:v>
      </x:c>
      <x:c r="G150" s="79" t="str">
        <x:v>Conserver fonctionnalité HUD et produire la signature holographique de chaque modèle</x:v>
      </x:c>
      <x:c r="H150" s="79" t="str">
        <x:v>ART+QA</x:v>
      </x:c>
      <x:c r="I150" s="79" t="str">
        <x:v>Oui, pour les contrats techniques uniquement</x:v>
      </x:c>
      <x:c r="J150" s="79" t="str">
        <x:v>P2</x:v>
      </x:c>
      <x:c r="K150" s="79" t="str">
        <x:v>https://github.com/darknigthmare/yautja-la-longue-chasse/blob/feat/v131-gauntlet-hologram-dual-view-20261030/app/game/ClanWarGauntletV131.tsx</x:v>
      </x:c>
      <x:c r="L150" s="79" t="str">
        <x:v>Faisceau du projet (JH dédié, autres effet commun)</x:v>
      </x:c>
    </x:row>
    <x:row r="151" ht="29" customHeight="1">
      <x:c r="A151" s="79" t="str">
        <x:v>05_Assets</x:v>
      </x:c>
      <x:c r="B151" s="79" t="n">
        <x:v>151</x:v>
      </x:c>
      <x:c r="C151" s="79" t="str">
        <x:v>avp-elder-MOVE</x:v>
      </x:c>
      <x:c r="D151" s="79" t="str">
        <x:v>avp-elder</x:v>
      </x:c>
      <x:c r="E151" s="79" t="str">
        <x:v>Animations 4 états</x:v>
      </x:c>
      <x:c r="F151" s="79" t="str">
        <x:v>PARTIEL · prototype technique</x:v>
      </x:c>
      <x:c r="G151" s="79" t="str">
        <x:v>Compléter lever, ouvrir, projeter, ranger ; aligner au rig et à la caméra</x:v>
      </x:c>
      <x:c r="H151" s="79" t="str">
        <x:v>ART+QA</x:v>
      </x:c>
      <x:c r="I151" s="79" t="str">
        <x:v>Oui, pour les contrats techniques uniquement</x:v>
      </x:c>
      <x:c r="J151" s="79" t="str">
        <x:v>P2</x:v>
      </x:c>
      <x:c r="K151" s="79" t="str">
        <x:v>https://github.com/darknigthmare/yautja-la-longue-chasse/blob/feat/v131-gauntlet-hologram-dual-view-20261030/public/game/assets/v136/gauntlets/avp-elder/04-lid.svg</x:v>
      </x:c>
      <x:c r="L151" s="79" t="str">
        <x:v>Capot ouvert/fermé ; 3 gestes complets restent à faire</x:v>
      </x:c>
    </x:row>
    <x:row r="152" ht="29" customHeight="1">
      <x:c r="A152" s="79" t="str">
        <x:v>05_Assets</x:v>
      </x:c>
      <x:c r="B152" s="79" t="n">
        <x:v>152</x:v>
      </x:c>
      <x:c r="C152" s="79" t="str">
        <x:v>avp-elder-SFX</x:v>
      </x:c>
      <x:c r="D152" s="79" t="str">
        <x:v>avp-elder</x:v>
      </x:c>
      <x:c r="E152" s="79" t="str">
        <x:v>Identité sonore</x:v>
      </x:c>
      <x:c r="F152" s="79" t="str">
        <x:v>PARTIEL · prototype technique</x:v>
      </x:c>
      <x:c r="G152" s="79" t="str">
        <x:v>Distinguer signatures individualisées, écouter et calibrer mixage/mute</x:v>
      </x:c>
      <x:c r="H152" s="79" t="str">
        <x:v>UI/AUDIO</x:v>
      </x:c>
      <x:c r="I152" s="79" t="str">
        <x:v>Oui, pour les contrats techniques uniquement</x:v>
      </x:c>
      <x:c r="J152" s="79" t="str">
        <x:v>P2</x:v>
      </x:c>
      <x:c r="K152" s="79" t="str">
        <x:v>https://github.com/darknigthmare/yautja-la-longue-chasse/blob/feat/v131-gauntlet-hologram-dual-view-20261030/app/game/sound.ts</x:v>
      </x:c>
      <x:c r="L152" s="79" t="str">
        <x:v>Signature sonore par thème (10 profils), source non cinéma</x:v>
      </x:c>
    </x:row>
    <x:row r="153" ht="29" customHeight="1">
      <x:c r="A153" s="79" t="str">
        <x:v>05_Assets</x:v>
      </x:c>
      <x:c r="B153" s="79" t="n">
        <x:v>153</x:v>
      </x:c>
      <x:c r="C153" s="79" t="str">
        <x:v>avp-elder-HUD</x:v>
      </x:c>
      <x:c r="D153" s="79" t="str">
        <x:v>avp-elder</x:v>
      </x:c>
      <x:c r="E153" s="79" t="str">
        <x:v>Palette / projection</x:v>
      </x:c>
      <x:c r="F153" s="79" t="str">
        <x:v>PARTIEL · prototype technique</x:v>
      </x:c>
      <x:c r="G153" s="79" t="str">
        <x:v>Tester toutes résolutions, contrôles, sous-modes et cohérence d'infos</x:v>
      </x:c>
      <x:c r="H153" s="79" t="str">
        <x:v>UI/AUDIO</x:v>
      </x:c>
      <x:c r="I153" s="79" t="str">
        <x:v>Oui, pour les contrats techniques uniquement</x:v>
      </x:c>
      <x:c r="J153" s="79" t="str">
        <x:v>P2</x:v>
      </x:c>
      <x:c r="K153" s="79" t="str">
        <x:v>https://github.com/darknigthmare/yautja-la-longue-chasse/blob/feat/v131-gauntlet-hologram-dual-view-20261030/app/game/ClanWarGauntletV131.tsx</x:v>
      </x:c>
      <x:c r="L153" s="79" t="str">
        <x:v>HUD connecté / simulation intacte ; QA visuelle restante</x:v>
      </x:c>
    </x:row>
    <x:row r="154" ht="29" customHeight="1">
      <x:c r="A154" s="79" t="str">
        <x:v>05_Assets</x:v>
      </x:c>
      <x:c r="B154" s="79" t="n">
        <x:v>154</x:v>
      </x:c>
      <x:c r="C154" s="79" t="str">
        <x:v>avp-elder-QA</x:v>
      </x:c>
      <x:c r="D154" s="79" t="str">
        <x:v>avp-elder</x:v>
      </x:c>
      <x:c r="E154" s="79" t="str">
        <x:v>Comparaisons + tests</x:v>
      </x:c>
      <x:c r="F154" s="79" t="str">
        <x:v>PARTIEL · prototype technique</x:v>
      </x:c>
      <x:c r="G154" s="79" t="str">
        <x:v>Réaliser contrôles visuels film/rig + E2E jeu, FPS et accessibilité</x:v>
      </x:c>
      <x:c r="H154" s="79" t="str">
        <x:v>ART+QA</x:v>
      </x:c>
      <x:c r="I154" s="79" t="str">
        <x:v>Oui, pour les contrats techniques uniquement</x:v>
      </x:c>
      <x:c r="J154" s="79" t="str">
        <x:v>P2</x:v>
      </x:c>
      <x:c r="K154" s="79" t="str">
        <x:v>https://github.com/darknigthmare/yautja-la-longue-chasse/blob/feat/v131-gauntlet-hologram-dual-view-20261030/tests/gauntlet-archive-studies-v136.test.mjs</x:v>
      </x:c>
      <x:c r="L154" s="79" t="str">
        <x:v>Tests CI source / alpha / type / navigateur autonome ; 1:1 restant</x:v>
      </x:c>
    </x:row>
    <x:row r="155" ht="29" customHeight="1">
      <x:c r="A155" s="79" t="str">
        <x:v>05_Assets</x:v>
      </x:c>
      <x:c r="B155" s="79" t="n">
        <x:v>155</x:v>
      </x:c>
      <x:c r="C155" s="79" t="str">
        <x:v>wolf-ARM-L</x:v>
      </x:c>
      <x:c r="D155" s="79" t="str">
        <x:v>wolf</x:v>
      </x:c>
      <x:c r="E155" s="79" t="str">
        <x:v>Bras gauche / poignet</x:v>
      </x:c>
      <x:c r="F155" s="79" t="str">
        <x:v>PARTIEL · prototype technique</x:v>
      </x:c>
      <x:c r="G155" s="79" t="str">
        <x:v>Comparer bras et poignet à plusieurs plans canoniques ; adapter au rig dans toutes poses</x:v>
      </x:c>
      <x:c r="H155" s="79" t="str">
        <x:v>ART+QA</x:v>
      </x:c>
      <x:c r="I155" s="79" t="str">
        <x:v>Oui, pour les contrats techniques uniquement</x:v>
      </x:c>
      <x:c r="J155" s="79" t="str">
        <x:v>P1</x:v>
      </x:c>
      <x:c r="K155" s="79" t="str">
        <x:v>https://github.com/darknigthmare/yautja-la-longue-chasse/blob/feat/v131-gauntlet-hologram-dual-view-20261030/public/game/assets/v135/gauntlets/wolf/01-forearm.svg</x:v>
      </x:c>
      <x:c r="L155" s="79" t="str">
        <x:v>Prototype SVG individuel + alpha PNG</x:v>
      </x:c>
    </x:row>
    <x:row r="156" ht="29" customHeight="1">
      <x:c r="A156" s="79" t="str">
        <x:v>05_Assets</x:v>
      </x:c>
      <x:c r="B156" s="79" t="n">
        <x:v>156</x:v>
      </x:c>
      <x:c r="C156" s="79" t="str">
        <x:v>wolf-SHELL-C</x:v>
      </x:c>
      <x:c r="D156" s="79" t="str">
        <x:v>wolf</x:v>
      </x:c>
      <x:c r="E156" s="79" t="str">
        <x:v>Coque fermée</x:v>
      </x:c>
      <x:c r="F156" s="79" t="str">
        <x:v>PARTIEL · prototype technique</x:v>
      </x:c>
      <x:c r="G156" s="79" t="str">
        <x:v>Vérifier forme/proportions/cuirasse 1:1 et textures, pas seulement SVG</x:v>
      </x:c>
      <x:c r="H156" s="79" t="str">
        <x:v>ART+QA</x:v>
      </x:c>
      <x:c r="I156" s="79" t="str">
        <x:v>Oui, pour les contrats techniques uniquement</x:v>
      </x:c>
      <x:c r="J156" s="79" t="str">
        <x:v>P1</x:v>
      </x:c>
      <x:c r="K156" s="79" t="str">
        <x:v>https://github.com/darknigthmare/yautja-la-longue-chasse/blob/feat/v131-gauntlet-hologram-dual-view-20261030/public/game/assets/v135/gauntlets/wolf/02-shell.svg</x:v>
      </x:c>
      <x:c r="L156" s="79" t="str">
        <x:v>Coque individuelle SVG + PNG, non 1:1</x:v>
      </x:c>
    </x:row>
    <x:row r="157" ht="29" customHeight="1">
      <x:c r="A157" s="79" t="str">
        <x:v>05_Assets</x:v>
      </x:c>
      <x:c r="B157" s="79" t="n">
        <x:v>157</x:v>
      </x:c>
      <x:c r="C157" s="79" t="str">
        <x:v>wolf-SHELL-O</x:v>
      </x:c>
      <x:c r="D157" s="79" t="str">
        <x:v>wolf</x:v>
      </x:c>
      <x:c r="E157" s="79" t="str">
        <x:v>Coque ouverte</x:v>
      </x:c>
      <x:c r="F157" s="79" t="str">
        <x:v>PARTIEL · prototype technique</x:v>
      </x:c>
      <x:c r="G157" s="79" t="str">
        <x:v>Mesurer pivot/capots sur film et compléter les états ouvrir-fermer-ranger</x:v>
      </x:c>
      <x:c r="H157" s="79" t="str">
        <x:v>ART+QA</x:v>
      </x:c>
      <x:c r="I157" s="79" t="str">
        <x:v>Oui, pour les contrats techniques uniquement</x:v>
      </x:c>
      <x:c r="J157" s="79" t="str">
        <x:v>P1</x:v>
      </x:c>
      <x:c r="K157" s="79" t="str">
        <x:v>https://github.com/darknigthmare/yautja-la-longue-chasse/blob/feat/v131-gauntlet-hologram-dual-view-20261030/public/game/assets/v135/gauntlets/wolf/04-cover.svg</x:v>
      </x:c>
      <x:c r="L157" s="79" t="str">
        <x:v>Capot ouvrable en React/CSS, animation partielle</x:v>
      </x:c>
    </x:row>
    <x:row r="158" ht="29" customHeight="1">
      <x:c r="A158" s="79" t="str">
        <x:v>05_Assets</x:v>
      </x:c>
      <x:c r="B158" s="79" t="n">
        <x:v>158</x:v>
      </x:c>
      <x:c r="C158" s="79" t="str">
        <x:v>wolf-UI-RED</x:v>
      </x:c>
      <x:c r="D158" s="79" t="str">
        <x:v>wolf</x:v>
      </x:c>
      <x:c r="E158" s="79" t="str">
        <x:v>Contrôle / glyphes</x:v>
      </x:c>
      <x:c r="F158" s="79" t="str">
        <x:v>PARTIEL · prototype technique</x:v>
      </x:c>
      <x:c r="G158" s="79" t="str">
        <x:v>Remplacer symboles conceptuels par graphismes source documentés sans inventer du canon</x:v>
      </x:c>
      <x:c r="H158" s="79" t="str">
        <x:v>ART+QA</x:v>
      </x:c>
      <x:c r="I158" s="79" t="str">
        <x:v>Oui, pour les contrats techniques uniquement</x:v>
      </x:c>
      <x:c r="J158" s="79" t="str">
        <x:v>P1</x:v>
      </x:c>
      <x:c r="K158" s="79" t="str">
        <x:v>https://github.com/darknigthmare/yautja-la-longue-chasse/blob/feat/v131-gauntlet-hologram-dual-view-20261030/public/game/assets/v135/gauntlets/wolf/03-panel.svg</x:v>
      </x:c>
      <x:c r="L158" s="79" t="str">
        <x:v>Interface distincte en SVG / couleurs non certifiées</x:v>
      </x:c>
    </x:row>
    <x:row r="159" ht="29" customHeight="1">
      <x:c r="A159" s="79" t="str">
        <x:v>05_Assets</x:v>
      </x:c>
      <x:c r="B159" s="79" t="n">
        <x:v>159</x:v>
      </x:c>
      <x:c r="C159" s="79" t="str">
        <x:v>wolf-RIBS</x:v>
      </x:c>
      <x:c r="D159" s="79" t="str">
        <x:v>wolf</x:v>
      </x:c>
      <x:c r="E159" s="79" t="str">
        <x:v>Ribures et mécanique</x:v>
      </x:c>
      <x:c r="F159" s="79" t="str">
        <x:v>OUVERT · séparation des sous-pièces</x:v>
      </x:c>
      <x:c r="G159" s="79" t="str">
        <x:v>Découper les pièces mécaniques, valider attaches et reliefs individuels</x:v>
      </x:c>
      <x:c r="H159" s="79" t="str">
        <x:v>ART+QA</x:v>
      </x:c>
      <x:c r="I159" s="79" t="str">
        <x:v>Oui, pour les contrats techniques uniquement</x:v>
      </x:c>
      <x:c r="J159" s="79" t="str">
        <x:v>P1</x:v>
      </x:c>
      <x:c r="K159" s="79" t="str">
        <x:v>https://github.com/darknigthmare/yautja-la-longue-chasse/blob/feat/v131-gauntlet-hologram-dual-view-20261030/public/game/assets/v135/gauntlets/wolf/02-shell.svg</x:v>
      </x:c>
      <x:c r="L159" s="79" t="str">
        <x:v>Détails de coque présents, sous-pièces non séparées</x:v>
      </x:c>
    </x:row>
    <x:row r="160" ht="29" customHeight="1">
      <x:c r="A160" s="79" t="str">
        <x:v>05_Assets</x:v>
      </x:c>
      <x:c r="B160" s="79" t="n">
        <x:v>160</x:v>
      </x:c>
      <x:c r="C160" s="79" t="str">
        <x:v>wolf-BEAM</x:v>
      </x:c>
      <x:c r="D160" s="79" t="str">
        <x:v>wolf</x:v>
      </x:c>
      <x:c r="E160" s="79" t="str">
        <x:v>Émetteur holographique</x:v>
      </x:c>
      <x:c r="F160" s="79" t="str">
        <x:v>PARTIEL · prototype technique</x:v>
      </x:c>
      <x:c r="G160" s="79" t="str">
        <x:v>Conserver fonctionnalité HUD et produire la signature holographique de chaque modèle</x:v>
      </x:c>
      <x:c r="H160" s="79" t="str">
        <x:v>ART+QA</x:v>
      </x:c>
      <x:c r="I160" s="79" t="str">
        <x:v>Oui, pour les contrats techniques uniquement</x:v>
      </x:c>
      <x:c r="J160" s="79" t="str">
        <x:v>P1</x:v>
      </x:c>
      <x:c r="K160" s="79" t="str">
        <x:v>https://github.com/darknigthmare/yautja-la-longue-chasse/blob/feat/v131-gauntlet-hologram-dual-view-20261030/app/game/ClanWarGauntletV131.tsx</x:v>
      </x:c>
      <x:c r="L160" s="79" t="str">
        <x:v>Faisceau du projet (JH dédié, autres effet commun)</x:v>
      </x:c>
    </x:row>
    <x:row r="161" ht="29" customHeight="1">
      <x:c r="A161" s="79" t="str">
        <x:v>05_Assets</x:v>
      </x:c>
      <x:c r="B161" s="79" t="n">
        <x:v>161</x:v>
      </x:c>
      <x:c r="C161" s="79" t="str">
        <x:v>wolf-MOVE</x:v>
      </x:c>
      <x:c r="D161" s="79" t="str">
        <x:v>wolf</x:v>
      </x:c>
      <x:c r="E161" s="79" t="str">
        <x:v>Animations 4 états</x:v>
      </x:c>
      <x:c r="F161" s="79" t="str">
        <x:v>PARTIEL · prototype technique</x:v>
      </x:c>
      <x:c r="G161" s="79" t="str">
        <x:v>Compléter lever, ouvrir, projeter, ranger ; aligner au rig et à la caméra</x:v>
      </x:c>
      <x:c r="H161" s="79" t="str">
        <x:v>ART+QA</x:v>
      </x:c>
      <x:c r="I161" s="79" t="str">
        <x:v>Oui, pour les contrats techniques uniquement</x:v>
      </x:c>
      <x:c r="J161" s="79" t="str">
        <x:v>P1</x:v>
      </x:c>
      <x:c r="K161" s="79" t="str">
        <x:v>https://github.com/darknigthmare/yautja-la-longue-chasse/blob/feat/v131-gauntlet-hologram-dual-view-20261030/public/game/assets/v135/gauntlets/wolf/04-cover.svg</x:v>
      </x:c>
      <x:c r="L161" s="79" t="str">
        <x:v>Capot ouvert/fermé ; 3 gestes complets restent à faire</x:v>
      </x:c>
    </x:row>
    <x:row r="162" ht="29" customHeight="1">
      <x:c r="A162" s="79" t="str">
        <x:v>05_Assets</x:v>
      </x:c>
      <x:c r="B162" s="79" t="n">
        <x:v>162</x:v>
      </x:c>
      <x:c r="C162" s="79" t="str">
        <x:v>wolf-SFX</x:v>
      </x:c>
      <x:c r="D162" s="79" t="str">
        <x:v>wolf</x:v>
      </x:c>
      <x:c r="E162" s="79" t="str">
        <x:v>Identité sonore</x:v>
      </x:c>
      <x:c r="F162" s="79" t="str">
        <x:v>PARTIEL · prototype technique</x:v>
      </x:c>
      <x:c r="G162" s="79" t="str">
        <x:v>Distinguer signatures individualisées, écouter et calibrer mixage/mute</x:v>
      </x:c>
      <x:c r="H162" s="79" t="str">
        <x:v>UI/AUDIO</x:v>
      </x:c>
      <x:c r="I162" s="79" t="str">
        <x:v>Oui, pour les contrats techniques uniquement</x:v>
      </x:c>
      <x:c r="J162" s="79" t="str">
        <x:v>P1</x:v>
      </x:c>
      <x:c r="K162" s="79" t="str">
        <x:v>https://github.com/darknigthmare/yautja-la-longue-chasse/blob/feat/v131-gauntlet-hologram-dual-view-20261030/app/game/sound.ts</x:v>
      </x:c>
      <x:c r="L162" s="79" t="str">
        <x:v>Signature sonore par thème (10 profils), source non cinéma</x:v>
      </x:c>
    </x:row>
    <x:row r="163" ht="29" customHeight="1">
      <x:c r="A163" s="79" t="str">
        <x:v>05_Assets</x:v>
      </x:c>
      <x:c r="B163" s="79" t="n">
        <x:v>163</x:v>
      </x:c>
      <x:c r="C163" s="79" t="str">
        <x:v>wolf-HUD</x:v>
      </x:c>
      <x:c r="D163" s="79" t="str">
        <x:v>wolf</x:v>
      </x:c>
      <x:c r="E163" s="79" t="str">
        <x:v>Palette / projection</x:v>
      </x:c>
      <x:c r="F163" s="79" t="str">
        <x:v>PARTIEL · prototype technique</x:v>
      </x:c>
      <x:c r="G163" s="79" t="str">
        <x:v>Tester toutes résolutions, contrôles, sous-modes et cohérence d'infos</x:v>
      </x:c>
      <x:c r="H163" s="79" t="str">
        <x:v>UI/AUDIO</x:v>
      </x:c>
      <x:c r="I163" s="79" t="str">
        <x:v>Oui, pour les contrats techniques uniquement</x:v>
      </x:c>
      <x:c r="J163" s="79" t="str">
        <x:v>P1</x:v>
      </x:c>
      <x:c r="K163" s="79" t="str">
        <x:v>https://github.com/darknigthmare/yautja-la-longue-chasse/blob/feat/v131-gauntlet-hologram-dual-view-20261030/app/game/ClanWarGauntletV131.tsx</x:v>
      </x:c>
      <x:c r="L163" s="79" t="str">
        <x:v>HUD connecté / simulation intacte ; QA visuelle restante</x:v>
      </x:c>
    </x:row>
    <x:row r="164" ht="29" customHeight="1">
      <x:c r="A164" s="79" t="str">
        <x:v>05_Assets</x:v>
      </x:c>
      <x:c r="B164" s="79" t="n">
        <x:v>164</x:v>
      </x:c>
      <x:c r="C164" s="79" t="str">
        <x:v>wolf-QA</x:v>
      </x:c>
      <x:c r="D164" s="79" t="str">
        <x:v>wolf</x:v>
      </x:c>
      <x:c r="E164" s="79" t="str">
        <x:v>Comparaisons + tests</x:v>
      </x:c>
      <x:c r="F164" s="79" t="str">
        <x:v>PARTIEL · prototype technique</x:v>
      </x:c>
      <x:c r="G164" s="79" t="str">
        <x:v>Réaliser contrôles visuels film/rig + E2E jeu, FPS et accessibilité</x:v>
      </x:c>
      <x:c r="H164" s="79" t="str">
        <x:v>ART+QA</x:v>
      </x:c>
      <x:c r="I164" s="79" t="str">
        <x:v>Oui, pour les contrats techniques uniquement</x:v>
      </x:c>
      <x:c r="J164" s="79" t="str">
        <x:v>P1</x:v>
      </x:c>
      <x:c r="K164" s="79" t="str">
        <x:v>https://github.com/darknigthmare/yautja-la-longue-chasse/blob/feat/v131-gauntlet-hologram-dual-view-20261030/tests/gauntlet-archive-studies-v136.test.mjs</x:v>
      </x:c>
      <x:c r="L164" s="79" t="str">
        <x:v>Tests CI source / alpha / type / navigateur autonome ; 1:1 restant</x:v>
      </x:c>
    </x:row>
    <x:row r="165" ht="29" customHeight="1">
      <x:c r="A165" s="79" t="str">
        <x:v>05_Assets</x:v>
      </x:c>
      <x:c r="B165" s="79" t="n">
        <x:v>165</x:v>
      </x:c>
      <x:c r="C165" s="79" t="str">
        <x:v>captured-classic-ARM-L</x:v>
      </x:c>
      <x:c r="D165" s="79" t="str">
        <x:v>captured-classic</x:v>
      </x:c>
      <x:c r="E165" s="79" t="str">
        <x:v>Bras gauche / poignet</x:v>
      </x:c>
      <x:c r="F165" s="79" t="str">
        <x:v>PARTIEL · prototype technique</x:v>
      </x:c>
      <x:c r="G165" s="79" t="str">
        <x:v>Comparer bras et poignet à plusieurs plans canoniques ; adapter au rig dans toutes poses</x:v>
      </x:c>
      <x:c r="H165" s="79" t="str">
        <x:v>ART+QA</x:v>
      </x:c>
      <x:c r="I165" s="79" t="str">
        <x:v>Oui, pour les contrats techniques uniquement</x:v>
      </x:c>
      <x:c r="J165" s="79" t="str">
        <x:v>P1</x:v>
      </x:c>
      <x:c r="K165" s="79" t="str">
        <x:v>https://github.com/darknigthmare/yautja-la-longue-chasse/blob/feat/v131-gauntlet-hologram-dual-view-20261030/public/game/assets/v136/gauntlets/captured-classic/01-arm.svg</x:v>
      </x:c>
      <x:c r="L165" s="79" t="str">
        <x:v>Prototype SVG individuel + alpha PNG</x:v>
      </x:c>
    </x:row>
    <x:row r="166" ht="29" customHeight="1">
      <x:c r="A166" s="79" t="str">
        <x:v>05_Assets</x:v>
      </x:c>
      <x:c r="B166" s="79" t="n">
        <x:v>166</x:v>
      </x:c>
      <x:c r="C166" s="79" t="str">
        <x:v>captured-classic-SHELL-C</x:v>
      </x:c>
      <x:c r="D166" s="79" t="str">
        <x:v>captured-classic</x:v>
      </x:c>
      <x:c r="E166" s="79" t="str">
        <x:v>Coque fermée</x:v>
      </x:c>
      <x:c r="F166" s="79" t="str">
        <x:v>PARTIEL · prototype technique</x:v>
      </x:c>
      <x:c r="G166" s="79" t="str">
        <x:v>Vérifier forme/proportions/cuirasse 1:1 et textures, pas seulement SVG</x:v>
      </x:c>
      <x:c r="H166" s="79" t="str">
        <x:v>ART+QA</x:v>
      </x:c>
      <x:c r="I166" s="79" t="str">
        <x:v>Oui, pour les contrats techniques uniquement</x:v>
      </x:c>
      <x:c r="J166" s="79" t="str">
        <x:v>P1</x:v>
      </x:c>
      <x:c r="K166" s="79" t="str">
        <x:v>https://github.com/darknigthmare/yautja-la-longue-chasse/blob/feat/v131-gauntlet-hologram-dual-view-20261030/public/game/assets/v136/gauntlets/captured-classic/02-shell.svg</x:v>
      </x:c>
      <x:c r="L166" s="79" t="str">
        <x:v>Coque individuelle SVG + PNG, non 1:1</x:v>
      </x:c>
    </x:row>
    <x:row r="167" ht="29" customHeight="1">
      <x:c r="A167" s="79" t="str">
        <x:v>05_Assets</x:v>
      </x:c>
      <x:c r="B167" s="79" t="n">
        <x:v>167</x:v>
      </x:c>
      <x:c r="C167" s="79" t="str">
        <x:v>captured-classic-SHELL-O</x:v>
      </x:c>
      <x:c r="D167" s="79" t="str">
        <x:v>captured-classic</x:v>
      </x:c>
      <x:c r="E167" s="79" t="str">
        <x:v>Coque ouverte</x:v>
      </x:c>
      <x:c r="F167" s="79" t="str">
        <x:v>PARTIEL · prototype technique</x:v>
      </x:c>
      <x:c r="G167" s="79" t="str">
        <x:v>Mesurer pivot/capots sur film et compléter les états ouvrir-fermer-ranger</x:v>
      </x:c>
      <x:c r="H167" s="79" t="str">
        <x:v>ART+QA</x:v>
      </x:c>
      <x:c r="I167" s="79" t="str">
        <x:v>Oui, pour les contrats techniques uniquement</x:v>
      </x:c>
      <x:c r="J167" s="79" t="str">
        <x:v>P1</x:v>
      </x:c>
      <x:c r="K167" s="79" t="str">
        <x:v>https://github.com/darknigthmare/yautja-la-longue-chasse/blob/feat/v131-gauntlet-hologram-dual-view-20261030/public/game/assets/v136/gauntlets/captured-classic/04-lid.svg</x:v>
      </x:c>
      <x:c r="L167" s="79" t="str">
        <x:v>Capot ouvrable en React/CSS, animation partielle</x:v>
      </x:c>
    </x:row>
    <x:row r="168" ht="29" customHeight="1">
      <x:c r="A168" s="79" t="str">
        <x:v>05_Assets</x:v>
      </x:c>
      <x:c r="B168" s="79" t="n">
        <x:v>168</x:v>
      </x:c>
      <x:c r="C168" s="79" t="str">
        <x:v>captured-classic-UI-RED</x:v>
      </x:c>
      <x:c r="D168" s="79" t="str">
        <x:v>captured-classic</x:v>
      </x:c>
      <x:c r="E168" s="79" t="str">
        <x:v>Contrôle / glyphes</x:v>
      </x:c>
      <x:c r="F168" s="79" t="str">
        <x:v>PARTIEL · prototype technique</x:v>
      </x:c>
      <x:c r="G168" s="79" t="str">
        <x:v>Remplacer symboles conceptuels par graphismes source documentés sans inventer du canon</x:v>
      </x:c>
      <x:c r="H168" s="79" t="str">
        <x:v>ART+QA</x:v>
      </x:c>
      <x:c r="I168" s="79" t="str">
        <x:v>Oui, pour les contrats techniques uniquement</x:v>
      </x:c>
      <x:c r="J168" s="79" t="str">
        <x:v>P1</x:v>
      </x:c>
      <x:c r="K168" s="79" t="str">
        <x:v>https://github.com/darknigthmare/yautja-la-longue-chasse/blob/feat/v131-gauntlet-hologram-dual-view-20261030/public/game/assets/v136/gauntlets/captured-classic/03-interface.svg</x:v>
      </x:c>
      <x:c r="L168" s="79" t="str">
        <x:v>Interface distincte en SVG / couleurs non certifiées</x:v>
      </x:c>
    </x:row>
    <x:row r="169" ht="29" customHeight="1">
      <x:c r="A169" s="79" t="str">
        <x:v>05_Assets</x:v>
      </x:c>
      <x:c r="B169" s="79" t="n">
        <x:v>169</x:v>
      </x:c>
      <x:c r="C169" s="79" t="str">
        <x:v>captured-classic-RIBS</x:v>
      </x:c>
      <x:c r="D169" s="79" t="str">
        <x:v>captured-classic</x:v>
      </x:c>
      <x:c r="E169" s="79" t="str">
        <x:v>Ribures et mécanique</x:v>
      </x:c>
      <x:c r="F169" s="79" t="str">
        <x:v>OUVERT · séparation des sous-pièces</x:v>
      </x:c>
      <x:c r="G169" s="79" t="str">
        <x:v>Découper les pièces mécaniques, valider attaches et reliefs individuels</x:v>
      </x:c>
      <x:c r="H169" s="79" t="str">
        <x:v>ART+QA</x:v>
      </x:c>
      <x:c r="I169" s="79" t="str">
        <x:v>Oui, pour les contrats techniques uniquement</x:v>
      </x:c>
      <x:c r="J169" s="79" t="str">
        <x:v>P1</x:v>
      </x:c>
      <x:c r="K169" s="79" t="str">
        <x:v>https://github.com/darknigthmare/yautja-la-longue-chasse/blob/feat/v131-gauntlet-hologram-dual-view-20261030/public/game/assets/v136/gauntlets/captured-classic/02-shell.svg</x:v>
      </x:c>
      <x:c r="L169" s="79" t="str">
        <x:v>Détails de coque présents, sous-pièces non séparées</x:v>
      </x:c>
    </x:row>
    <x:row r="170" ht="29" customHeight="1">
      <x:c r="A170" s="79" t="str">
        <x:v>05_Assets</x:v>
      </x:c>
      <x:c r="B170" s="79" t="n">
        <x:v>170</x:v>
      </x:c>
      <x:c r="C170" s="79" t="str">
        <x:v>captured-classic-BEAM</x:v>
      </x:c>
      <x:c r="D170" s="79" t="str">
        <x:v>captured-classic</x:v>
      </x:c>
      <x:c r="E170" s="79" t="str">
        <x:v>Émetteur holographique</x:v>
      </x:c>
      <x:c r="F170" s="79" t="str">
        <x:v>PARTIEL · prototype technique</x:v>
      </x:c>
      <x:c r="G170" s="79" t="str">
        <x:v>Conserver fonctionnalité HUD et produire la signature holographique de chaque modèle</x:v>
      </x:c>
      <x:c r="H170" s="79" t="str">
        <x:v>ART+QA</x:v>
      </x:c>
      <x:c r="I170" s="79" t="str">
        <x:v>Oui, pour les contrats techniques uniquement</x:v>
      </x:c>
      <x:c r="J170" s="79" t="str">
        <x:v>P1</x:v>
      </x:c>
      <x:c r="K170" s="79" t="str">
        <x:v>https://github.com/darknigthmare/yautja-la-longue-chasse/blob/feat/v131-gauntlet-hologram-dual-view-20261030/app/game/ClanWarGauntletV131.tsx</x:v>
      </x:c>
      <x:c r="L170" s="79" t="str">
        <x:v>Faisceau du projet (JH dédié, autres effet commun)</x:v>
      </x:c>
    </x:row>
    <x:row r="171" ht="29" customHeight="1">
      <x:c r="A171" s="79" t="str">
        <x:v>05_Assets</x:v>
      </x:c>
      <x:c r="B171" s="79" t="n">
        <x:v>171</x:v>
      </x:c>
      <x:c r="C171" s="79" t="str">
        <x:v>captured-classic-MOVE</x:v>
      </x:c>
      <x:c r="D171" s="79" t="str">
        <x:v>captured-classic</x:v>
      </x:c>
      <x:c r="E171" s="79" t="str">
        <x:v>Animations 4 états</x:v>
      </x:c>
      <x:c r="F171" s="79" t="str">
        <x:v>PARTIEL · prototype technique</x:v>
      </x:c>
      <x:c r="G171" s="79" t="str">
        <x:v>Compléter lever, ouvrir, projeter, ranger ; aligner au rig et à la caméra</x:v>
      </x:c>
      <x:c r="H171" s="79" t="str">
        <x:v>ART+QA</x:v>
      </x:c>
      <x:c r="I171" s="79" t="str">
        <x:v>Oui, pour les contrats techniques uniquement</x:v>
      </x:c>
      <x:c r="J171" s="79" t="str">
        <x:v>P1</x:v>
      </x:c>
      <x:c r="K171" s="79" t="str">
        <x:v>https://github.com/darknigthmare/yautja-la-longue-chasse/blob/feat/v131-gauntlet-hologram-dual-view-20261030/public/game/assets/v136/gauntlets/captured-classic/04-lid.svg</x:v>
      </x:c>
      <x:c r="L171" s="79" t="str">
        <x:v>Capot ouvert/fermé ; 3 gestes complets restent à faire</x:v>
      </x:c>
    </x:row>
    <x:row r="172" ht="29" customHeight="1">
      <x:c r="A172" s="79" t="str">
        <x:v>05_Assets</x:v>
      </x:c>
      <x:c r="B172" s="79" t="n">
        <x:v>172</x:v>
      </x:c>
      <x:c r="C172" s="79" t="str">
        <x:v>captured-classic-SFX</x:v>
      </x:c>
      <x:c r="D172" s="79" t="str">
        <x:v>captured-classic</x:v>
      </x:c>
      <x:c r="E172" s="79" t="str">
        <x:v>Identité sonore</x:v>
      </x:c>
      <x:c r="F172" s="79" t="str">
        <x:v>PARTIEL · prototype technique</x:v>
      </x:c>
      <x:c r="G172" s="79" t="str">
        <x:v>Distinguer signatures individualisées, écouter et calibrer mixage/mute</x:v>
      </x:c>
      <x:c r="H172" s="79" t="str">
        <x:v>UI/AUDIO</x:v>
      </x:c>
      <x:c r="I172" s="79" t="str">
        <x:v>Oui, pour les contrats techniques uniquement</x:v>
      </x:c>
      <x:c r="J172" s="79" t="str">
        <x:v>P1</x:v>
      </x:c>
      <x:c r="K172" s="79" t="str">
        <x:v>https://github.com/darknigthmare/yautja-la-longue-chasse/blob/feat/v131-gauntlet-hologram-dual-view-20261030/app/game/sound.ts</x:v>
      </x:c>
      <x:c r="L172" s="79" t="str">
        <x:v>Signature sonore par thème (10 profils), source non cinéma</x:v>
      </x:c>
    </x:row>
    <x:row r="173" ht="29" customHeight="1">
      <x:c r="A173" s="79" t="str">
        <x:v>05_Assets</x:v>
      </x:c>
      <x:c r="B173" s="79" t="n">
        <x:v>173</x:v>
      </x:c>
      <x:c r="C173" s="79" t="str">
        <x:v>captured-classic-HUD</x:v>
      </x:c>
      <x:c r="D173" s="79" t="str">
        <x:v>captured-classic</x:v>
      </x:c>
      <x:c r="E173" s="79" t="str">
        <x:v>Palette / projection</x:v>
      </x:c>
      <x:c r="F173" s="79" t="str">
        <x:v>PARTIEL · prototype technique</x:v>
      </x:c>
      <x:c r="G173" s="79" t="str">
        <x:v>Tester toutes résolutions, contrôles, sous-modes et cohérence d'infos</x:v>
      </x:c>
      <x:c r="H173" s="79" t="str">
        <x:v>UI/AUDIO</x:v>
      </x:c>
      <x:c r="I173" s="79" t="str">
        <x:v>Oui, pour les contrats techniques uniquement</x:v>
      </x:c>
      <x:c r="J173" s="79" t="str">
        <x:v>P1</x:v>
      </x:c>
      <x:c r="K173" s="79" t="str">
        <x:v>https://github.com/darknigthmare/yautja-la-longue-chasse/blob/feat/v131-gauntlet-hologram-dual-view-20261030/app/game/ClanWarGauntletV131.tsx</x:v>
      </x:c>
      <x:c r="L173" s="79" t="str">
        <x:v>HUD connecté / simulation intacte ; QA visuelle restante</x:v>
      </x:c>
    </x:row>
    <x:row r="174" ht="29" customHeight="1">
      <x:c r="A174" s="79" t="str">
        <x:v>05_Assets</x:v>
      </x:c>
      <x:c r="B174" s="79" t="n">
        <x:v>174</x:v>
      </x:c>
      <x:c r="C174" s="79" t="str">
        <x:v>captured-classic-QA</x:v>
      </x:c>
      <x:c r="D174" s="79" t="str">
        <x:v>captured-classic</x:v>
      </x:c>
      <x:c r="E174" s="79" t="str">
        <x:v>Comparaisons + tests</x:v>
      </x:c>
      <x:c r="F174" s="79" t="str">
        <x:v>PARTIEL · prototype technique</x:v>
      </x:c>
      <x:c r="G174" s="79" t="str">
        <x:v>Réaliser contrôles visuels film/rig + E2E jeu, FPS et accessibilité</x:v>
      </x:c>
      <x:c r="H174" s="79" t="str">
        <x:v>ART+QA</x:v>
      </x:c>
      <x:c r="I174" s="79" t="str">
        <x:v>Oui, pour les contrats techniques uniquement</x:v>
      </x:c>
      <x:c r="J174" s="79" t="str">
        <x:v>P1</x:v>
      </x:c>
      <x:c r="K174" s="79" t="str">
        <x:v>https://github.com/darknigthmare/yautja-la-longue-chasse/blob/feat/v131-gauntlet-hologram-dual-view-20261030/tests/gauntlet-archive-studies-v136.test.mjs</x:v>
      </x:c>
      <x:c r="L174" s="79" t="str">
        <x:v>Tests CI source / alpha / type / navigateur autonome ; 1:1 restant</x:v>
      </x:c>
    </x:row>
    <x:row r="175" ht="29" customHeight="1">
      <x:c r="A175" s="79" t="str">
        <x:v>05_Assets</x:v>
      </x:c>
      <x:c r="B175" s="79" t="n">
        <x:v>175</x:v>
      </x:c>
      <x:c r="C175" s="79" t="str">
        <x:v>berserker-2010-ARM-L</x:v>
      </x:c>
      <x:c r="D175" s="79" t="str">
        <x:v>berserker-2010</x:v>
      </x:c>
      <x:c r="E175" s="79" t="str">
        <x:v>Bras gauche / poignet</x:v>
      </x:c>
      <x:c r="F175" s="79" t="str">
        <x:v>PARTIEL · prototype technique</x:v>
      </x:c>
      <x:c r="G175" s="79" t="str">
        <x:v>Comparer bras et poignet à plusieurs plans canoniques ; adapter au rig dans toutes poses</x:v>
      </x:c>
      <x:c r="H175" s="79" t="str">
        <x:v>ART+QA</x:v>
      </x:c>
      <x:c r="I175" s="79" t="str">
        <x:v>Oui, pour les contrats techniques uniquement</x:v>
      </x:c>
      <x:c r="J175" s="79" t="str">
        <x:v>P2</x:v>
      </x:c>
      <x:c r="K175" s="79" t="str">
        <x:v>https://github.com/darknigthmare/yautja-la-longue-chasse/blob/feat/v131-gauntlet-hologram-dual-view-20261030/public/game/assets/v136/gauntlets/berserker-2010/01-arm.svg</x:v>
      </x:c>
      <x:c r="L175" s="79" t="str">
        <x:v>Prototype SVG individuel + alpha PNG</x:v>
      </x:c>
    </x:row>
    <x:row r="176" ht="29" customHeight="1">
      <x:c r="A176" s="79" t="str">
        <x:v>05_Assets</x:v>
      </x:c>
      <x:c r="B176" s="79" t="n">
        <x:v>176</x:v>
      </x:c>
      <x:c r="C176" s="79" t="str">
        <x:v>berserker-2010-SHELL-C</x:v>
      </x:c>
      <x:c r="D176" s="79" t="str">
        <x:v>berserker-2010</x:v>
      </x:c>
      <x:c r="E176" s="79" t="str">
        <x:v>Coque fermée</x:v>
      </x:c>
      <x:c r="F176" s="79" t="str">
        <x:v>PARTIEL · prototype technique</x:v>
      </x:c>
      <x:c r="G176" s="79" t="str">
        <x:v>Vérifier forme/proportions/cuirasse 1:1 et textures, pas seulement SVG</x:v>
      </x:c>
      <x:c r="H176" s="79" t="str">
        <x:v>ART+QA</x:v>
      </x:c>
      <x:c r="I176" s="79" t="str">
        <x:v>Oui, pour les contrats techniques uniquement</x:v>
      </x:c>
      <x:c r="J176" s="79" t="str">
        <x:v>P2</x:v>
      </x:c>
      <x:c r="K176" s="79" t="str">
        <x:v>https://github.com/darknigthmare/yautja-la-longue-chasse/blob/feat/v131-gauntlet-hologram-dual-view-20261030/public/game/assets/v136/gauntlets/berserker-2010/02-shell.svg</x:v>
      </x:c>
      <x:c r="L176" s="79" t="str">
        <x:v>Coque individuelle SVG + PNG, non 1:1</x:v>
      </x:c>
    </x:row>
    <x:row r="177" ht="29" customHeight="1">
      <x:c r="A177" s="79" t="str">
        <x:v>05_Assets</x:v>
      </x:c>
      <x:c r="B177" s="79" t="n">
        <x:v>177</x:v>
      </x:c>
      <x:c r="C177" s="79" t="str">
        <x:v>berserker-2010-SHELL-O</x:v>
      </x:c>
      <x:c r="D177" s="79" t="str">
        <x:v>berserker-2010</x:v>
      </x:c>
      <x:c r="E177" s="79" t="str">
        <x:v>Coque ouverte</x:v>
      </x:c>
      <x:c r="F177" s="79" t="str">
        <x:v>PARTIEL · prototype technique</x:v>
      </x:c>
      <x:c r="G177" s="79" t="str">
        <x:v>Mesurer pivot/capots sur film et compléter les états ouvrir-fermer-ranger</x:v>
      </x:c>
      <x:c r="H177" s="79" t="str">
        <x:v>ART+QA</x:v>
      </x:c>
      <x:c r="I177" s="79" t="str">
        <x:v>Oui, pour les contrats techniques uniquement</x:v>
      </x:c>
      <x:c r="J177" s="79" t="str">
        <x:v>P2</x:v>
      </x:c>
      <x:c r="K177" s="79" t="str">
        <x:v>https://github.com/darknigthmare/yautja-la-longue-chasse/blob/feat/v131-gauntlet-hologram-dual-view-20261030/public/game/assets/v136/gauntlets/berserker-2010/04-lid.svg</x:v>
      </x:c>
      <x:c r="L177" s="79" t="str">
        <x:v>Capot ouvrable en React/CSS, animation partielle</x:v>
      </x:c>
    </x:row>
    <x:row r="178" ht="29" customHeight="1">
      <x:c r="A178" s="79" t="str">
        <x:v>05_Assets</x:v>
      </x:c>
      <x:c r="B178" s="79" t="n">
        <x:v>178</x:v>
      </x:c>
      <x:c r="C178" s="79" t="str">
        <x:v>berserker-2010-UI-RED</x:v>
      </x:c>
      <x:c r="D178" s="79" t="str">
        <x:v>berserker-2010</x:v>
      </x:c>
      <x:c r="E178" s="79" t="str">
        <x:v>Contrôle / glyphes</x:v>
      </x:c>
      <x:c r="F178" s="79" t="str">
        <x:v>PARTIEL · prototype technique</x:v>
      </x:c>
      <x:c r="G178" s="79" t="str">
        <x:v>Remplacer symboles conceptuels par graphismes source documentés sans inventer du canon</x:v>
      </x:c>
      <x:c r="H178" s="79" t="str">
        <x:v>ART+QA</x:v>
      </x:c>
      <x:c r="I178" s="79" t="str">
        <x:v>Oui, pour les contrats techniques uniquement</x:v>
      </x:c>
      <x:c r="J178" s="79" t="str">
        <x:v>P2</x:v>
      </x:c>
      <x:c r="K178" s="79" t="str">
        <x:v>https://github.com/darknigthmare/yautja-la-longue-chasse/blob/feat/v131-gauntlet-hologram-dual-view-20261030/public/game/assets/v136/gauntlets/berserker-2010/03-interface.svg</x:v>
      </x:c>
      <x:c r="L178" s="79" t="str">
        <x:v>Interface distincte en SVG / couleurs non certifiées</x:v>
      </x:c>
    </x:row>
    <x:row r="179" ht="29" customHeight="1">
      <x:c r="A179" s="79" t="str">
        <x:v>05_Assets</x:v>
      </x:c>
      <x:c r="B179" s="79" t="n">
        <x:v>179</x:v>
      </x:c>
      <x:c r="C179" s="79" t="str">
        <x:v>berserker-2010-RIBS</x:v>
      </x:c>
      <x:c r="D179" s="79" t="str">
        <x:v>berserker-2010</x:v>
      </x:c>
      <x:c r="E179" s="79" t="str">
        <x:v>Ribures et mécanique</x:v>
      </x:c>
      <x:c r="F179" s="79" t="str">
        <x:v>OUVERT · séparation des sous-pièces</x:v>
      </x:c>
      <x:c r="G179" s="79" t="str">
        <x:v>Découper les pièces mécaniques, valider attaches et reliefs individuels</x:v>
      </x:c>
      <x:c r="H179" s="79" t="str">
        <x:v>ART+QA</x:v>
      </x:c>
      <x:c r="I179" s="79" t="str">
        <x:v>Oui, pour les contrats techniques uniquement</x:v>
      </x:c>
      <x:c r="J179" s="79" t="str">
        <x:v>P2</x:v>
      </x:c>
      <x:c r="K179" s="79" t="str">
        <x:v>https://github.com/darknigthmare/yautja-la-longue-chasse/blob/feat/v131-gauntlet-hologram-dual-view-20261030/public/game/assets/v136/gauntlets/berserker-2010/02-shell.svg</x:v>
      </x:c>
      <x:c r="L179" s="79" t="str">
        <x:v>Détails de coque présents, sous-pièces non séparées</x:v>
      </x:c>
    </x:row>
    <x:row r="180" ht="29" customHeight="1">
      <x:c r="A180" s="79" t="str">
        <x:v>05_Assets</x:v>
      </x:c>
      <x:c r="B180" s="79" t="n">
        <x:v>180</x:v>
      </x:c>
      <x:c r="C180" s="79" t="str">
        <x:v>berserker-2010-BEAM</x:v>
      </x:c>
      <x:c r="D180" s="79" t="str">
        <x:v>berserker-2010</x:v>
      </x:c>
      <x:c r="E180" s="79" t="str">
        <x:v>Émetteur holographique</x:v>
      </x:c>
      <x:c r="F180" s="79" t="str">
        <x:v>PARTIEL · prototype technique</x:v>
      </x:c>
      <x:c r="G180" s="79" t="str">
        <x:v>Conserver fonctionnalité HUD et produire la signature holographique de chaque modèle</x:v>
      </x:c>
      <x:c r="H180" s="79" t="str">
        <x:v>ART+QA</x:v>
      </x:c>
      <x:c r="I180" s="79" t="str">
        <x:v>Oui, pour les contrats techniques uniquement</x:v>
      </x:c>
      <x:c r="J180" s="79" t="str">
        <x:v>P2</x:v>
      </x:c>
      <x:c r="K180" s="79" t="str">
        <x:v>https://github.com/darknigthmare/yautja-la-longue-chasse/blob/feat/v131-gauntlet-hologram-dual-view-20261030/app/game/ClanWarGauntletV131.tsx</x:v>
      </x:c>
      <x:c r="L180" s="79" t="str">
        <x:v>Faisceau du projet (JH dédié, autres effet commun)</x:v>
      </x:c>
    </x:row>
    <x:row r="181" ht="29" customHeight="1">
      <x:c r="A181" s="79" t="str">
        <x:v>05_Assets</x:v>
      </x:c>
      <x:c r="B181" s="79" t="n">
        <x:v>181</x:v>
      </x:c>
      <x:c r="C181" s="79" t="str">
        <x:v>berserker-2010-MOVE</x:v>
      </x:c>
      <x:c r="D181" s="79" t="str">
        <x:v>berserker-2010</x:v>
      </x:c>
      <x:c r="E181" s="79" t="str">
        <x:v>Animations 4 états</x:v>
      </x:c>
      <x:c r="F181" s="79" t="str">
        <x:v>PARTIEL · prototype technique</x:v>
      </x:c>
      <x:c r="G181" s="79" t="str">
        <x:v>Compléter lever, ouvrir, projeter, ranger ; aligner au rig et à la caméra</x:v>
      </x:c>
      <x:c r="H181" s="79" t="str">
        <x:v>ART+QA</x:v>
      </x:c>
      <x:c r="I181" s="79" t="str">
        <x:v>Oui, pour les contrats techniques uniquement</x:v>
      </x:c>
      <x:c r="J181" s="79" t="str">
        <x:v>P2</x:v>
      </x:c>
      <x:c r="K181" s="79" t="str">
        <x:v>https://github.com/darknigthmare/yautja-la-longue-chasse/blob/feat/v131-gauntlet-hologram-dual-view-20261030/public/game/assets/v136/gauntlets/berserker-2010/04-lid.svg</x:v>
      </x:c>
      <x:c r="L181" s="79" t="str">
        <x:v>Capot ouvert/fermé ; 3 gestes complets restent à faire</x:v>
      </x:c>
    </x:row>
    <x:row r="182" ht="29" customHeight="1">
      <x:c r="A182" s="79" t="str">
        <x:v>05_Assets</x:v>
      </x:c>
      <x:c r="B182" s="79" t="n">
        <x:v>182</x:v>
      </x:c>
      <x:c r="C182" s="79" t="str">
        <x:v>berserker-2010-SFX</x:v>
      </x:c>
      <x:c r="D182" s="79" t="str">
        <x:v>berserker-2010</x:v>
      </x:c>
      <x:c r="E182" s="79" t="str">
        <x:v>Identité sonore</x:v>
      </x:c>
      <x:c r="F182" s="79" t="str">
        <x:v>PARTIEL · prototype technique</x:v>
      </x:c>
      <x:c r="G182" s="79" t="str">
        <x:v>Distinguer signatures individualisées, écouter et calibrer mixage/mute</x:v>
      </x:c>
      <x:c r="H182" s="79" t="str">
        <x:v>UI/AUDIO</x:v>
      </x:c>
      <x:c r="I182" s="79" t="str">
        <x:v>Oui, pour les contrats techniques uniquement</x:v>
      </x:c>
      <x:c r="J182" s="79" t="str">
        <x:v>P2</x:v>
      </x:c>
      <x:c r="K182" s="79" t="str">
        <x:v>https://github.com/darknigthmare/yautja-la-longue-chasse/blob/feat/v131-gauntlet-hologram-dual-view-20261030/app/game/sound.ts</x:v>
      </x:c>
      <x:c r="L182" s="79" t="str">
        <x:v>Signature sonore par thème (10 profils), source non cinéma</x:v>
      </x:c>
    </x:row>
    <x:row r="183" ht="29" customHeight="1">
      <x:c r="A183" s="79" t="str">
        <x:v>05_Assets</x:v>
      </x:c>
      <x:c r="B183" s="79" t="n">
        <x:v>183</x:v>
      </x:c>
      <x:c r="C183" s="79" t="str">
        <x:v>berserker-2010-HUD</x:v>
      </x:c>
      <x:c r="D183" s="79" t="str">
        <x:v>berserker-2010</x:v>
      </x:c>
      <x:c r="E183" s="79" t="str">
        <x:v>Palette / projection</x:v>
      </x:c>
      <x:c r="F183" s="79" t="str">
        <x:v>PARTIEL · prototype technique</x:v>
      </x:c>
      <x:c r="G183" s="79" t="str">
        <x:v>Tester toutes résolutions, contrôles, sous-modes et cohérence d'infos</x:v>
      </x:c>
      <x:c r="H183" s="79" t="str">
        <x:v>UI/AUDIO</x:v>
      </x:c>
      <x:c r="I183" s="79" t="str">
        <x:v>Oui, pour les contrats techniques uniquement</x:v>
      </x:c>
      <x:c r="J183" s="79" t="str">
        <x:v>P2</x:v>
      </x:c>
      <x:c r="K183" s="79" t="str">
        <x:v>https://github.com/darknigthmare/yautja-la-longue-chasse/blob/feat/v131-gauntlet-hologram-dual-view-20261030/app/game/ClanWarGauntletV131.tsx</x:v>
      </x:c>
      <x:c r="L183" s="79" t="str">
        <x:v>HUD connecté / simulation intacte ; QA visuelle restante</x:v>
      </x:c>
    </x:row>
    <x:row r="184" ht="29" customHeight="1">
      <x:c r="A184" s="79" t="str">
        <x:v>05_Assets</x:v>
      </x:c>
      <x:c r="B184" s="79" t="n">
        <x:v>184</x:v>
      </x:c>
      <x:c r="C184" s="79" t="str">
        <x:v>berserker-2010-QA</x:v>
      </x:c>
      <x:c r="D184" s="79" t="str">
        <x:v>berserker-2010</x:v>
      </x:c>
      <x:c r="E184" s="79" t="str">
        <x:v>Comparaisons + tests</x:v>
      </x:c>
      <x:c r="F184" s="79" t="str">
        <x:v>PARTIEL · prototype technique</x:v>
      </x:c>
      <x:c r="G184" s="79" t="str">
        <x:v>Réaliser contrôles visuels film/rig + E2E jeu, FPS et accessibilité</x:v>
      </x:c>
      <x:c r="H184" s="79" t="str">
        <x:v>ART+QA</x:v>
      </x:c>
      <x:c r="I184" s="79" t="str">
        <x:v>Oui, pour les contrats techniques uniquement</x:v>
      </x:c>
      <x:c r="J184" s="79" t="str">
        <x:v>P2</x:v>
      </x:c>
      <x:c r="K184" s="79" t="str">
        <x:v>https://github.com/darknigthmare/yautja-la-longue-chasse/blob/feat/v131-gauntlet-hologram-dual-view-20261030/tests/gauntlet-archive-studies-v136.test.mjs</x:v>
      </x:c>
      <x:c r="L184" s="79" t="str">
        <x:v>Tests CI source / alpha / type / navigateur autonome ; 1:1 restant</x:v>
      </x:c>
    </x:row>
    <x:row r="185" ht="29" customHeight="1">
      <x:c r="A185" s="79" t="str">
        <x:v>05_Assets</x:v>
      </x:c>
      <x:c r="B185" s="79" t="n">
        <x:v>185</x:v>
      </x:c>
      <x:c r="C185" s="79" t="str">
        <x:v>falconer-2010-ARM-L</x:v>
      </x:c>
      <x:c r="D185" s="79" t="str">
        <x:v>falconer-2010</x:v>
      </x:c>
      <x:c r="E185" s="79" t="str">
        <x:v>Bras gauche / poignet</x:v>
      </x:c>
      <x:c r="F185" s="79" t="str">
        <x:v>PARTIEL · prototype technique</x:v>
      </x:c>
      <x:c r="G185" s="79" t="str">
        <x:v>Comparer bras et poignet à plusieurs plans canoniques ; adapter au rig dans toutes poses</x:v>
      </x:c>
      <x:c r="H185" s="79" t="str">
        <x:v>ART+QA</x:v>
      </x:c>
      <x:c r="I185" s="79" t="str">
        <x:v>Oui, pour les contrats techniques uniquement</x:v>
      </x:c>
      <x:c r="J185" s="79" t="str">
        <x:v>P2</x:v>
      </x:c>
      <x:c r="K185" s="79" t="str">
        <x:v>https://github.com/darknigthmare/yautja-la-longue-chasse/blob/feat/v131-gauntlet-hologram-dual-view-20261030/public/game/assets/v136/gauntlets/falconer-2010/01-arm.svg</x:v>
      </x:c>
      <x:c r="L185" s="79" t="str">
        <x:v>Prototype SVG individuel + alpha PNG</x:v>
      </x:c>
    </x:row>
    <x:row r="186" ht="29" customHeight="1">
      <x:c r="A186" s="79" t="str">
        <x:v>05_Assets</x:v>
      </x:c>
      <x:c r="B186" s="79" t="n">
        <x:v>186</x:v>
      </x:c>
      <x:c r="C186" s="79" t="str">
        <x:v>falconer-2010-SHELL-C</x:v>
      </x:c>
      <x:c r="D186" s="79" t="str">
        <x:v>falconer-2010</x:v>
      </x:c>
      <x:c r="E186" s="79" t="str">
        <x:v>Coque fermée</x:v>
      </x:c>
      <x:c r="F186" s="79" t="str">
        <x:v>PARTIEL · prototype technique</x:v>
      </x:c>
      <x:c r="G186" s="79" t="str">
        <x:v>Vérifier forme/proportions/cuirasse 1:1 et textures, pas seulement SVG</x:v>
      </x:c>
      <x:c r="H186" s="79" t="str">
        <x:v>ART+QA</x:v>
      </x:c>
      <x:c r="I186" s="79" t="str">
        <x:v>Oui, pour les contrats techniques uniquement</x:v>
      </x:c>
      <x:c r="J186" s="79" t="str">
        <x:v>P2</x:v>
      </x:c>
      <x:c r="K186" s="79" t="str">
        <x:v>https://github.com/darknigthmare/yautja-la-longue-chasse/blob/feat/v131-gauntlet-hologram-dual-view-20261030/public/game/assets/v136/gauntlets/falconer-2010/02-shell.svg</x:v>
      </x:c>
      <x:c r="L186" s="79" t="str">
        <x:v>Coque individuelle SVG + PNG, non 1:1</x:v>
      </x:c>
    </x:row>
    <x:row r="187" ht="29" customHeight="1">
      <x:c r="A187" s="79" t="str">
        <x:v>05_Assets</x:v>
      </x:c>
      <x:c r="B187" s="79" t="n">
        <x:v>187</x:v>
      </x:c>
      <x:c r="C187" s="79" t="str">
        <x:v>falconer-2010-SHELL-O</x:v>
      </x:c>
      <x:c r="D187" s="79" t="str">
        <x:v>falconer-2010</x:v>
      </x:c>
      <x:c r="E187" s="79" t="str">
        <x:v>Coque ouverte</x:v>
      </x:c>
      <x:c r="F187" s="79" t="str">
        <x:v>PARTIEL · prototype technique</x:v>
      </x:c>
      <x:c r="G187" s="79" t="str">
        <x:v>Mesurer pivot/capots sur film et compléter les états ouvrir-fermer-ranger</x:v>
      </x:c>
      <x:c r="H187" s="79" t="str">
        <x:v>ART+QA</x:v>
      </x:c>
      <x:c r="I187" s="79" t="str">
        <x:v>Oui, pour les contrats techniques uniquement</x:v>
      </x:c>
      <x:c r="J187" s="79" t="str">
        <x:v>P2</x:v>
      </x:c>
      <x:c r="K187" s="79" t="str">
        <x:v>https://github.com/darknigthmare/yautja-la-longue-chasse/blob/feat/v131-gauntlet-hologram-dual-view-20261030/public/game/assets/v136/gauntlets/falconer-2010/04-lid.svg</x:v>
      </x:c>
      <x:c r="L187" s="79" t="str">
        <x:v>Capot ouvrable en React/CSS, animation partielle</x:v>
      </x:c>
    </x:row>
    <x:row r="188" ht="29" customHeight="1">
      <x:c r="A188" s="79" t="str">
        <x:v>05_Assets</x:v>
      </x:c>
      <x:c r="B188" s="79" t="n">
        <x:v>188</x:v>
      </x:c>
      <x:c r="C188" s="79" t="str">
        <x:v>falconer-2010-UI-RED</x:v>
      </x:c>
      <x:c r="D188" s="79" t="str">
        <x:v>falconer-2010</x:v>
      </x:c>
      <x:c r="E188" s="79" t="str">
        <x:v>Contrôle / glyphes</x:v>
      </x:c>
      <x:c r="F188" s="79" t="str">
        <x:v>PARTIEL · prototype technique</x:v>
      </x:c>
      <x:c r="G188" s="79" t="str">
        <x:v>Remplacer symboles conceptuels par graphismes source documentés sans inventer du canon</x:v>
      </x:c>
      <x:c r="H188" s="79" t="str">
        <x:v>ART+QA</x:v>
      </x:c>
      <x:c r="I188" s="79" t="str">
        <x:v>Oui, pour les contrats techniques uniquement</x:v>
      </x:c>
      <x:c r="J188" s="79" t="str">
        <x:v>P2</x:v>
      </x:c>
      <x:c r="K188" s="79" t="str">
        <x:v>https://github.com/darknigthmare/yautja-la-longue-chasse/blob/feat/v131-gauntlet-hologram-dual-view-20261030/public/game/assets/v136/gauntlets/falconer-2010/03-interface.svg</x:v>
      </x:c>
      <x:c r="L188" s="79" t="str">
        <x:v>Interface distincte en SVG / couleurs non certifiées</x:v>
      </x:c>
    </x:row>
    <x:row r="189" ht="29" customHeight="1">
      <x:c r="A189" s="79" t="str">
        <x:v>05_Assets</x:v>
      </x:c>
      <x:c r="B189" s="79" t="n">
        <x:v>189</x:v>
      </x:c>
      <x:c r="C189" s="79" t="str">
        <x:v>falconer-2010-RIBS</x:v>
      </x:c>
      <x:c r="D189" s="79" t="str">
        <x:v>falconer-2010</x:v>
      </x:c>
      <x:c r="E189" s="79" t="str">
        <x:v>Ribures et mécanique</x:v>
      </x:c>
      <x:c r="F189" s="79" t="str">
        <x:v>OUVERT · séparation des sous-pièces</x:v>
      </x:c>
      <x:c r="G189" s="79" t="str">
        <x:v>Découper les pièces mécaniques, valider attaches et reliefs individuels</x:v>
      </x:c>
      <x:c r="H189" s="79" t="str">
        <x:v>ART+QA</x:v>
      </x:c>
      <x:c r="I189" s="79" t="str">
        <x:v>Oui, pour les contrats techniques uniquement</x:v>
      </x:c>
      <x:c r="J189" s="79" t="str">
        <x:v>P2</x:v>
      </x:c>
      <x:c r="K189" s="79" t="str">
        <x:v>https://github.com/darknigthmare/yautja-la-longue-chasse/blob/feat/v131-gauntlet-hologram-dual-view-20261030/public/game/assets/v136/gauntlets/falconer-2010/02-shell.svg</x:v>
      </x:c>
      <x:c r="L189" s="79" t="str">
        <x:v>Détails de coque présents, sous-pièces non séparées</x:v>
      </x:c>
    </x:row>
    <x:row r="190" ht="29" customHeight="1">
      <x:c r="A190" s="79" t="str">
        <x:v>05_Assets</x:v>
      </x:c>
      <x:c r="B190" s="79" t="n">
        <x:v>190</x:v>
      </x:c>
      <x:c r="C190" s="79" t="str">
        <x:v>falconer-2010-BEAM</x:v>
      </x:c>
      <x:c r="D190" s="79" t="str">
        <x:v>falconer-2010</x:v>
      </x:c>
      <x:c r="E190" s="79" t="str">
        <x:v>Émetteur holographique</x:v>
      </x:c>
      <x:c r="F190" s="79" t="str">
        <x:v>PARTIEL · prototype technique</x:v>
      </x:c>
      <x:c r="G190" s="79" t="str">
        <x:v>Conserver fonctionnalité HUD et produire la signature holographique de chaque modèle</x:v>
      </x:c>
      <x:c r="H190" s="79" t="str">
        <x:v>ART+QA</x:v>
      </x:c>
      <x:c r="I190" s="79" t="str">
        <x:v>Oui, pour les contrats techniques uniquement</x:v>
      </x:c>
      <x:c r="J190" s="79" t="str">
        <x:v>P2</x:v>
      </x:c>
      <x:c r="K190" s="79" t="str">
        <x:v>https://github.com/darknigthmare/yautja-la-longue-chasse/blob/feat/v131-gauntlet-hologram-dual-view-20261030/app/game/ClanWarGauntletV131.tsx</x:v>
      </x:c>
      <x:c r="L190" s="79" t="str">
        <x:v>Faisceau du projet (JH dédié, autres effet commun)</x:v>
      </x:c>
    </x:row>
    <x:row r="191" ht="29" customHeight="1">
      <x:c r="A191" s="79" t="str">
        <x:v>05_Assets</x:v>
      </x:c>
      <x:c r="B191" s="79" t="n">
        <x:v>191</x:v>
      </x:c>
      <x:c r="C191" s="79" t="str">
        <x:v>falconer-2010-MOVE</x:v>
      </x:c>
      <x:c r="D191" s="79" t="str">
        <x:v>falconer-2010</x:v>
      </x:c>
      <x:c r="E191" s="79" t="str">
        <x:v>Animations 4 états</x:v>
      </x:c>
      <x:c r="F191" s="79" t="str">
        <x:v>PARTIEL · prototype technique</x:v>
      </x:c>
      <x:c r="G191" s="79" t="str">
        <x:v>Compléter lever, ouvrir, projeter, ranger ; aligner au rig et à la caméra</x:v>
      </x:c>
      <x:c r="H191" s="79" t="str">
        <x:v>ART+QA</x:v>
      </x:c>
      <x:c r="I191" s="79" t="str">
        <x:v>Oui, pour les contrats techniques uniquement</x:v>
      </x:c>
      <x:c r="J191" s="79" t="str">
        <x:v>P2</x:v>
      </x:c>
      <x:c r="K191" s="79" t="str">
        <x:v>https://github.com/darknigthmare/yautja-la-longue-chasse/blob/feat/v131-gauntlet-hologram-dual-view-20261030/public/game/assets/v136/gauntlets/falconer-2010/04-lid.svg</x:v>
      </x:c>
      <x:c r="L191" s="79" t="str">
        <x:v>Capot ouvert/fermé ; 3 gestes complets restent à faire</x:v>
      </x:c>
    </x:row>
    <x:row r="192" ht="29" customHeight="1">
      <x:c r="A192" s="79" t="str">
        <x:v>05_Assets</x:v>
      </x:c>
      <x:c r="B192" s="79" t="n">
        <x:v>192</x:v>
      </x:c>
      <x:c r="C192" s="79" t="str">
        <x:v>falconer-2010-SFX</x:v>
      </x:c>
      <x:c r="D192" s="79" t="str">
        <x:v>falconer-2010</x:v>
      </x:c>
      <x:c r="E192" s="79" t="str">
        <x:v>Identité sonore</x:v>
      </x:c>
      <x:c r="F192" s="79" t="str">
        <x:v>PARTIEL · prototype technique</x:v>
      </x:c>
      <x:c r="G192" s="79" t="str">
        <x:v>Distinguer signatures individualisées, écouter et calibrer mixage/mute</x:v>
      </x:c>
      <x:c r="H192" s="79" t="str">
        <x:v>UI/AUDIO</x:v>
      </x:c>
      <x:c r="I192" s="79" t="str">
        <x:v>Oui, pour les contrats techniques uniquement</x:v>
      </x:c>
      <x:c r="J192" s="79" t="str">
        <x:v>P2</x:v>
      </x:c>
      <x:c r="K192" s="79" t="str">
        <x:v>https://github.com/darknigthmare/yautja-la-longue-chasse/blob/feat/v131-gauntlet-hologram-dual-view-20261030/app/game/sound.ts</x:v>
      </x:c>
      <x:c r="L192" s="79" t="str">
        <x:v>Signature sonore par thème (10 profils), source non cinéma</x:v>
      </x:c>
    </x:row>
    <x:row r="193" ht="29" customHeight="1">
      <x:c r="A193" s="79" t="str">
        <x:v>05_Assets</x:v>
      </x:c>
      <x:c r="B193" s="79" t="n">
        <x:v>193</x:v>
      </x:c>
      <x:c r="C193" s="79" t="str">
        <x:v>falconer-2010-HUD</x:v>
      </x:c>
      <x:c r="D193" s="79" t="str">
        <x:v>falconer-2010</x:v>
      </x:c>
      <x:c r="E193" s="79" t="str">
        <x:v>Palette / projection</x:v>
      </x:c>
      <x:c r="F193" s="79" t="str">
        <x:v>PARTIEL · prototype technique</x:v>
      </x:c>
      <x:c r="G193" s="79" t="str">
        <x:v>Tester toutes résolutions, contrôles, sous-modes et cohérence d'infos</x:v>
      </x:c>
      <x:c r="H193" s="79" t="str">
        <x:v>UI/AUDIO</x:v>
      </x:c>
      <x:c r="I193" s="79" t="str">
        <x:v>Oui, pour les contrats techniques uniquement</x:v>
      </x:c>
      <x:c r="J193" s="79" t="str">
        <x:v>P2</x:v>
      </x:c>
      <x:c r="K193" s="79" t="str">
        <x:v>https://github.com/darknigthmare/yautja-la-longue-chasse/blob/feat/v131-gauntlet-hologram-dual-view-20261030/app/game/ClanWarGauntletV131.tsx</x:v>
      </x:c>
      <x:c r="L193" s="79" t="str">
        <x:v>HUD connecté / simulation intacte ; QA visuelle restante</x:v>
      </x:c>
    </x:row>
    <x:row r="194" ht="29" customHeight="1">
      <x:c r="A194" s="79" t="str">
        <x:v>05_Assets</x:v>
      </x:c>
      <x:c r="B194" s="79" t="n">
        <x:v>194</x:v>
      </x:c>
      <x:c r="C194" s="79" t="str">
        <x:v>falconer-2010-QA</x:v>
      </x:c>
      <x:c r="D194" s="79" t="str">
        <x:v>falconer-2010</x:v>
      </x:c>
      <x:c r="E194" s="79" t="str">
        <x:v>Comparaisons + tests</x:v>
      </x:c>
      <x:c r="F194" s="79" t="str">
        <x:v>PARTIEL · prototype technique</x:v>
      </x:c>
      <x:c r="G194" s="79" t="str">
        <x:v>Réaliser contrôles visuels film/rig + E2E jeu, FPS et accessibilité</x:v>
      </x:c>
      <x:c r="H194" s="79" t="str">
        <x:v>ART+QA</x:v>
      </x:c>
      <x:c r="I194" s="79" t="str">
        <x:v>Oui, pour les contrats techniques uniquement</x:v>
      </x:c>
      <x:c r="J194" s="79" t="str">
        <x:v>P2</x:v>
      </x:c>
      <x:c r="K194" s="79" t="str">
        <x:v>https://github.com/darknigthmare/yautja-la-longue-chasse/blob/feat/v131-gauntlet-hologram-dual-view-20261030/tests/gauntlet-archive-studies-v136.test.mjs</x:v>
      </x:c>
      <x:c r="L194" s="79" t="str">
        <x:v>Tests CI source / alpha / type / navigateur autonome ; 1:1 restant</x:v>
      </x:c>
    </x:row>
    <x:row r="195" ht="29" customHeight="1">
      <x:c r="A195" s="79" t="str">
        <x:v>05_Assets</x:v>
      </x:c>
      <x:c r="B195" s="79" t="n">
        <x:v>195</x:v>
      </x:c>
      <x:c r="C195" s="79" t="str">
        <x:v>tracker-2010-ARM-L</x:v>
      </x:c>
      <x:c r="D195" s="79" t="str">
        <x:v>tracker-2010</x:v>
      </x:c>
      <x:c r="E195" s="79" t="str">
        <x:v>Bras gauche / poignet</x:v>
      </x:c>
      <x:c r="F195" s="79" t="str">
        <x:v>PARTIEL · prototype technique</x:v>
      </x:c>
      <x:c r="G195" s="79" t="str">
        <x:v>Comparer bras et poignet à plusieurs plans canoniques ; adapter au rig dans toutes poses</x:v>
      </x:c>
      <x:c r="H195" s="79" t="str">
        <x:v>ART+QA</x:v>
      </x:c>
      <x:c r="I195" s="79" t="str">
        <x:v>Oui, pour les contrats techniques uniquement</x:v>
      </x:c>
      <x:c r="J195" s="79" t="str">
        <x:v>P2</x:v>
      </x:c>
      <x:c r="K195" s="79" t="str">
        <x:v>https://github.com/darknigthmare/yautja-la-longue-chasse/blob/feat/v131-gauntlet-hologram-dual-view-20261030/public/game/assets/v136/gauntlets/tracker-2010/01-arm.svg</x:v>
      </x:c>
      <x:c r="L195" s="79" t="str">
        <x:v>Prototype SVG individuel + alpha PNG</x:v>
      </x:c>
    </x:row>
    <x:row r="196" ht="29" customHeight="1">
      <x:c r="A196" s="79" t="str">
        <x:v>05_Assets</x:v>
      </x:c>
      <x:c r="B196" s="79" t="n">
        <x:v>196</x:v>
      </x:c>
      <x:c r="C196" s="79" t="str">
        <x:v>tracker-2010-SHELL-C</x:v>
      </x:c>
      <x:c r="D196" s="79" t="str">
        <x:v>tracker-2010</x:v>
      </x:c>
      <x:c r="E196" s="79" t="str">
        <x:v>Coque fermée</x:v>
      </x:c>
      <x:c r="F196" s="79" t="str">
        <x:v>PARTIEL · prototype technique</x:v>
      </x:c>
      <x:c r="G196" s="79" t="str">
        <x:v>Vérifier forme/proportions/cuirasse 1:1 et textures, pas seulement SVG</x:v>
      </x:c>
      <x:c r="H196" s="79" t="str">
        <x:v>ART+QA</x:v>
      </x:c>
      <x:c r="I196" s="79" t="str">
        <x:v>Oui, pour les contrats techniques uniquement</x:v>
      </x:c>
      <x:c r="J196" s="79" t="str">
        <x:v>P2</x:v>
      </x:c>
      <x:c r="K196" s="79" t="str">
        <x:v>https://github.com/darknigthmare/yautja-la-longue-chasse/blob/feat/v131-gauntlet-hologram-dual-view-20261030/public/game/assets/v136/gauntlets/tracker-2010/02-shell.svg</x:v>
      </x:c>
      <x:c r="L196" s="79" t="str">
        <x:v>Coque individuelle SVG + PNG, non 1:1</x:v>
      </x:c>
    </x:row>
    <x:row r="197" ht="29" customHeight="1">
      <x:c r="A197" s="79" t="str">
        <x:v>05_Assets</x:v>
      </x:c>
      <x:c r="B197" s="79" t="n">
        <x:v>197</x:v>
      </x:c>
      <x:c r="C197" s="79" t="str">
        <x:v>tracker-2010-SHELL-O</x:v>
      </x:c>
      <x:c r="D197" s="79" t="str">
        <x:v>tracker-2010</x:v>
      </x:c>
      <x:c r="E197" s="79" t="str">
        <x:v>Coque ouverte</x:v>
      </x:c>
      <x:c r="F197" s="79" t="str">
        <x:v>PARTIEL · prototype technique</x:v>
      </x:c>
      <x:c r="G197" s="79" t="str">
        <x:v>Mesurer pivot/capots sur film et compléter les états ouvrir-fermer-ranger</x:v>
      </x:c>
      <x:c r="H197" s="79" t="str">
        <x:v>ART+QA</x:v>
      </x:c>
      <x:c r="I197" s="79" t="str">
        <x:v>Oui, pour les contrats techniques uniquement</x:v>
      </x:c>
      <x:c r="J197" s="79" t="str">
        <x:v>P2</x:v>
      </x:c>
      <x:c r="K197" s="79" t="str">
        <x:v>https://github.com/darknigthmare/yautja-la-longue-chasse/blob/feat/v131-gauntlet-hologram-dual-view-20261030/public/game/assets/v136/gauntlets/tracker-2010/04-lid.svg</x:v>
      </x:c>
      <x:c r="L197" s="79" t="str">
        <x:v>Capot ouvrable en React/CSS, animation partielle</x:v>
      </x:c>
    </x:row>
    <x:row r="198" ht="29" customHeight="1">
      <x:c r="A198" s="79" t="str">
        <x:v>05_Assets</x:v>
      </x:c>
      <x:c r="B198" s="79" t="n">
        <x:v>198</x:v>
      </x:c>
      <x:c r="C198" s="79" t="str">
        <x:v>tracker-2010-UI-RED</x:v>
      </x:c>
      <x:c r="D198" s="79" t="str">
        <x:v>tracker-2010</x:v>
      </x:c>
      <x:c r="E198" s="79" t="str">
        <x:v>Contrôle / glyphes</x:v>
      </x:c>
      <x:c r="F198" s="79" t="str">
        <x:v>PARTIEL · prototype technique</x:v>
      </x:c>
      <x:c r="G198" s="79" t="str">
        <x:v>Remplacer symboles conceptuels par graphismes source documentés sans inventer du canon</x:v>
      </x:c>
      <x:c r="H198" s="79" t="str">
        <x:v>ART+QA</x:v>
      </x:c>
      <x:c r="I198" s="79" t="str">
        <x:v>Oui, pour les contrats techniques uniquement</x:v>
      </x:c>
      <x:c r="J198" s="79" t="str">
        <x:v>P2</x:v>
      </x:c>
      <x:c r="K198" s="79" t="str">
        <x:v>https://github.com/darknigthmare/yautja-la-longue-chasse/blob/feat/v131-gauntlet-hologram-dual-view-20261030/public/game/assets/v136/gauntlets/tracker-2010/03-interface.svg</x:v>
      </x:c>
      <x:c r="L198" s="79" t="str">
        <x:v>Interface distincte en SVG / couleurs non certifiées</x:v>
      </x:c>
    </x:row>
    <x:row r="199" ht="29" customHeight="1">
      <x:c r="A199" s="79" t="str">
        <x:v>05_Assets</x:v>
      </x:c>
      <x:c r="B199" s="79" t="n">
        <x:v>199</x:v>
      </x:c>
      <x:c r="C199" s="79" t="str">
        <x:v>tracker-2010-RIBS</x:v>
      </x:c>
      <x:c r="D199" s="79" t="str">
        <x:v>tracker-2010</x:v>
      </x:c>
      <x:c r="E199" s="79" t="str">
        <x:v>Ribures et mécanique</x:v>
      </x:c>
      <x:c r="F199" s="79" t="str">
        <x:v>OUVERT · séparation des sous-pièces</x:v>
      </x:c>
      <x:c r="G199" s="79" t="str">
        <x:v>Découper les pièces mécaniques, valider attaches et reliefs individuels</x:v>
      </x:c>
      <x:c r="H199" s="79" t="str">
        <x:v>ART+QA</x:v>
      </x:c>
      <x:c r="I199" s="79" t="str">
        <x:v>Oui, pour les contrats techniques uniquement</x:v>
      </x:c>
      <x:c r="J199" s="79" t="str">
        <x:v>P2</x:v>
      </x:c>
      <x:c r="K199" s="79" t="str">
        <x:v>https://github.com/darknigthmare/yautja-la-longue-chasse/blob/feat/v131-gauntlet-hologram-dual-view-20261030/public/game/assets/v136/gauntlets/tracker-2010/02-shell.svg</x:v>
      </x:c>
      <x:c r="L199" s="79" t="str">
        <x:v>Détails de coque présents, sous-pièces non séparées</x:v>
      </x:c>
    </x:row>
    <x:row r="200" ht="29" customHeight="1">
      <x:c r="A200" s="79" t="str">
        <x:v>05_Assets</x:v>
      </x:c>
      <x:c r="B200" s="79" t="n">
        <x:v>200</x:v>
      </x:c>
      <x:c r="C200" s="79" t="str">
        <x:v>tracker-2010-BEAM</x:v>
      </x:c>
      <x:c r="D200" s="79" t="str">
        <x:v>tracker-2010</x:v>
      </x:c>
      <x:c r="E200" s="79" t="str">
        <x:v>Émetteur holographique</x:v>
      </x:c>
      <x:c r="F200" s="79" t="str">
        <x:v>PARTIEL · prototype technique</x:v>
      </x:c>
      <x:c r="G200" s="79" t="str">
        <x:v>Conserver fonctionnalité HUD et produire la signature holographique de chaque modèle</x:v>
      </x:c>
      <x:c r="H200" s="79" t="str">
        <x:v>ART+QA</x:v>
      </x:c>
      <x:c r="I200" s="79" t="str">
        <x:v>Oui, pour les contrats techniques uniquement</x:v>
      </x:c>
      <x:c r="J200" s="79" t="str">
        <x:v>P2</x:v>
      </x:c>
      <x:c r="K200" s="79" t="str">
        <x:v>https://github.com/darknigthmare/yautja-la-longue-chasse/blob/feat/v131-gauntlet-hologram-dual-view-20261030/app/game/ClanWarGauntletV131.tsx</x:v>
      </x:c>
      <x:c r="L200" s="79" t="str">
        <x:v>Faisceau du projet (JH dédié, autres effet commun)</x:v>
      </x:c>
    </x:row>
    <x:row r="201" ht="29" customHeight="1">
      <x:c r="A201" s="79" t="str">
        <x:v>05_Assets</x:v>
      </x:c>
      <x:c r="B201" s="79" t="n">
        <x:v>201</x:v>
      </x:c>
      <x:c r="C201" s="79" t="str">
        <x:v>tracker-2010-MOVE</x:v>
      </x:c>
      <x:c r="D201" s="79" t="str">
        <x:v>tracker-2010</x:v>
      </x:c>
      <x:c r="E201" s="79" t="str">
        <x:v>Animations 4 états</x:v>
      </x:c>
      <x:c r="F201" s="79" t="str">
        <x:v>PARTIEL · prototype technique</x:v>
      </x:c>
      <x:c r="G201" s="79" t="str">
        <x:v>Compléter lever, ouvrir, projeter, ranger ; aligner au rig et à la caméra</x:v>
      </x:c>
      <x:c r="H201" s="79" t="str">
        <x:v>ART+QA</x:v>
      </x:c>
      <x:c r="I201" s="79" t="str">
        <x:v>Oui, pour les contrats techniques uniquement</x:v>
      </x:c>
      <x:c r="J201" s="79" t="str">
        <x:v>P2</x:v>
      </x:c>
      <x:c r="K201" s="79" t="str">
        <x:v>https://github.com/darknigthmare/yautja-la-longue-chasse/blob/feat/v131-gauntlet-hologram-dual-view-20261030/public/game/assets/v136/gauntlets/tracker-2010/04-lid.svg</x:v>
      </x:c>
      <x:c r="L201" s="79" t="str">
        <x:v>Capot ouvert/fermé ; 3 gestes complets restent à faire</x:v>
      </x:c>
    </x:row>
    <x:row r="202" ht="29" customHeight="1">
      <x:c r="A202" s="79" t="str">
        <x:v>05_Assets</x:v>
      </x:c>
      <x:c r="B202" s="79" t="n">
        <x:v>202</x:v>
      </x:c>
      <x:c r="C202" s="79" t="str">
        <x:v>tracker-2010-SFX</x:v>
      </x:c>
      <x:c r="D202" s="79" t="str">
        <x:v>tracker-2010</x:v>
      </x:c>
      <x:c r="E202" s="79" t="str">
        <x:v>Identité sonore</x:v>
      </x:c>
      <x:c r="F202" s="79" t="str">
        <x:v>PARTIEL · prototype technique</x:v>
      </x:c>
      <x:c r="G202" s="79" t="str">
        <x:v>Distinguer signatures individualisées, écouter et calibrer mixage/mute</x:v>
      </x:c>
      <x:c r="H202" s="79" t="str">
        <x:v>UI/AUDIO</x:v>
      </x:c>
      <x:c r="I202" s="79" t="str">
        <x:v>Oui, pour les contrats techniques uniquement</x:v>
      </x:c>
      <x:c r="J202" s="79" t="str">
        <x:v>P2</x:v>
      </x:c>
      <x:c r="K202" s="79" t="str">
        <x:v>https://github.com/darknigthmare/yautja-la-longue-chasse/blob/feat/v131-gauntlet-hologram-dual-view-20261030/app/game/sound.ts</x:v>
      </x:c>
      <x:c r="L202" s="79" t="str">
        <x:v>Signature sonore par thème (10 profils), source non cinéma</x:v>
      </x:c>
    </x:row>
    <x:row r="203" ht="29" customHeight="1">
      <x:c r="A203" s="79" t="str">
        <x:v>05_Assets</x:v>
      </x:c>
      <x:c r="B203" s="79" t="n">
        <x:v>203</x:v>
      </x:c>
      <x:c r="C203" s="79" t="str">
        <x:v>tracker-2010-HUD</x:v>
      </x:c>
      <x:c r="D203" s="79" t="str">
        <x:v>tracker-2010</x:v>
      </x:c>
      <x:c r="E203" s="79" t="str">
        <x:v>Palette / projection</x:v>
      </x:c>
      <x:c r="F203" s="79" t="str">
        <x:v>PARTIEL · prototype technique</x:v>
      </x:c>
      <x:c r="G203" s="79" t="str">
        <x:v>Tester toutes résolutions, contrôles, sous-modes et cohérence d'infos</x:v>
      </x:c>
      <x:c r="H203" s="79" t="str">
        <x:v>UI/AUDIO</x:v>
      </x:c>
      <x:c r="I203" s="79" t="str">
        <x:v>Oui, pour les contrats techniques uniquement</x:v>
      </x:c>
      <x:c r="J203" s="79" t="str">
        <x:v>P2</x:v>
      </x:c>
      <x:c r="K203" s="79" t="str">
        <x:v>https://github.com/darknigthmare/yautja-la-longue-chasse/blob/feat/v131-gauntlet-hologram-dual-view-20261030/app/game/ClanWarGauntletV131.tsx</x:v>
      </x:c>
      <x:c r="L203" s="79" t="str">
        <x:v>HUD connecté / simulation intacte ; QA visuelle restante</x:v>
      </x:c>
    </x:row>
    <x:row r="204" ht="29" customHeight="1">
      <x:c r="A204" s="79" t="str">
        <x:v>05_Assets</x:v>
      </x:c>
      <x:c r="B204" s="79" t="n">
        <x:v>204</x:v>
      </x:c>
      <x:c r="C204" s="79" t="str">
        <x:v>tracker-2010-QA</x:v>
      </x:c>
      <x:c r="D204" s="79" t="str">
        <x:v>tracker-2010</x:v>
      </x:c>
      <x:c r="E204" s="79" t="str">
        <x:v>Comparaisons + tests</x:v>
      </x:c>
      <x:c r="F204" s="79" t="str">
        <x:v>PARTIEL · prototype technique</x:v>
      </x:c>
      <x:c r="G204" s="79" t="str">
        <x:v>Réaliser contrôles visuels film/rig + E2E jeu, FPS et accessibilité</x:v>
      </x:c>
      <x:c r="H204" s="79" t="str">
        <x:v>ART+QA</x:v>
      </x:c>
      <x:c r="I204" s="79" t="str">
        <x:v>Oui, pour les contrats techniques uniquement</x:v>
      </x:c>
      <x:c r="J204" s="79" t="str">
        <x:v>P2</x:v>
      </x:c>
      <x:c r="K204" s="79" t="str">
        <x:v>https://github.com/darknigthmare/yautja-la-longue-chasse/blob/feat/v131-gauntlet-hologram-dual-view-20261030/tests/gauntlet-archive-studies-v136.test.mjs</x:v>
      </x:c>
      <x:c r="L204" s="79" t="str">
        <x:v>Tests CI source / alpha / type / navigateur autonome ; 1:1 restant</x:v>
      </x:c>
    </x:row>
    <x:row r="205" ht="29" customHeight="1">
      <x:c r="A205" s="79" t="str">
        <x:v>05_Assets</x:v>
      </x:c>
      <x:c r="B205" s="79" t="n">
        <x:v>205</x:v>
      </x:c>
      <x:c r="C205" s="79" t="str">
        <x:v>fugitive-ARM-L</x:v>
      </x:c>
      <x:c r="D205" s="79" t="str">
        <x:v>fugitive</x:v>
      </x:c>
      <x:c r="E205" s="79" t="str">
        <x:v>Bras gauche / poignet</x:v>
      </x:c>
      <x:c r="F205" s="79" t="str">
        <x:v>PARTIEL · prototype technique</x:v>
      </x:c>
      <x:c r="G205" s="79" t="str">
        <x:v>Comparer bras et poignet à plusieurs plans canoniques ; adapter au rig dans toutes poses</x:v>
      </x:c>
      <x:c r="H205" s="79" t="str">
        <x:v>ART+QA</x:v>
      </x:c>
      <x:c r="I205" s="79" t="str">
        <x:v>Oui, pour les contrats techniques uniquement</x:v>
      </x:c>
      <x:c r="J205" s="79" t="str">
        <x:v>P2</x:v>
      </x:c>
      <x:c r="K205" s="79" t="str">
        <x:v>https://github.com/darknigthmare/yautja-la-longue-chasse/blob/feat/v131-gauntlet-hologram-dual-view-20261030/public/game/assets/v136/gauntlets/fugitive/01-arm.svg</x:v>
      </x:c>
      <x:c r="L205" s="79" t="str">
        <x:v>Prototype SVG individuel + alpha PNG</x:v>
      </x:c>
    </x:row>
    <x:row r="206" ht="29" customHeight="1">
      <x:c r="A206" s="79" t="str">
        <x:v>05_Assets</x:v>
      </x:c>
      <x:c r="B206" s="79" t="n">
        <x:v>206</x:v>
      </x:c>
      <x:c r="C206" s="79" t="str">
        <x:v>fugitive-SHELL-C</x:v>
      </x:c>
      <x:c r="D206" s="79" t="str">
        <x:v>fugitive</x:v>
      </x:c>
      <x:c r="E206" s="79" t="str">
        <x:v>Coque fermée</x:v>
      </x:c>
      <x:c r="F206" s="79" t="str">
        <x:v>PARTIEL · prototype technique</x:v>
      </x:c>
      <x:c r="G206" s="79" t="str">
        <x:v>Vérifier forme/proportions/cuirasse 1:1 et textures, pas seulement SVG</x:v>
      </x:c>
      <x:c r="H206" s="79" t="str">
        <x:v>ART+QA</x:v>
      </x:c>
      <x:c r="I206" s="79" t="str">
        <x:v>Oui, pour les contrats techniques uniquement</x:v>
      </x:c>
      <x:c r="J206" s="79" t="str">
        <x:v>P2</x:v>
      </x:c>
      <x:c r="K206" s="79" t="str">
        <x:v>https://github.com/darknigthmare/yautja-la-longue-chasse/blob/feat/v131-gauntlet-hologram-dual-view-20261030/public/game/assets/v136/gauntlets/fugitive/02-shell.svg</x:v>
      </x:c>
      <x:c r="L206" s="79" t="str">
        <x:v>Coque individuelle SVG + PNG, non 1:1</x:v>
      </x:c>
    </x:row>
    <x:row r="207" ht="29" customHeight="1">
      <x:c r="A207" s="79" t="str">
        <x:v>05_Assets</x:v>
      </x:c>
      <x:c r="B207" s="79" t="n">
        <x:v>207</x:v>
      </x:c>
      <x:c r="C207" s="79" t="str">
        <x:v>fugitive-SHELL-O</x:v>
      </x:c>
      <x:c r="D207" s="79" t="str">
        <x:v>fugitive</x:v>
      </x:c>
      <x:c r="E207" s="79" t="str">
        <x:v>Coque ouverte</x:v>
      </x:c>
      <x:c r="F207" s="79" t="str">
        <x:v>PARTIEL · prototype technique</x:v>
      </x:c>
      <x:c r="G207" s="79" t="str">
        <x:v>Mesurer pivot/capots sur film et compléter les états ouvrir-fermer-ranger</x:v>
      </x:c>
      <x:c r="H207" s="79" t="str">
        <x:v>ART+QA</x:v>
      </x:c>
      <x:c r="I207" s="79" t="str">
        <x:v>Oui, pour les contrats techniques uniquement</x:v>
      </x:c>
      <x:c r="J207" s="79" t="str">
        <x:v>P2</x:v>
      </x:c>
      <x:c r="K207" s="79" t="str">
        <x:v>https://github.com/darknigthmare/yautja-la-longue-chasse/blob/feat/v131-gauntlet-hologram-dual-view-20261030/public/game/assets/v136/gauntlets/fugitive/04-lid.svg</x:v>
      </x:c>
      <x:c r="L207" s="79" t="str">
        <x:v>Capot ouvrable en React/CSS, animation partielle</x:v>
      </x:c>
    </x:row>
    <x:row r="208" ht="29" customHeight="1">
      <x:c r="A208" s="79" t="str">
        <x:v>05_Assets</x:v>
      </x:c>
      <x:c r="B208" s="79" t="n">
        <x:v>208</x:v>
      </x:c>
      <x:c r="C208" s="79" t="str">
        <x:v>fugitive-UI-RED</x:v>
      </x:c>
      <x:c r="D208" s="79" t="str">
        <x:v>fugitive</x:v>
      </x:c>
      <x:c r="E208" s="79" t="str">
        <x:v>Contrôle / glyphes</x:v>
      </x:c>
      <x:c r="F208" s="79" t="str">
        <x:v>PARTIEL · prototype technique</x:v>
      </x:c>
      <x:c r="G208" s="79" t="str">
        <x:v>Remplacer symboles conceptuels par graphismes source documentés sans inventer du canon</x:v>
      </x:c>
      <x:c r="H208" s="79" t="str">
        <x:v>ART+QA</x:v>
      </x:c>
      <x:c r="I208" s="79" t="str">
        <x:v>Oui, pour les contrats techniques uniquement</x:v>
      </x:c>
      <x:c r="J208" s="79" t="str">
        <x:v>P2</x:v>
      </x:c>
      <x:c r="K208" s="79" t="str">
        <x:v>https://github.com/darknigthmare/yautja-la-longue-chasse/blob/feat/v131-gauntlet-hologram-dual-view-20261030/public/game/assets/v136/gauntlets/fugitive/03-interface.svg</x:v>
      </x:c>
      <x:c r="L208" s="79" t="str">
        <x:v>Interface distincte en SVG / couleurs non certifiées</x:v>
      </x:c>
    </x:row>
    <x:row r="209" ht="29" customHeight="1">
      <x:c r="A209" s="79" t="str">
        <x:v>05_Assets</x:v>
      </x:c>
      <x:c r="B209" s="79" t="n">
        <x:v>209</x:v>
      </x:c>
      <x:c r="C209" s="79" t="str">
        <x:v>fugitive-RIBS</x:v>
      </x:c>
      <x:c r="D209" s="79" t="str">
        <x:v>fugitive</x:v>
      </x:c>
      <x:c r="E209" s="79" t="str">
        <x:v>Ribures et mécanique</x:v>
      </x:c>
      <x:c r="F209" s="79" t="str">
        <x:v>OUVERT · séparation des sous-pièces</x:v>
      </x:c>
      <x:c r="G209" s="79" t="str">
        <x:v>Découper les pièces mécaniques, valider attaches et reliefs individuels</x:v>
      </x:c>
      <x:c r="H209" s="79" t="str">
        <x:v>ART+QA</x:v>
      </x:c>
      <x:c r="I209" s="79" t="str">
        <x:v>Oui, pour les contrats techniques uniquement</x:v>
      </x:c>
      <x:c r="J209" s="79" t="str">
        <x:v>P2</x:v>
      </x:c>
      <x:c r="K209" s="79" t="str">
        <x:v>https://github.com/darknigthmare/yautja-la-longue-chasse/blob/feat/v131-gauntlet-hologram-dual-view-20261030/public/game/assets/v136/gauntlets/fugitive/02-shell.svg</x:v>
      </x:c>
      <x:c r="L209" s="79" t="str">
        <x:v>Détails de coque présents, sous-pièces non séparées</x:v>
      </x:c>
    </x:row>
    <x:row r="210" ht="29" customHeight="1">
      <x:c r="A210" s="79" t="str">
        <x:v>05_Assets</x:v>
      </x:c>
      <x:c r="B210" s="79" t="n">
        <x:v>210</x:v>
      </x:c>
      <x:c r="C210" s="79" t="str">
        <x:v>fugitive-BEAM</x:v>
      </x:c>
      <x:c r="D210" s="79" t="str">
        <x:v>fugitive</x:v>
      </x:c>
      <x:c r="E210" s="79" t="str">
        <x:v>Émetteur holographique</x:v>
      </x:c>
      <x:c r="F210" s="79" t="str">
        <x:v>PARTIEL · prototype technique</x:v>
      </x:c>
      <x:c r="G210" s="79" t="str">
        <x:v>Conserver fonctionnalité HUD et produire la signature holographique de chaque modèle</x:v>
      </x:c>
      <x:c r="H210" s="79" t="str">
        <x:v>ART+QA</x:v>
      </x:c>
      <x:c r="I210" s="79" t="str">
        <x:v>Oui, pour les contrats techniques uniquement</x:v>
      </x:c>
      <x:c r="J210" s="79" t="str">
        <x:v>P2</x:v>
      </x:c>
      <x:c r="K210" s="79" t="str">
        <x:v>https://github.com/darknigthmare/yautja-la-longue-chasse/blob/feat/v131-gauntlet-hologram-dual-view-20261030/app/game/ClanWarGauntletV131.tsx</x:v>
      </x:c>
      <x:c r="L210" s="79" t="str">
        <x:v>Faisceau du projet (JH dédié, autres effet commun)</x:v>
      </x:c>
    </x:row>
    <x:row r="211" ht="29" customHeight="1">
      <x:c r="A211" s="79" t="str">
        <x:v>05_Assets</x:v>
      </x:c>
      <x:c r="B211" s="79" t="n">
        <x:v>211</x:v>
      </x:c>
      <x:c r="C211" s="79" t="str">
        <x:v>fugitive-MOVE</x:v>
      </x:c>
      <x:c r="D211" s="79" t="str">
        <x:v>fugitive</x:v>
      </x:c>
      <x:c r="E211" s="79" t="str">
        <x:v>Animations 4 états</x:v>
      </x:c>
      <x:c r="F211" s="79" t="str">
        <x:v>PARTIEL · prototype technique</x:v>
      </x:c>
      <x:c r="G211" s="79" t="str">
        <x:v>Compléter lever, ouvrir, projeter, ranger ; aligner au rig et à la caméra</x:v>
      </x:c>
      <x:c r="H211" s="79" t="str">
        <x:v>ART+QA</x:v>
      </x:c>
      <x:c r="I211" s="79" t="str">
        <x:v>Oui, pour les contrats techniques uniquement</x:v>
      </x:c>
      <x:c r="J211" s="79" t="str">
        <x:v>P2</x:v>
      </x:c>
      <x:c r="K211" s="79" t="str">
        <x:v>https://github.com/darknigthmare/yautja-la-longue-chasse/blob/feat/v131-gauntlet-hologram-dual-view-20261030/public/game/assets/v136/gauntlets/fugitive/04-lid.svg</x:v>
      </x:c>
      <x:c r="L211" s="79" t="str">
        <x:v>Capot ouvert/fermé ; 3 gestes complets restent à faire</x:v>
      </x:c>
    </x:row>
    <x:row r="212" ht="29" customHeight="1">
      <x:c r="A212" s="79" t="str">
        <x:v>05_Assets</x:v>
      </x:c>
      <x:c r="B212" s="79" t="n">
        <x:v>212</x:v>
      </x:c>
      <x:c r="C212" s="79" t="str">
        <x:v>fugitive-SFX</x:v>
      </x:c>
      <x:c r="D212" s="79" t="str">
        <x:v>fugitive</x:v>
      </x:c>
      <x:c r="E212" s="79" t="str">
        <x:v>Identité sonore</x:v>
      </x:c>
      <x:c r="F212" s="79" t="str">
        <x:v>PARTIEL · prototype technique</x:v>
      </x:c>
      <x:c r="G212" s="79" t="str">
        <x:v>Distinguer signatures individualisées, écouter et calibrer mixage/mute</x:v>
      </x:c>
      <x:c r="H212" s="79" t="str">
        <x:v>UI/AUDIO</x:v>
      </x:c>
      <x:c r="I212" s="79" t="str">
        <x:v>Oui, pour les contrats techniques uniquement</x:v>
      </x:c>
      <x:c r="J212" s="79" t="str">
        <x:v>P2</x:v>
      </x:c>
      <x:c r="K212" s="79" t="str">
        <x:v>https://github.com/darknigthmare/yautja-la-longue-chasse/blob/feat/v131-gauntlet-hologram-dual-view-20261030/app/game/sound.ts</x:v>
      </x:c>
      <x:c r="L212" s="79" t="str">
        <x:v>Signature sonore par thème (10 profils), source non cinéma</x:v>
      </x:c>
    </x:row>
    <x:row r="213" ht="29" customHeight="1">
      <x:c r="A213" s="79" t="str">
        <x:v>05_Assets</x:v>
      </x:c>
      <x:c r="B213" s="79" t="n">
        <x:v>213</x:v>
      </x:c>
      <x:c r="C213" s="79" t="str">
        <x:v>fugitive-HUD</x:v>
      </x:c>
      <x:c r="D213" s="79" t="str">
        <x:v>fugitive</x:v>
      </x:c>
      <x:c r="E213" s="79" t="str">
        <x:v>Palette / projection</x:v>
      </x:c>
      <x:c r="F213" s="79" t="str">
        <x:v>PARTIEL · prototype technique</x:v>
      </x:c>
      <x:c r="G213" s="79" t="str">
        <x:v>Tester toutes résolutions, contrôles, sous-modes et cohérence d'infos</x:v>
      </x:c>
      <x:c r="H213" s="79" t="str">
        <x:v>UI/AUDIO</x:v>
      </x:c>
      <x:c r="I213" s="79" t="str">
        <x:v>Oui, pour les contrats techniques uniquement</x:v>
      </x:c>
      <x:c r="J213" s="79" t="str">
        <x:v>P2</x:v>
      </x:c>
      <x:c r="K213" s="79" t="str">
        <x:v>https://github.com/darknigthmare/yautja-la-longue-chasse/blob/feat/v131-gauntlet-hologram-dual-view-20261030/app/game/ClanWarGauntletV131.tsx</x:v>
      </x:c>
      <x:c r="L213" s="79" t="str">
        <x:v>HUD connecté / simulation intacte ; QA visuelle restante</x:v>
      </x:c>
    </x:row>
    <x:row r="214" ht="29" customHeight="1">
      <x:c r="A214" s="79" t="str">
        <x:v>05_Assets</x:v>
      </x:c>
      <x:c r="B214" s="79" t="n">
        <x:v>214</x:v>
      </x:c>
      <x:c r="C214" s="79" t="str">
        <x:v>fugitive-QA</x:v>
      </x:c>
      <x:c r="D214" s="79" t="str">
        <x:v>fugitive</x:v>
      </x:c>
      <x:c r="E214" s="79" t="str">
        <x:v>Comparaisons + tests</x:v>
      </x:c>
      <x:c r="F214" s="79" t="str">
        <x:v>PARTIEL · prototype technique</x:v>
      </x:c>
      <x:c r="G214" s="79" t="str">
        <x:v>Réaliser contrôles visuels film/rig + E2E jeu, FPS et accessibilité</x:v>
      </x:c>
      <x:c r="H214" s="79" t="str">
        <x:v>ART+QA</x:v>
      </x:c>
      <x:c r="I214" s="79" t="str">
        <x:v>Oui, pour les contrats techniques uniquement</x:v>
      </x:c>
      <x:c r="J214" s="79" t="str">
        <x:v>P2</x:v>
      </x:c>
      <x:c r="K214" s="79" t="str">
        <x:v>https://github.com/darknigthmare/yautja-la-longue-chasse/blob/feat/v131-gauntlet-hologram-dual-view-20261030/tests/gauntlet-archive-studies-v136.test.mjs</x:v>
      </x:c>
      <x:c r="L214" s="79" t="str">
        <x:v>Tests CI source / alpha / type / navigateur autonome ; 1:1 restant</x:v>
      </x:c>
    </x:row>
    <x:row r="215" ht="29" customHeight="1">
      <x:c r="A215" s="79" t="str">
        <x:v>05_Assets</x:v>
      </x:c>
      <x:c r="B215" s="79" t="n">
        <x:v>215</x:v>
      </x:c>
      <x:c r="C215" s="79" t="str">
        <x:v>assassin-ARM-L</x:v>
      </x:c>
      <x:c r="D215" s="79" t="str">
        <x:v>assassin</x:v>
      </x:c>
      <x:c r="E215" s="79" t="str">
        <x:v>Bras gauche / poignet</x:v>
      </x:c>
      <x:c r="F215" s="79" t="str">
        <x:v>PARTIEL · prototype technique</x:v>
      </x:c>
      <x:c r="G215" s="79" t="str">
        <x:v>Comparer bras et poignet à plusieurs plans canoniques ; adapter au rig dans toutes poses</x:v>
      </x:c>
      <x:c r="H215" s="79" t="str">
        <x:v>ART+QA</x:v>
      </x:c>
      <x:c r="I215" s="79" t="str">
        <x:v>Oui, pour les contrats techniques uniquement</x:v>
      </x:c>
      <x:c r="J215" s="79" t="str">
        <x:v>P2</x:v>
      </x:c>
      <x:c r="K215" s="79" t="str">
        <x:v>https://github.com/darknigthmare/yautja-la-longue-chasse/blob/feat/v131-gauntlet-hologram-dual-view-20261030/public/game/assets/v136/gauntlets/assassin/01-arm.svg</x:v>
      </x:c>
      <x:c r="L215" s="79" t="str">
        <x:v>Prototype SVG individuel + alpha PNG</x:v>
      </x:c>
    </x:row>
    <x:row r="216" ht="29" customHeight="1">
      <x:c r="A216" s="79" t="str">
        <x:v>05_Assets</x:v>
      </x:c>
      <x:c r="B216" s="79" t="n">
        <x:v>216</x:v>
      </x:c>
      <x:c r="C216" s="79" t="str">
        <x:v>assassin-SHELL-C</x:v>
      </x:c>
      <x:c r="D216" s="79" t="str">
        <x:v>assassin</x:v>
      </x:c>
      <x:c r="E216" s="79" t="str">
        <x:v>Coque fermée</x:v>
      </x:c>
      <x:c r="F216" s="79" t="str">
        <x:v>PARTIEL · prototype technique</x:v>
      </x:c>
      <x:c r="G216" s="79" t="str">
        <x:v>Vérifier forme/proportions/cuirasse 1:1 et textures, pas seulement SVG</x:v>
      </x:c>
      <x:c r="H216" s="79" t="str">
        <x:v>ART+QA</x:v>
      </x:c>
      <x:c r="I216" s="79" t="str">
        <x:v>Oui, pour les contrats techniques uniquement</x:v>
      </x:c>
      <x:c r="J216" s="79" t="str">
        <x:v>P2</x:v>
      </x:c>
      <x:c r="K216" s="79" t="str">
        <x:v>https://github.com/darknigthmare/yautja-la-longue-chasse/blob/feat/v131-gauntlet-hologram-dual-view-20261030/public/game/assets/v136/gauntlets/assassin/02-shell.svg</x:v>
      </x:c>
      <x:c r="L216" s="79" t="str">
        <x:v>Coque individuelle SVG + PNG, non 1:1</x:v>
      </x:c>
    </x:row>
    <x:row r="217" ht="29" customHeight="1">
      <x:c r="A217" s="79" t="str">
        <x:v>05_Assets</x:v>
      </x:c>
      <x:c r="B217" s="79" t="n">
        <x:v>217</x:v>
      </x:c>
      <x:c r="C217" s="79" t="str">
        <x:v>assassin-SHELL-O</x:v>
      </x:c>
      <x:c r="D217" s="79" t="str">
        <x:v>assassin</x:v>
      </x:c>
      <x:c r="E217" s="79" t="str">
        <x:v>Coque ouverte</x:v>
      </x:c>
      <x:c r="F217" s="79" t="str">
        <x:v>PARTIEL · prototype technique</x:v>
      </x:c>
      <x:c r="G217" s="79" t="str">
        <x:v>Mesurer pivot/capots sur film et compléter les états ouvrir-fermer-ranger</x:v>
      </x:c>
      <x:c r="H217" s="79" t="str">
        <x:v>ART+QA</x:v>
      </x:c>
      <x:c r="I217" s="79" t="str">
        <x:v>Oui, pour les contrats techniques uniquement</x:v>
      </x:c>
      <x:c r="J217" s="79" t="str">
        <x:v>P2</x:v>
      </x:c>
      <x:c r="K217" s="79" t="str">
        <x:v>https://github.com/darknigthmare/yautja-la-longue-chasse/blob/feat/v131-gauntlet-hologram-dual-view-20261030/public/game/assets/v136/gauntlets/assassin/04-lid.svg</x:v>
      </x:c>
      <x:c r="L217" s="79" t="str">
        <x:v>Capot ouvrable en React/CSS, animation partielle</x:v>
      </x:c>
    </x:row>
    <x:row r="218" ht="29" customHeight="1">
      <x:c r="A218" s="79" t="str">
        <x:v>05_Assets</x:v>
      </x:c>
      <x:c r="B218" s="79" t="n">
        <x:v>218</x:v>
      </x:c>
      <x:c r="C218" s="79" t="str">
        <x:v>assassin-UI-RED</x:v>
      </x:c>
      <x:c r="D218" s="79" t="str">
        <x:v>assassin</x:v>
      </x:c>
      <x:c r="E218" s="79" t="str">
        <x:v>Contrôle / glyphes</x:v>
      </x:c>
      <x:c r="F218" s="79" t="str">
        <x:v>PARTIEL · prototype technique</x:v>
      </x:c>
      <x:c r="G218" s="79" t="str">
        <x:v>Remplacer symboles conceptuels par graphismes source documentés sans inventer du canon</x:v>
      </x:c>
      <x:c r="H218" s="79" t="str">
        <x:v>ART+QA</x:v>
      </x:c>
      <x:c r="I218" s="79" t="str">
        <x:v>Oui, pour les contrats techniques uniquement</x:v>
      </x:c>
      <x:c r="J218" s="79" t="str">
        <x:v>P2</x:v>
      </x:c>
      <x:c r="K218" s="79" t="str">
        <x:v>https://github.com/darknigthmare/yautja-la-longue-chasse/blob/feat/v131-gauntlet-hologram-dual-view-20261030/public/game/assets/v136/gauntlets/assassin/03-interface.svg</x:v>
      </x:c>
      <x:c r="L218" s="79" t="str">
        <x:v>Interface distincte en SVG / couleurs non certifiées</x:v>
      </x:c>
    </x:row>
    <x:row r="219" ht="29" customHeight="1">
      <x:c r="A219" s="79" t="str">
        <x:v>05_Assets</x:v>
      </x:c>
      <x:c r="B219" s="79" t="n">
        <x:v>219</x:v>
      </x:c>
      <x:c r="C219" s="79" t="str">
        <x:v>assassin-RIBS</x:v>
      </x:c>
      <x:c r="D219" s="79" t="str">
        <x:v>assassin</x:v>
      </x:c>
      <x:c r="E219" s="79" t="str">
        <x:v>Ribures et mécanique</x:v>
      </x:c>
      <x:c r="F219" s="79" t="str">
        <x:v>OUVERT · séparation des sous-pièces</x:v>
      </x:c>
      <x:c r="G219" s="79" t="str">
        <x:v>Découper les pièces mécaniques, valider attaches et reliefs individuels</x:v>
      </x:c>
      <x:c r="H219" s="79" t="str">
        <x:v>ART+QA</x:v>
      </x:c>
      <x:c r="I219" s="79" t="str">
        <x:v>Oui, pour les contrats techniques uniquement</x:v>
      </x:c>
      <x:c r="J219" s="79" t="str">
        <x:v>P2</x:v>
      </x:c>
      <x:c r="K219" s="79" t="str">
        <x:v>https://github.com/darknigthmare/yautja-la-longue-chasse/blob/feat/v131-gauntlet-hologram-dual-view-20261030/public/game/assets/v136/gauntlets/assassin/02-shell.svg</x:v>
      </x:c>
      <x:c r="L219" s="79" t="str">
        <x:v>Détails de coque présents, sous-pièces non séparées</x:v>
      </x:c>
    </x:row>
    <x:row r="220" ht="29" customHeight="1">
      <x:c r="A220" s="79" t="str">
        <x:v>05_Assets</x:v>
      </x:c>
      <x:c r="B220" s="79" t="n">
        <x:v>220</x:v>
      </x:c>
      <x:c r="C220" s="79" t="str">
        <x:v>assassin-BEAM</x:v>
      </x:c>
      <x:c r="D220" s="79" t="str">
        <x:v>assassin</x:v>
      </x:c>
      <x:c r="E220" s="79" t="str">
        <x:v>Émetteur holographique</x:v>
      </x:c>
      <x:c r="F220" s="79" t="str">
        <x:v>PARTIEL · prototype technique</x:v>
      </x:c>
      <x:c r="G220" s="79" t="str">
        <x:v>Conserver fonctionnalité HUD et produire la signature holographique de chaque modèle</x:v>
      </x:c>
      <x:c r="H220" s="79" t="str">
        <x:v>ART+QA</x:v>
      </x:c>
      <x:c r="I220" s="79" t="str">
        <x:v>Oui, pour les contrats techniques uniquement</x:v>
      </x:c>
      <x:c r="J220" s="79" t="str">
        <x:v>P2</x:v>
      </x:c>
      <x:c r="K220" s="79" t="str">
        <x:v>https://github.com/darknigthmare/yautja-la-longue-chasse/blob/feat/v131-gauntlet-hologram-dual-view-20261030/app/game/ClanWarGauntletV131.tsx</x:v>
      </x:c>
      <x:c r="L220" s="79" t="str">
        <x:v>Faisceau du projet (JH dédié, autres effet commun)</x:v>
      </x:c>
    </x:row>
    <x:row r="221" ht="29" customHeight="1">
      <x:c r="A221" s="79" t="str">
        <x:v>05_Assets</x:v>
      </x:c>
      <x:c r="B221" s="79" t="n">
        <x:v>221</x:v>
      </x:c>
      <x:c r="C221" s="79" t="str">
        <x:v>assassin-MOVE</x:v>
      </x:c>
      <x:c r="D221" s="79" t="str">
        <x:v>assassin</x:v>
      </x:c>
      <x:c r="E221" s="79" t="str">
        <x:v>Animations 4 états</x:v>
      </x:c>
      <x:c r="F221" s="79" t="str">
        <x:v>PARTIEL · prototype technique</x:v>
      </x:c>
      <x:c r="G221" s="79" t="str">
        <x:v>Compléter lever, ouvrir, projeter, ranger ; aligner au rig et à la caméra</x:v>
      </x:c>
      <x:c r="H221" s="79" t="str">
        <x:v>ART+QA</x:v>
      </x:c>
      <x:c r="I221" s="79" t="str">
        <x:v>Oui, pour les contrats techniques uniquement</x:v>
      </x:c>
      <x:c r="J221" s="79" t="str">
        <x:v>P2</x:v>
      </x:c>
      <x:c r="K221" s="79" t="str">
        <x:v>https://github.com/darknigthmare/yautja-la-longue-chasse/blob/feat/v131-gauntlet-hologram-dual-view-20261030/public/game/assets/v136/gauntlets/assassin/04-lid.svg</x:v>
      </x:c>
      <x:c r="L221" s="79" t="str">
        <x:v>Capot ouvert/fermé ; 3 gestes complets restent à faire</x:v>
      </x:c>
    </x:row>
    <x:row r="222" ht="29" customHeight="1">
      <x:c r="A222" s="79" t="str">
        <x:v>05_Assets</x:v>
      </x:c>
      <x:c r="B222" s="79" t="n">
        <x:v>222</x:v>
      </x:c>
      <x:c r="C222" s="79" t="str">
        <x:v>assassin-SFX</x:v>
      </x:c>
      <x:c r="D222" s="79" t="str">
        <x:v>assassin</x:v>
      </x:c>
      <x:c r="E222" s="79" t="str">
        <x:v>Identité sonore</x:v>
      </x:c>
      <x:c r="F222" s="79" t="str">
        <x:v>PARTIEL · prototype technique</x:v>
      </x:c>
      <x:c r="G222" s="79" t="str">
        <x:v>Distinguer signatures individualisées, écouter et calibrer mixage/mute</x:v>
      </x:c>
      <x:c r="H222" s="79" t="str">
        <x:v>UI/AUDIO</x:v>
      </x:c>
      <x:c r="I222" s="79" t="str">
        <x:v>Oui, pour les contrats techniques uniquement</x:v>
      </x:c>
      <x:c r="J222" s="79" t="str">
        <x:v>P2</x:v>
      </x:c>
      <x:c r="K222" s="79" t="str">
        <x:v>https://github.com/darknigthmare/yautja-la-longue-chasse/blob/feat/v131-gauntlet-hologram-dual-view-20261030/app/game/sound.ts</x:v>
      </x:c>
      <x:c r="L222" s="79" t="str">
        <x:v>Signature sonore par thème (10 profils), source non cinéma</x:v>
      </x:c>
    </x:row>
    <x:row r="223" ht="29" customHeight="1">
      <x:c r="A223" s="79" t="str">
        <x:v>05_Assets</x:v>
      </x:c>
      <x:c r="B223" s="79" t="n">
        <x:v>223</x:v>
      </x:c>
      <x:c r="C223" s="79" t="str">
        <x:v>assassin-HUD</x:v>
      </x:c>
      <x:c r="D223" s="79" t="str">
        <x:v>assassin</x:v>
      </x:c>
      <x:c r="E223" s="79" t="str">
        <x:v>Palette / projection</x:v>
      </x:c>
      <x:c r="F223" s="79" t="str">
        <x:v>PARTIEL · prototype technique</x:v>
      </x:c>
      <x:c r="G223" s="79" t="str">
        <x:v>Tester toutes résolutions, contrôles, sous-modes et cohérence d'infos</x:v>
      </x:c>
      <x:c r="H223" s="79" t="str">
        <x:v>UI/AUDIO</x:v>
      </x:c>
      <x:c r="I223" s="79" t="str">
        <x:v>Oui, pour les contrats techniques uniquement</x:v>
      </x:c>
      <x:c r="J223" s="79" t="str">
        <x:v>P2</x:v>
      </x:c>
      <x:c r="K223" s="79" t="str">
        <x:v>https://github.com/darknigthmare/yautja-la-longue-chasse/blob/feat/v131-gauntlet-hologram-dual-view-20261030/app/game/ClanWarGauntletV131.tsx</x:v>
      </x:c>
      <x:c r="L223" s="79" t="str">
        <x:v>HUD connecté / simulation intacte ; QA visuelle restante</x:v>
      </x:c>
    </x:row>
    <x:row r="224" ht="29" customHeight="1">
      <x:c r="A224" s="79" t="str">
        <x:v>05_Assets</x:v>
      </x:c>
      <x:c r="B224" s="79" t="n">
        <x:v>224</x:v>
      </x:c>
      <x:c r="C224" s="79" t="str">
        <x:v>assassin-QA</x:v>
      </x:c>
      <x:c r="D224" s="79" t="str">
        <x:v>assassin</x:v>
      </x:c>
      <x:c r="E224" s="79" t="str">
        <x:v>Comparaisons + tests</x:v>
      </x:c>
      <x:c r="F224" s="79" t="str">
        <x:v>PARTIEL · prototype technique</x:v>
      </x:c>
      <x:c r="G224" s="79" t="str">
        <x:v>Réaliser contrôles visuels film/rig + E2E jeu, FPS et accessibilité</x:v>
      </x:c>
      <x:c r="H224" s="79" t="str">
        <x:v>ART+QA</x:v>
      </x:c>
      <x:c r="I224" s="79" t="str">
        <x:v>Oui, pour les contrats techniques uniquement</x:v>
      </x:c>
      <x:c r="J224" s="79" t="str">
        <x:v>P2</x:v>
      </x:c>
      <x:c r="K224" s="79" t="str">
        <x:v>https://github.com/darknigthmare/yautja-la-longue-chasse/blob/feat/v131-gauntlet-hologram-dual-view-20261030/tests/gauntlet-archive-studies-v136.test.mjs</x:v>
      </x:c>
      <x:c r="L224" s="79" t="str">
        <x:v>Tests CI source / alpha / type / navigateur autonome ; 1:1 restant</x:v>
      </x:c>
    </x:row>
    <x:row r="225" ht="29" customHeight="1">
      <x:c r="A225" s="79" t="str">
        <x:v>05_Assets</x:v>
      </x:c>
      <x:c r="B225" s="79" t="n">
        <x:v>225</x:v>
      </x:c>
      <x:c r="C225" s="79" t="str">
        <x:v>feral-ARM-L</x:v>
      </x:c>
      <x:c r="D225" s="79" t="str">
        <x:v>feral</x:v>
      </x:c>
      <x:c r="E225" s="79" t="str">
        <x:v>Bras gauche / poignet</x:v>
      </x:c>
      <x:c r="F225" s="79" t="str">
        <x:v>PARTIEL · prototype technique</x:v>
      </x:c>
      <x:c r="G225" s="79" t="str">
        <x:v>Comparer bras et poignet à plusieurs plans canoniques ; adapter au rig dans toutes poses</x:v>
      </x:c>
      <x:c r="H225" s="79" t="str">
        <x:v>ART+QA</x:v>
      </x:c>
      <x:c r="I225" s="79" t="str">
        <x:v>Oui, pour les contrats techniques uniquement</x:v>
      </x:c>
      <x:c r="J225" s="79" t="str">
        <x:v>P1</x:v>
      </x:c>
      <x:c r="K225" s="79" t="str">
        <x:v>https://github.com/darknigthmare/yautja-la-longue-chasse/blob/feat/v131-gauntlet-hologram-dual-view-20261030/public/game/assets/v135/gauntlets/feral/01-forearm.svg</x:v>
      </x:c>
      <x:c r="L225" s="79" t="str">
        <x:v>Prototype SVG individuel + alpha PNG</x:v>
      </x:c>
    </x:row>
    <x:row r="226" ht="29" customHeight="1">
      <x:c r="A226" s="79" t="str">
        <x:v>05_Assets</x:v>
      </x:c>
      <x:c r="B226" s="79" t="n">
        <x:v>226</x:v>
      </x:c>
      <x:c r="C226" s="79" t="str">
        <x:v>feral-SHELL-C</x:v>
      </x:c>
      <x:c r="D226" s="79" t="str">
        <x:v>feral</x:v>
      </x:c>
      <x:c r="E226" s="79" t="str">
        <x:v>Coque fermée</x:v>
      </x:c>
      <x:c r="F226" s="79" t="str">
        <x:v>PARTIEL · prototype technique</x:v>
      </x:c>
      <x:c r="G226" s="79" t="str">
        <x:v>Vérifier forme/proportions/cuirasse 1:1 et textures, pas seulement SVG</x:v>
      </x:c>
      <x:c r="H226" s="79" t="str">
        <x:v>ART+QA</x:v>
      </x:c>
      <x:c r="I226" s="79" t="str">
        <x:v>Oui, pour les contrats techniques uniquement</x:v>
      </x:c>
      <x:c r="J226" s="79" t="str">
        <x:v>P1</x:v>
      </x:c>
      <x:c r="K226" s="79" t="str">
        <x:v>https://github.com/darknigthmare/yautja-la-longue-chasse/blob/feat/v131-gauntlet-hologram-dual-view-20261030/public/game/assets/v135/gauntlets/feral/02-shell.svg</x:v>
      </x:c>
      <x:c r="L226" s="79" t="str">
        <x:v>Coque individuelle SVG + PNG, non 1:1</x:v>
      </x:c>
    </x:row>
    <x:row r="227" ht="29" customHeight="1">
      <x:c r="A227" s="79" t="str">
        <x:v>05_Assets</x:v>
      </x:c>
      <x:c r="B227" s="79" t="n">
        <x:v>227</x:v>
      </x:c>
      <x:c r="C227" s="79" t="str">
        <x:v>feral-SHELL-O</x:v>
      </x:c>
      <x:c r="D227" s="79" t="str">
        <x:v>feral</x:v>
      </x:c>
      <x:c r="E227" s="79" t="str">
        <x:v>Coque ouverte</x:v>
      </x:c>
      <x:c r="F227" s="79" t="str">
        <x:v>PARTIEL · prototype technique</x:v>
      </x:c>
      <x:c r="G227" s="79" t="str">
        <x:v>Mesurer pivot/capots sur film et compléter les états ouvrir-fermer-ranger</x:v>
      </x:c>
      <x:c r="H227" s="79" t="str">
        <x:v>ART+QA</x:v>
      </x:c>
      <x:c r="I227" s="79" t="str">
        <x:v>Oui, pour les contrats techniques uniquement</x:v>
      </x:c>
      <x:c r="J227" s="79" t="str">
        <x:v>P1</x:v>
      </x:c>
      <x:c r="K227" s="79" t="str">
        <x:v>https://github.com/darknigthmare/yautja-la-longue-chasse/blob/feat/v131-gauntlet-hologram-dual-view-20261030/public/game/assets/v135/gauntlets/feral/04-cover.svg</x:v>
      </x:c>
      <x:c r="L227" s="79" t="str">
        <x:v>Capot ouvrable en React/CSS, animation partielle</x:v>
      </x:c>
    </x:row>
    <x:row r="228" ht="29" customHeight="1">
      <x:c r="A228" s="79" t="str">
        <x:v>05_Assets</x:v>
      </x:c>
      <x:c r="B228" s="79" t="n">
        <x:v>228</x:v>
      </x:c>
      <x:c r="C228" s="79" t="str">
        <x:v>feral-UI-RED</x:v>
      </x:c>
      <x:c r="D228" s="79" t="str">
        <x:v>feral</x:v>
      </x:c>
      <x:c r="E228" s="79" t="str">
        <x:v>Contrôle / glyphes</x:v>
      </x:c>
      <x:c r="F228" s="79" t="str">
        <x:v>PARTIEL · prototype technique</x:v>
      </x:c>
      <x:c r="G228" s="79" t="str">
        <x:v>Remplacer symboles conceptuels par graphismes source documentés sans inventer du canon</x:v>
      </x:c>
      <x:c r="H228" s="79" t="str">
        <x:v>ART+QA</x:v>
      </x:c>
      <x:c r="I228" s="79" t="str">
        <x:v>Oui, pour les contrats techniques uniquement</x:v>
      </x:c>
      <x:c r="J228" s="79" t="str">
        <x:v>P1</x:v>
      </x:c>
      <x:c r="K228" s="79" t="str">
        <x:v>https://github.com/darknigthmare/yautja-la-longue-chasse/blob/feat/v131-gauntlet-hologram-dual-view-20261030/public/game/assets/v135/gauntlets/feral/03-panel.svg</x:v>
      </x:c>
      <x:c r="L228" s="79" t="str">
        <x:v>Interface distincte en SVG / couleurs non certifiées</x:v>
      </x:c>
    </x:row>
    <x:row r="229" ht="29" customHeight="1">
      <x:c r="A229" s="79" t="str">
        <x:v>05_Assets</x:v>
      </x:c>
      <x:c r="B229" s="79" t="n">
        <x:v>229</x:v>
      </x:c>
      <x:c r="C229" s="79" t="str">
        <x:v>feral-RIBS</x:v>
      </x:c>
      <x:c r="D229" s="79" t="str">
        <x:v>feral</x:v>
      </x:c>
      <x:c r="E229" s="79" t="str">
        <x:v>Ribures et mécanique</x:v>
      </x:c>
      <x:c r="F229" s="79" t="str">
        <x:v>OUVERT · séparation des sous-pièces</x:v>
      </x:c>
      <x:c r="G229" s="79" t="str">
        <x:v>Découper les pièces mécaniques, valider attaches et reliefs individuels</x:v>
      </x:c>
      <x:c r="H229" s="79" t="str">
        <x:v>ART+QA</x:v>
      </x:c>
      <x:c r="I229" s="79" t="str">
        <x:v>Oui, pour les contrats techniques uniquement</x:v>
      </x:c>
      <x:c r="J229" s="79" t="str">
        <x:v>P1</x:v>
      </x:c>
      <x:c r="K229" s="79" t="str">
        <x:v>https://github.com/darknigthmare/yautja-la-longue-chasse/blob/feat/v131-gauntlet-hologram-dual-view-20261030/public/game/assets/v135/gauntlets/feral/02-shell.svg</x:v>
      </x:c>
      <x:c r="L229" s="79" t="str">
        <x:v>Détails de coque présents, sous-pièces non séparées</x:v>
      </x:c>
    </x:row>
    <x:row r="230" ht="29" customHeight="1">
      <x:c r="A230" s="79" t="str">
        <x:v>05_Assets</x:v>
      </x:c>
      <x:c r="B230" s="79" t="n">
        <x:v>230</x:v>
      </x:c>
      <x:c r="C230" s="79" t="str">
        <x:v>feral-BEAM</x:v>
      </x:c>
      <x:c r="D230" s="79" t="str">
        <x:v>feral</x:v>
      </x:c>
      <x:c r="E230" s="79" t="str">
        <x:v>Émetteur holographique</x:v>
      </x:c>
      <x:c r="F230" s="79" t="str">
        <x:v>PARTIEL · prototype technique</x:v>
      </x:c>
      <x:c r="G230" s="79" t="str">
        <x:v>Conserver fonctionnalité HUD et produire la signature holographique de chaque modèle</x:v>
      </x:c>
      <x:c r="H230" s="79" t="str">
        <x:v>ART+QA</x:v>
      </x:c>
      <x:c r="I230" s="79" t="str">
        <x:v>Oui, pour les contrats techniques uniquement</x:v>
      </x:c>
      <x:c r="J230" s="79" t="str">
        <x:v>P1</x:v>
      </x:c>
      <x:c r="K230" s="79" t="str">
        <x:v>https://github.com/darknigthmare/yautja-la-longue-chasse/blob/feat/v131-gauntlet-hologram-dual-view-20261030/app/game/ClanWarGauntletV131.tsx</x:v>
      </x:c>
      <x:c r="L230" s="79" t="str">
        <x:v>Faisceau du projet (JH dédié, autres effet commun)</x:v>
      </x:c>
    </x:row>
    <x:row r="231" ht="29" customHeight="1">
      <x:c r="A231" s="79" t="str">
        <x:v>05_Assets</x:v>
      </x:c>
      <x:c r="B231" s="79" t="n">
        <x:v>231</x:v>
      </x:c>
      <x:c r="C231" s="79" t="str">
        <x:v>feral-MOVE</x:v>
      </x:c>
      <x:c r="D231" s="79" t="str">
        <x:v>feral</x:v>
      </x:c>
      <x:c r="E231" s="79" t="str">
        <x:v>Animations 4 états</x:v>
      </x:c>
      <x:c r="F231" s="79" t="str">
        <x:v>PARTIEL · prototype technique</x:v>
      </x:c>
      <x:c r="G231" s="79" t="str">
        <x:v>Compléter lever, ouvrir, projeter, ranger ; aligner au rig et à la caméra</x:v>
      </x:c>
      <x:c r="H231" s="79" t="str">
        <x:v>ART+QA</x:v>
      </x:c>
      <x:c r="I231" s="79" t="str">
        <x:v>Oui, pour les contrats techniques uniquement</x:v>
      </x:c>
      <x:c r="J231" s="79" t="str">
        <x:v>P1</x:v>
      </x:c>
      <x:c r="K231" s="79" t="str">
        <x:v>https://github.com/darknigthmare/yautja-la-longue-chasse/blob/feat/v131-gauntlet-hologram-dual-view-20261030/public/game/assets/v135/gauntlets/feral/04-cover.svg</x:v>
      </x:c>
      <x:c r="L231" s="79" t="str">
        <x:v>Capot ouvert/fermé ; 3 gestes complets restent à faire</x:v>
      </x:c>
    </x:row>
    <x:row r="232" ht="29" customHeight="1">
      <x:c r="A232" s="79" t="str">
        <x:v>05_Assets</x:v>
      </x:c>
      <x:c r="B232" s="79" t="n">
        <x:v>232</x:v>
      </x:c>
      <x:c r="C232" s="79" t="str">
        <x:v>feral-SFX</x:v>
      </x:c>
      <x:c r="D232" s="79" t="str">
        <x:v>feral</x:v>
      </x:c>
      <x:c r="E232" s="79" t="str">
        <x:v>Identité sonore</x:v>
      </x:c>
      <x:c r="F232" s="79" t="str">
        <x:v>PARTIEL · prototype technique</x:v>
      </x:c>
      <x:c r="G232" s="79" t="str">
        <x:v>Distinguer signatures individualisées, écouter et calibrer mixage/mute</x:v>
      </x:c>
      <x:c r="H232" s="79" t="str">
        <x:v>UI/AUDIO</x:v>
      </x:c>
      <x:c r="I232" s="79" t="str">
        <x:v>Oui, pour les contrats techniques uniquement</x:v>
      </x:c>
      <x:c r="J232" s="79" t="str">
        <x:v>P1</x:v>
      </x:c>
      <x:c r="K232" s="79" t="str">
        <x:v>https://github.com/darknigthmare/yautja-la-longue-chasse/blob/feat/v131-gauntlet-hologram-dual-view-20261030/app/game/sound.ts</x:v>
      </x:c>
      <x:c r="L232" s="79" t="str">
        <x:v>Signature sonore par thème (10 profils), source non cinéma</x:v>
      </x:c>
    </x:row>
    <x:row r="233" ht="29" customHeight="1">
      <x:c r="A233" s="79" t="str">
        <x:v>05_Assets</x:v>
      </x:c>
      <x:c r="B233" s="79" t="n">
        <x:v>233</x:v>
      </x:c>
      <x:c r="C233" s="79" t="str">
        <x:v>feral-HUD</x:v>
      </x:c>
      <x:c r="D233" s="79" t="str">
        <x:v>feral</x:v>
      </x:c>
      <x:c r="E233" s="79" t="str">
        <x:v>Palette / projection</x:v>
      </x:c>
      <x:c r="F233" s="79" t="str">
        <x:v>PARTIEL · prototype technique</x:v>
      </x:c>
      <x:c r="G233" s="79" t="str">
        <x:v>Tester toutes résolutions, contrôles, sous-modes et cohérence d'infos</x:v>
      </x:c>
      <x:c r="H233" s="79" t="str">
        <x:v>UI/AUDIO</x:v>
      </x:c>
      <x:c r="I233" s="79" t="str">
        <x:v>Oui, pour les contrats techniques uniquement</x:v>
      </x:c>
      <x:c r="J233" s="79" t="str">
        <x:v>P1</x:v>
      </x:c>
      <x:c r="K233" s="79" t="str">
        <x:v>https://github.com/darknigthmare/yautja-la-longue-chasse/blob/feat/v131-gauntlet-hologram-dual-view-20261030/app/game/ClanWarGauntletV131.tsx</x:v>
      </x:c>
      <x:c r="L233" s="79" t="str">
        <x:v>HUD connecté / simulation intacte ; QA visuelle restante</x:v>
      </x:c>
    </x:row>
    <x:row r="234" ht="29" customHeight="1">
      <x:c r="A234" s="79" t="str">
        <x:v>05_Assets</x:v>
      </x:c>
      <x:c r="B234" s="79" t="n">
        <x:v>234</x:v>
      </x:c>
      <x:c r="C234" s="79" t="str">
        <x:v>feral-QA</x:v>
      </x:c>
      <x:c r="D234" s="79" t="str">
        <x:v>feral</x:v>
      </x:c>
      <x:c r="E234" s="79" t="str">
        <x:v>Comparaisons + tests</x:v>
      </x:c>
      <x:c r="F234" s="79" t="str">
        <x:v>PARTIEL · prototype technique</x:v>
      </x:c>
      <x:c r="G234" s="79" t="str">
        <x:v>Réaliser contrôles visuels film/rig + E2E jeu, FPS et accessibilité</x:v>
      </x:c>
      <x:c r="H234" s="79" t="str">
        <x:v>ART+QA</x:v>
      </x:c>
      <x:c r="I234" s="79" t="str">
        <x:v>Oui, pour les contrats techniques uniquement</x:v>
      </x:c>
      <x:c r="J234" s="79" t="str">
        <x:v>P1</x:v>
      </x:c>
      <x:c r="K234" s="79" t="str">
        <x:v>https://github.com/darknigthmare/yautja-la-longue-chasse/blob/feat/v131-gauntlet-hologram-dual-view-20261030/tests/gauntlet-archive-studies-v136.test.mjs</x:v>
      </x:c>
      <x:c r="L234" s="79" t="str">
        <x:v>Tests CI source / alpha / type / navigateur autonome ; 1:1 restant</x:v>
      </x:c>
    </x:row>
    <x:row r="235" ht="29" customHeight="1">
      <x:c r="A235" s="79" t="str">
        <x:v>05_Assets</x:v>
      </x:c>
      <x:c r="B235" s="79" t="n">
        <x:v>235</x:v>
      </x:c>
      <x:c r="C235" s="79" t="str">
        <x:v>dek-ARM-L</x:v>
      </x:c>
      <x:c r="D235" s="79" t="str">
        <x:v>dek</x:v>
      </x:c>
      <x:c r="E235" s="79" t="str">
        <x:v>Bras gauche / poignet</x:v>
      </x:c>
      <x:c r="F235" s="79" t="str">
        <x:v>PARTIEL · prototype technique</x:v>
      </x:c>
      <x:c r="G235" s="79" t="str">
        <x:v>Comparer bras et poignet à plusieurs plans canoniques ; adapter au rig dans toutes poses</x:v>
      </x:c>
      <x:c r="H235" s="79" t="str">
        <x:v>ART+QA</x:v>
      </x:c>
      <x:c r="I235" s="79" t="str">
        <x:v>Oui, pour les contrats techniques uniquement</x:v>
      </x:c>
      <x:c r="J235" s="79" t="str">
        <x:v>P1</x:v>
      </x:c>
      <x:c r="K235" s="79" t="str">
        <x:v>https://github.com/darknigthmare/yautja-la-longue-chasse/blob/feat/v131-gauntlet-hologram-dual-view-20261030/public/game/assets/v135/gauntlets/dek/01-forearm.svg</x:v>
      </x:c>
      <x:c r="L235" s="79" t="str">
        <x:v>Prototype SVG individuel + alpha PNG</x:v>
      </x:c>
    </x:row>
    <x:row r="236" ht="29" customHeight="1">
      <x:c r="A236" s="79" t="str">
        <x:v>05_Assets</x:v>
      </x:c>
      <x:c r="B236" s="79" t="n">
        <x:v>236</x:v>
      </x:c>
      <x:c r="C236" s="79" t="str">
        <x:v>dek-SHELL-C</x:v>
      </x:c>
      <x:c r="D236" s="79" t="str">
        <x:v>dek</x:v>
      </x:c>
      <x:c r="E236" s="79" t="str">
        <x:v>Coque fermée</x:v>
      </x:c>
      <x:c r="F236" s="79" t="str">
        <x:v>PARTIEL · prototype technique</x:v>
      </x:c>
      <x:c r="G236" s="79" t="str">
        <x:v>Vérifier forme/proportions/cuirasse 1:1 et textures, pas seulement SVG</x:v>
      </x:c>
      <x:c r="H236" s="79" t="str">
        <x:v>ART+QA</x:v>
      </x:c>
      <x:c r="I236" s="79" t="str">
        <x:v>Oui, pour les contrats techniques uniquement</x:v>
      </x:c>
      <x:c r="J236" s="79" t="str">
        <x:v>P1</x:v>
      </x:c>
      <x:c r="K236" s="79" t="str">
        <x:v>https://github.com/darknigthmare/yautja-la-longue-chasse/blob/feat/v131-gauntlet-hologram-dual-view-20261030/public/game/assets/v135/gauntlets/dek/02-shell.svg</x:v>
      </x:c>
      <x:c r="L236" s="79" t="str">
        <x:v>Coque individuelle SVG + PNG, non 1:1</x:v>
      </x:c>
    </x:row>
    <x:row r="237" ht="29" customHeight="1">
      <x:c r="A237" s="79" t="str">
        <x:v>05_Assets</x:v>
      </x:c>
      <x:c r="B237" s="79" t="n">
        <x:v>237</x:v>
      </x:c>
      <x:c r="C237" s="79" t="str">
        <x:v>dek-SHELL-O</x:v>
      </x:c>
      <x:c r="D237" s="79" t="str">
        <x:v>dek</x:v>
      </x:c>
      <x:c r="E237" s="79" t="str">
        <x:v>Coque ouverte</x:v>
      </x:c>
      <x:c r="F237" s="79" t="str">
        <x:v>PARTIEL · prototype technique</x:v>
      </x:c>
      <x:c r="G237" s="79" t="str">
        <x:v>Mesurer pivot/capots sur film et compléter les états ouvrir-fermer-ranger</x:v>
      </x:c>
      <x:c r="H237" s="79" t="str">
        <x:v>ART+QA</x:v>
      </x:c>
      <x:c r="I237" s="79" t="str">
        <x:v>Oui, pour les contrats techniques uniquement</x:v>
      </x:c>
      <x:c r="J237" s="79" t="str">
        <x:v>P1</x:v>
      </x:c>
      <x:c r="K237" s="79" t="str">
        <x:v>https://github.com/darknigthmare/yautja-la-longue-chasse/blob/feat/v131-gauntlet-hologram-dual-view-20261030/public/game/assets/v135/gauntlets/dek/04-cover.svg</x:v>
      </x:c>
      <x:c r="L237" s="79" t="str">
        <x:v>Capot ouvrable en React/CSS, animation partielle</x:v>
      </x:c>
    </x:row>
    <x:row r="238" ht="29" customHeight="1">
      <x:c r="A238" s="79" t="str">
        <x:v>05_Assets</x:v>
      </x:c>
      <x:c r="B238" s="79" t="n">
        <x:v>238</x:v>
      </x:c>
      <x:c r="C238" s="79" t="str">
        <x:v>dek-UI-RED</x:v>
      </x:c>
      <x:c r="D238" s="79" t="str">
        <x:v>dek</x:v>
      </x:c>
      <x:c r="E238" s="79" t="str">
        <x:v>Contrôle / glyphes</x:v>
      </x:c>
      <x:c r="F238" s="79" t="str">
        <x:v>PARTIEL · prototype technique</x:v>
      </x:c>
      <x:c r="G238" s="79" t="str">
        <x:v>Remplacer symboles conceptuels par graphismes source documentés sans inventer du canon</x:v>
      </x:c>
      <x:c r="H238" s="79" t="str">
        <x:v>ART+QA</x:v>
      </x:c>
      <x:c r="I238" s="79" t="str">
        <x:v>Oui, pour les contrats techniques uniquement</x:v>
      </x:c>
      <x:c r="J238" s="79" t="str">
        <x:v>P1</x:v>
      </x:c>
      <x:c r="K238" s="79" t="str">
        <x:v>https://github.com/darknigthmare/yautja-la-longue-chasse/blob/feat/v131-gauntlet-hologram-dual-view-20261030/public/game/assets/v135/gauntlets/dek/03-panel.svg</x:v>
      </x:c>
      <x:c r="L238" s="79" t="str">
        <x:v>Interface distincte en SVG / couleurs non certifiées</x:v>
      </x:c>
    </x:row>
    <x:row r="239" ht="29" customHeight="1">
      <x:c r="A239" s="79" t="str">
        <x:v>05_Assets</x:v>
      </x:c>
      <x:c r="B239" s="79" t="n">
        <x:v>239</x:v>
      </x:c>
      <x:c r="C239" s="79" t="str">
        <x:v>dek-RIBS</x:v>
      </x:c>
      <x:c r="D239" s="79" t="str">
        <x:v>dek</x:v>
      </x:c>
      <x:c r="E239" s="79" t="str">
        <x:v>Ribures et mécanique</x:v>
      </x:c>
      <x:c r="F239" s="79" t="str">
        <x:v>OUVERT · séparation des sous-pièces</x:v>
      </x:c>
      <x:c r="G239" s="79" t="str">
        <x:v>Découper les pièces mécaniques, valider attaches et reliefs individuels</x:v>
      </x:c>
      <x:c r="H239" s="79" t="str">
        <x:v>ART+QA</x:v>
      </x:c>
      <x:c r="I239" s="79" t="str">
        <x:v>Oui, pour les contrats techniques uniquement</x:v>
      </x:c>
      <x:c r="J239" s="79" t="str">
        <x:v>P1</x:v>
      </x:c>
      <x:c r="K239" s="79" t="str">
        <x:v>https://github.com/darknigthmare/yautja-la-longue-chasse/blob/feat/v131-gauntlet-hologram-dual-view-20261030/public/game/assets/v135/gauntlets/dek/02-shell.svg</x:v>
      </x:c>
      <x:c r="L239" s="79" t="str">
        <x:v>Détails de coque présents, sous-pièces non séparées</x:v>
      </x:c>
    </x:row>
    <x:row r="240" ht="29" customHeight="1">
      <x:c r="A240" s="79" t="str">
        <x:v>05_Assets</x:v>
      </x:c>
      <x:c r="B240" s="79" t="n">
        <x:v>240</x:v>
      </x:c>
      <x:c r="C240" s="79" t="str">
        <x:v>dek-BEAM</x:v>
      </x:c>
      <x:c r="D240" s="79" t="str">
        <x:v>dek</x:v>
      </x:c>
      <x:c r="E240" s="79" t="str">
        <x:v>Émetteur holographique</x:v>
      </x:c>
      <x:c r="F240" s="79" t="str">
        <x:v>PARTIEL · prototype technique</x:v>
      </x:c>
      <x:c r="G240" s="79" t="str">
        <x:v>Conserver fonctionnalité HUD et produire la signature holographique de chaque modèle</x:v>
      </x:c>
      <x:c r="H240" s="79" t="str">
        <x:v>ART+QA</x:v>
      </x:c>
      <x:c r="I240" s="79" t="str">
        <x:v>Oui, pour les contrats techniques uniquement</x:v>
      </x:c>
      <x:c r="J240" s="79" t="str">
        <x:v>P1</x:v>
      </x:c>
      <x:c r="K240" s="79" t="str">
        <x:v>https://github.com/darknigthmare/yautja-la-longue-chasse/blob/feat/v131-gauntlet-hologram-dual-view-20261030/app/game/ClanWarGauntletV131.tsx</x:v>
      </x:c>
      <x:c r="L240" s="79" t="str">
        <x:v>Faisceau du projet (JH dédié, autres effet commun)</x:v>
      </x:c>
    </x:row>
    <x:row r="241" ht="29" customHeight="1">
      <x:c r="A241" s="79" t="str">
        <x:v>05_Assets</x:v>
      </x:c>
      <x:c r="B241" s="79" t="n">
        <x:v>241</x:v>
      </x:c>
      <x:c r="C241" s="79" t="str">
        <x:v>dek-MOVE</x:v>
      </x:c>
      <x:c r="D241" s="79" t="str">
        <x:v>dek</x:v>
      </x:c>
      <x:c r="E241" s="79" t="str">
        <x:v>Animations 4 états</x:v>
      </x:c>
      <x:c r="F241" s="79" t="str">
        <x:v>PARTIEL · prototype technique</x:v>
      </x:c>
      <x:c r="G241" s="79" t="str">
        <x:v>Compléter lever, ouvrir, projeter, ranger ; aligner au rig et à la caméra</x:v>
      </x:c>
      <x:c r="H241" s="79" t="str">
        <x:v>ART+QA</x:v>
      </x:c>
      <x:c r="I241" s="79" t="str">
        <x:v>Oui, pour les contrats techniques uniquement</x:v>
      </x:c>
      <x:c r="J241" s="79" t="str">
        <x:v>P1</x:v>
      </x:c>
      <x:c r="K241" s="79" t="str">
        <x:v>https://github.com/darknigthmare/yautja-la-longue-chasse/blob/feat/v131-gauntlet-hologram-dual-view-20261030/public/game/assets/v135/gauntlets/dek/04-cover.svg</x:v>
      </x:c>
      <x:c r="L241" s="79" t="str">
        <x:v>Capot ouvert/fermé ; 3 gestes complets restent à faire</x:v>
      </x:c>
    </x:row>
    <x:row r="242" ht="29" customHeight="1">
      <x:c r="A242" s="79" t="str">
        <x:v>05_Assets</x:v>
      </x:c>
      <x:c r="B242" s="79" t="n">
        <x:v>242</x:v>
      </x:c>
      <x:c r="C242" s="79" t="str">
        <x:v>dek-SFX</x:v>
      </x:c>
      <x:c r="D242" s="79" t="str">
        <x:v>dek</x:v>
      </x:c>
      <x:c r="E242" s="79" t="str">
        <x:v>Identité sonore</x:v>
      </x:c>
      <x:c r="F242" s="79" t="str">
        <x:v>PARTIEL · prototype technique</x:v>
      </x:c>
      <x:c r="G242" s="79" t="str">
        <x:v>Distinguer signatures individualisées, écouter et calibrer mixage/mute</x:v>
      </x:c>
      <x:c r="H242" s="79" t="str">
        <x:v>UI/AUDIO</x:v>
      </x:c>
      <x:c r="I242" s="79" t="str">
        <x:v>Oui, pour les contrats techniques uniquement</x:v>
      </x:c>
      <x:c r="J242" s="79" t="str">
        <x:v>P1</x:v>
      </x:c>
      <x:c r="K242" s="79" t="str">
        <x:v>https://github.com/darknigthmare/yautja-la-longue-chasse/blob/feat/v131-gauntlet-hologram-dual-view-20261030/app/game/sound.ts</x:v>
      </x:c>
      <x:c r="L242" s="79" t="str">
        <x:v>Signature sonore par thème (10 profils), source non cinéma</x:v>
      </x:c>
    </x:row>
    <x:row r="243" ht="29" customHeight="1">
      <x:c r="A243" s="79" t="str">
        <x:v>05_Assets</x:v>
      </x:c>
      <x:c r="B243" s="79" t="n">
        <x:v>243</x:v>
      </x:c>
      <x:c r="C243" s="79" t="str">
        <x:v>dek-HUD</x:v>
      </x:c>
      <x:c r="D243" s="79" t="str">
        <x:v>dek</x:v>
      </x:c>
      <x:c r="E243" s="79" t="str">
        <x:v>Palette / projection</x:v>
      </x:c>
      <x:c r="F243" s="79" t="str">
        <x:v>PARTIEL · prototype technique</x:v>
      </x:c>
      <x:c r="G243" s="79" t="str">
        <x:v>Tester toutes résolutions, contrôles, sous-modes et cohérence d'infos</x:v>
      </x:c>
      <x:c r="H243" s="79" t="str">
        <x:v>UI/AUDIO</x:v>
      </x:c>
      <x:c r="I243" s="79" t="str">
        <x:v>Oui, pour les contrats techniques uniquement</x:v>
      </x:c>
      <x:c r="J243" s="79" t="str">
        <x:v>P1</x:v>
      </x:c>
      <x:c r="K243" s="79" t="str">
        <x:v>https://github.com/darknigthmare/yautja-la-longue-chasse/blob/feat/v131-gauntlet-hologram-dual-view-20261030/app/game/ClanWarGauntletV131.tsx</x:v>
      </x:c>
      <x:c r="L243" s="79" t="str">
        <x:v>HUD connecté / simulation intacte ; QA visuelle restante</x:v>
      </x:c>
    </x:row>
    <x:row r="244" ht="29" customHeight="1">
      <x:c r="A244" s="79" t="str">
        <x:v>05_Assets</x:v>
      </x:c>
      <x:c r="B244" s="79" t="n">
        <x:v>244</x:v>
      </x:c>
      <x:c r="C244" s="79" t="str">
        <x:v>dek-QA</x:v>
      </x:c>
      <x:c r="D244" s="79" t="str">
        <x:v>dek</x:v>
      </x:c>
      <x:c r="E244" s="79" t="str">
        <x:v>Comparaisons + tests</x:v>
      </x:c>
      <x:c r="F244" s="79" t="str">
        <x:v>PARTIEL · prototype technique</x:v>
      </x:c>
      <x:c r="G244" s="79" t="str">
        <x:v>Réaliser contrôles visuels film/rig + E2E jeu, FPS et accessibilité</x:v>
      </x:c>
      <x:c r="H244" s="79" t="str">
        <x:v>ART+QA</x:v>
      </x:c>
      <x:c r="I244" s="79" t="str">
        <x:v>Oui, pour les contrats techniques uniquement</x:v>
      </x:c>
      <x:c r="J244" s="79" t="str">
        <x:v>P1</x:v>
      </x:c>
      <x:c r="K244" s="79" t="str">
        <x:v>https://github.com/darknigthmare/yautja-la-longue-chasse/blob/feat/v131-gauntlet-hologram-dual-view-20261030/tests/gauntlet-archive-studies-v136.test.mjs</x:v>
      </x:c>
      <x:c r="L244" s="79" t="str">
        <x:v>Tests CI source / alpha / type / navigateur autonome ; 1:1 restant</x:v>
      </x:c>
    </x:row>
    <x:row r="245" ht="29" customHeight="1">
      <x:c r="A245" s="79" t="str">
        <x:v>05_Assets</x:v>
      </x:c>
      <x:c r="B245" s="79" t="n">
        <x:v>245</x:v>
      </x:c>
      <x:c r="C245" s="79" t="str">
        <x:v>kwei-ARM-L</x:v>
      </x:c>
      <x:c r="D245" s="79" t="str">
        <x:v>kwei</x:v>
      </x:c>
      <x:c r="E245" s="79" t="str">
        <x:v>Bras gauche / poignet</x:v>
      </x:c>
      <x:c r="F245" s="79" t="str">
        <x:v>PARTIEL · prototype technique</x:v>
      </x:c>
      <x:c r="G245" s="79" t="str">
        <x:v>Comparer bras et poignet à plusieurs plans canoniques ; adapter au rig dans toutes poses</x:v>
      </x:c>
      <x:c r="H245" s="79" t="str">
        <x:v>ART+QA</x:v>
      </x:c>
      <x:c r="I245" s="79" t="str">
        <x:v>Oui, pour les contrats techniques uniquement</x:v>
      </x:c>
      <x:c r="J245" s="79" t="str">
        <x:v>P2</x:v>
      </x:c>
      <x:c r="K245" s="79" t="str">
        <x:v>https://github.com/darknigthmare/yautja-la-longue-chasse/blob/feat/v131-gauntlet-hologram-dual-view-20261030/public/game/assets/v136/gauntlets/kwei/01-arm.svg</x:v>
      </x:c>
      <x:c r="L245" s="79" t="str">
        <x:v>Prototype SVG individuel + alpha PNG</x:v>
      </x:c>
    </x:row>
    <x:row r="246" ht="29" customHeight="1">
      <x:c r="A246" s="79" t="str">
        <x:v>05_Assets</x:v>
      </x:c>
      <x:c r="B246" s="79" t="n">
        <x:v>246</x:v>
      </x:c>
      <x:c r="C246" s="79" t="str">
        <x:v>kwei-SHELL-C</x:v>
      </x:c>
      <x:c r="D246" s="79" t="str">
        <x:v>kwei</x:v>
      </x:c>
      <x:c r="E246" s="79" t="str">
        <x:v>Coque fermée</x:v>
      </x:c>
      <x:c r="F246" s="79" t="str">
        <x:v>PARTIEL · prototype technique</x:v>
      </x:c>
      <x:c r="G246" s="79" t="str">
        <x:v>Vérifier forme/proportions/cuirasse 1:1 et textures, pas seulement SVG</x:v>
      </x:c>
      <x:c r="H246" s="79" t="str">
        <x:v>ART+QA</x:v>
      </x:c>
      <x:c r="I246" s="79" t="str">
        <x:v>Oui, pour les contrats techniques uniquement</x:v>
      </x:c>
      <x:c r="J246" s="79" t="str">
        <x:v>P2</x:v>
      </x:c>
      <x:c r="K246" s="79" t="str">
        <x:v>https://github.com/darknigthmare/yautja-la-longue-chasse/blob/feat/v131-gauntlet-hologram-dual-view-20261030/public/game/assets/v136/gauntlets/kwei/02-shell.svg</x:v>
      </x:c>
      <x:c r="L246" s="79" t="str">
        <x:v>Coque individuelle SVG + PNG, non 1:1</x:v>
      </x:c>
    </x:row>
    <x:row r="247" ht="29" customHeight="1">
      <x:c r="A247" s="79" t="str">
        <x:v>05_Assets</x:v>
      </x:c>
      <x:c r="B247" s="79" t="n">
        <x:v>247</x:v>
      </x:c>
      <x:c r="C247" s="79" t="str">
        <x:v>kwei-SHELL-O</x:v>
      </x:c>
      <x:c r="D247" s="79" t="str">
        <x:v>kwei</x:v>
      </x:c>
      <x:c r="E247" s="79" t="str">
        <x:v>Coque ouverte</x:v>
      </x:c>
      <x:c r="F247" s="79" t="str">
        <x:v>PARTIEL · prototype technique</x:v>
      </x:c>
      <x:c r="G247" s="79" t="str">
        <x:v>Mesurer pivot/capots sur film et compléter les états ouvrir-fermer-ranger</x:v>
      </x:c>
      <x:c r="H247" s="79" t="str">
        <x:v>ART+QA</x:v>
      </x:c>
      <x:c r="I247" s="79" t="str">
        <x:v>Oui, pour les contrats techniques uniquement</x:v>
      </x:c>
      <x:c r="J247" s="79" t="str">
        <x:v>P2</x:v>
      </x:c>
      <x:c r="K247" s="79" t="str">
        <x:v>https://github.com/darknigthmare/yautja-la-longue-chasse/blob/feat/v131-gauntlet-hologram-dual-view-20261030/public/game/assets/v136/gauntlets/kwei/04-lid.svg</x:v>
      </x:c>
      <x:c r="L247" s="79" t="str">
        <x:v>Capot ouvrable en React/CSS, animation partielle</x:v>
      </x:c>
    </x:row>
    <x:row r="248" ht="29" customHeight="1">
      <x:c r="A248" s="79" t="str">
        <x:v>05_Assets</x:v>
      </x:c>
      <x:c r="B248" s="79" t="n">
        <x:v>248</x:v>
      </x:c>
      <x:c r="C248" s="79" t="str">
        <x:v>kwei-UI-RED</x:v>
      </x:c>
      <x:c r="D248" s="79" t="str">
        <x:v>kwei</x:v>
      </x:c>
      <x:c r="E248" s="79" t="str">
        <x:v>Contrôle / glyphes</x:v>
      </x:c>
      <x:c r="F248" s="79" t="str">
        <x:v>PARTIEL · prototype technique</x:v>
      </x:c>
      <x:c r="G248" s="79" t="str">
        <x:v>Remplacer symboles conceptuels par graphismes source documentés sans inventer du canon</x:v>
      </x:c>
      <x:c r="H248" s="79" t="str">
        <x:v>ART+QA</x:v>
      </x:c>
      <x:c r="I248" s="79" t="str">
        <x:v>Oui, pour les contrats techniques uniquement</x:v>
      </x:c>
      <x:c r="J248" s="79" t="str">
        <x:v>P2</x:v>
      </x:c>
      <x:c r="K248" s="79" t="str">
        <x:v>https://github.com/darknigthmare/yautja-la-longue-chasse/blob/feat/v131-gauntlet-hologram-dual-view-20261030/public/game/assets/v136/gauntlets/kwei/03-interface.svg</x:v>
      </x:c>
      <x:c r="L248" s="79" t="str">
        <x:v>Interface distincte en SVG / couleurs non certifiées</x:v>
      </x:c>
    </x:row>
    <x:row r="249" ht="29" customHeight="1">
      <x:c r="A249" s="79" t="str">
        <x:v>05_Assets</x:v>
      </x:c>
      <x:c r="B249" s="79" t="n">
        <x:v>249</x:v>
      </x:c>
      <x:c r="C249" s="79" t="str">
        <x:v>kwei-RIBS</x:v>
      </x:c>
      <x:c r="D249" s="79" t="str">
        <x:v>kwei</x:v>
      </x:c>
      <x:c r="E249" s="79" t="str">
        <x:v>Ribures et mécanique</x:v>
      </x:c>
      <x:c r="F249" s="79" t="str">
        <x:v>OUVERT · séparation des sous-pièces</x:v>
      </x:c>
      <x:c r="G249" s="79" t="str">
        <x:v>Découper les pièces mécaniques, valider attaches et reliefs individuels</x:v>
      </x:c>
      <x:c r="H249" s="79" t="str">
        <x:v>ART+QA</x:v>
      </x:c>
      <x:c r="I249" s="79" t="str">
        <x:v>Oui, pour les contrats techniques uniquement</x:v>
      </x:c>
      <x:c r="J249" s="79" t="str">
        <x:v>P2</x:v>
      </x:c>
      <x:c r="K249" s="79" t="str">
        <x:v>https://github.com/darknigthmare/yautja-la-longue-chasse/blob/feat/v131-gauntlet-hologram-dual-view-20261030/public/game/assets/v136/gauntlets/kwei/02-shell.svg</x:v>
      </x:c>
      <x:c r="L249" s="79" t="str">
        <x:v>Détails de coque présents, sous-pièces non séparées</x:v>
      </x:c>
    </x:row>
    <x:row r="250" ht="29" customHeight="1">
      <x:c r="A250" s="79" t="str">
        <x:v>05_Assets</x:v>
      </x:c>
      <x:c r="B250" s="79" t="n">
        <x:v>250</x:v>
      </x:c>
      <x:c r="C250" s="79" t="str">
        <x:v>kwei-BEAM</x:v>
      </x:c>
      <x:c r="D250" s="79" t="str">
        <x:v>kwei</x:v>
      </x:c>
      <x:c r="E250" s="79" t="str">
        <x:v>Émetteur holographique</x:v>
      </x:c>
      <x:c r="F250" s="79" t="str">
        <x:v>PARTIEL · prototype technique</x:v>
      </x:c>
      <x:c r="G250" s="79" t="str">
        <x:v>Conserver fonctionnalité HUD et produire la signature holographique de chaque modèle</x:v>
      </x:c>
      <x:c r="H250" s="79" t="str">
        <x:v>ART+QA</x:v>
      </x:c>
      <x:c r="I250" s="79" t="str">
        <x:v>Oui, pour les contrats techniques uniquement</x:v>
      </x:c>
      <x:c r="J250" s="79" t="str">
        <x:v>P2</x:v>
      </x:c>
      <x:c r="K250" s="79" t="str">
        <x:v>https://github.com/darknigthmare/yautja-la-longue-chasse/blob/feat/v131-gauntlet-hologram-dual-view-20261030/app/game/ClanWarGauntletV131.tsx</x:v>
      </x:c>
      <x:c r="L250" s="79" t="str">
        <x:v>Faisceau du projet (JH dédié, autres effet commun)</x:v>
      </x:c>
    </x:row>
    <x:row r="251" ht="29" customHeight="1">
      <x:c r="A251" s="79" t="str">
        <x:v>05_Assets</x:v>
      </x:c>
      <x:c r="B251" s="79" t="n">
        <x:v>251</x:v>
      </x:c>
      <x:c r="C251" s="79" t="str">
        <x:v>kwei-MOVE</x:v>
      </x:c>
      <x:c r="D251" s="79" t="str">
        <x:v>kwei</x:v>
      </x:c>
      <x:c r="E251" s="79" t="str">
        <x:v>Animations 4 états</x:v>
      </x:c>
      <x:c r="F251" s="79" t="str">
        <x:v>PARTIEL · prototype technique</x:v>
      </x:c>
      <x:c r="G251" s="79" t="str">
        <x:v>Compléter lever, ouvrir, projeter, ranger ; aligner au rig et à la caméra</x:v>
      </x:c>
      <x:c r="H251" s="79" t="str">
        <x:v>ART+QA</x:v>
      </x:c>
      <x:c r="I251" s="79" t="str">
        <x:v>Oui, pour les contrats techniques uniquement</x:v>
      </x:c>
      <x:c r="J251" s="79" t="str">
        <x:v>P2</x:v>
      </x:c>
      <x:c r="K251" s="79" t="str">
        <x:v>https://github.com/darknigthmare/yautja-la-longue-chasse/blob/feat/v131-gauntlet-hologram-dual-view-20261030/public/game/assets/v136/gauntlets/kwei/04-lid.svg</x:v>
      </x:c>
      <x:c r="L251" s="79" t="str">
        <x:v>Capot ouvert/fermé ; 3 gestes complets restent à faire</x:v>
      </x:c>
    </x:row>
    <x:row r="252" ht="29" customHeight="1">
      <x:c r="A252" s="79" t="str">
        <x:v>05_Assets</x:v>
      </x:c>
      <x:c r="B252" s="79" t="n">
        <x:v>252</x:v>
      </x:c>
      <x:c r="C252" s="79" t="str">
        <x:v>kwei-SFX</x:v>
      </x:c>
      <x:c r="D252" s="79" t="str">
        <x:v>kwei</x:v>
      </x:c>
      <x:c r="E252" s="79" t="str">
        <x:v>Identité sonore</x:v>
      </x:c>
      <x:c r="F252" s="79" t="str">
        <x:v>PARTIEL · prototype technique</x:v>
      </x:c>
      <x:c r="G252" s="79" t="str">
        <x:v>Distinguer signatures individualisées, écouter et calibrer mixage/mute</x:v>
      </x:c>
      <x:c r="H252" s="79" t="str">
        <x:v>UI/AUDIO</x:v>
      </x:c>
      <x:c r="I252" s="79" t="str">
        <x:v>Oui, pour les contrats techniques uniquement</x:v>
      </x:c>
      <x:c r="J252" s="79" t="str">
        <x:v>P2</x:v>
      </x:c>
      <x:c r="K252" s="79" t="str">
        <x:v>https://github.com/darknigthmare/yautja-la-longue-chasse/blob/feat/v131-gauntlet-hologram-dual-view-20261030/app/game/sound.ts</x:v>
      </x:c>
      <x:c r="L252" s="79" t="str">
        <x:v>Signature sonore par thème (10 profils), source non cinéma</x:v>
      </x:c>
    </x:row>
    <x:row r="253" ht="29" customHeight="1">
      <x:c r="A253" s="79" t="str">
        <x:v>05_Assets</x:v>
      </x:c>
      <x:c r="B253" s="79" t="n">
        <x:v>253</x:v>
      </x:c>
      <x:c r="C253" s="79" t="str">
        <x:v>kwei-HUD</x:v>
      </x:c>
      <x:c r="D253" s="79" t="str">
        <x:v>kwei</x:v>
      </x:c>
      <x:c r="E253" s="79" t="str">
        <x:v>Palette / projection</x:v>
      </x:c>
      <x:c r="F253" s="79" t="str">
        <x:v>PARTIEL · prototype technique</x:v>
      </x:c>
      <x:c r="G253" s="79" t="str">
        <x:v>Tester toutes résolutions, contrôles, sous-modes et cohérence d'infos</x:v>
      </x:c>
      <x:c r="H253" s="79" t="str">
        <x:v>UI/AUDIO</x:v>
      </x:c>
      <x:c r="I253" s="79" t="str">
        <x:v>Oui, pour les contrats techniques uniquement</x:v>
      </x:c>
      <x:c r="J253" s="79" t="str">
        <x:v>P2</x:v>
      </x:c>
      <x:c r="K253" s="79" t="str">
        <x:v>https://github.com/darknigthmare/yautja-la-longue-chasse/blob/feat/v131-gauntlet-hologram-dual-view-20261030/app/game/ClanWarGauntletV131.tsx</x:v>
      </x:c>
      <x:c r="L253" s="79" t="str">
        <x:v>HUD connecté / simulation intacte ; QA visuelle restante</x:v>
      </x:c>
    </x:row>
    <x:row r="254" ht="29" customHeight="1">
      <x:c r="A254" s="79" t="str">
        <x:v>05_Assets</x:v>
      </x:c>
      <x:c r="B254" s="79" t="n">
        <x:v>254</x:v>
      </x:c>
      <x:c r="C254" s="79" t="str">
        <x:v>kwei-QA</x:v>
      </x:c>
      <x:c r="D254" s="79" t="str">
        <x:v>kwei</x:v>
      </x:c>
      <x:c r="E254" s="79" t="str">
        <x:v>Comparaisons + tests</x:v>
      </x:c>
      <x:c r="F254" s="79" t="str">
        <x:v>PARTIEL · prototype technique</x:v>
      </x:c>
      <x:c r="G254" s="79" t="str">
        <x:v>Réaliser contrôles visuels film/rig + E2E jeu, FPS et accessibilité</x:v>
      </x:c>
      <x:c r="H254" s="79" t="str">
        <x:v>ART+QA</x:v>
      </x:c>
      <x:c r="I254" s="79" t="str">
        <x:v>Oui, pour les contrats techniques uniquement</x:v>
      </x:c>
      <x:c r="J254" s="79" t="str">
        <x:v>P2</x:v>
      </x:c>
      <x:c r="K254" s="79" t="str">
        <x:v>https://github.com/darknigthmare/yautja-la-longue-chasse/blob/feat/v131-gauntlet-hologram-dual-view-20261030/tests/gauntlet-archive-studies-v136.test.mjs</x:v>
      </x:c>
      <x:c r="L254" s="79" t="str">
        <x:v>Tests CI source / alpha / type / navigateur autonome ; 1:1 restant</x:v>
      </x:c>
    </x:row>
    <x:row r="255" ht="29" customHeight="1">
      <x:c r="A255" s="79" t="str">
        <x:v>05_Assets</x:v>
      </x:c>
      <x:c r="B255" s="79" t="n">
        <x:v>255</x:v>
      </x:c>
      <x:c r="C255" s="79" t="str">
        <x:v>njohrr-ARM-L</x:v>
      </x:c>
      <x:c r="D255" s="79" t="str">
        <x:v>njohrr</x:v>
      </x:c>
      <x:c r="E255" s="79" t="str">
        <x:v>Bras gauche / poignet</x:v>
      </x:c>
      <x:c r="F255" s="79" t="str">
        <x:v>PARTIEL · prototype technique</x:v>
      </x:c>
      <x:c r="G255" s="79" t="str">
        <x:v>Comparer bras et poignet à plusieurs plans canoniques ; adapter au rig dans toutes poses</x:v>
      </x:c>
      <x:c r="H255" s="79" t="str">
        <x:v>ART+QA</x:v>
      </x:c>
      <x:c r="I255" s="79" t="str">
        <x:v>Oui, pour les contrats techniques uniquement</x:v>
      </x:c>
      <x:c r="J255" s="79" t="str">
        <x:v>P2</x:v>
      </x:c>
      <x:c r="K255" s="79" t="str">
        <x:v>https://github.com/darknigthmare/yautja-la-longue-chasse/blob/feat/v131-gauntlet-hologram-dual-view-20261030/public/game/assets/v136/gauntlets/njohrr/01-arm.svg</x:v>
      </x:c>
      <x:c r="L255" s="79" t="str">
        <x:v>Prototype SVG individuel + alpha PNG</x:v>
      </x:c>
    </x:row>
    <x:row r="256" ht="29" customHeight="1">
      <x:c r="A256" s="79" t="str">
        <x:v>05_Assets</x:v>
      </x:c>
      <x:c r="B256" s="79" t="n">
        <x:v>256</x:v>
      </x:c>
      <x:c r="C256" s="79" t="str">
        <x:v>njohrr-SHELL-C</x:v>
      </x:c>
      <x:c r="D256" s="79" t="str">
        <x:v>njohrr</x:v>
      </x:c>
      <x:c r="E256" s="79" t="str">
        <x:v>Coque fermée</x:v>
      </x:c>
      <x:c r="F256" s="79" t="str">
        <x:v>PARTIEL · prototype technique</x:v>
      </x:c>
      <x:c r="G256" s="79" t="str">
        <x:v>Vérifier forme/proportions/cuirasse 1:1 et textures, pas seulement SVG</x:v>
      </x:c>
      <x:c r="H256" s="79" t="str">
        <x:v>ART+QA</x:v>
      </x:c>
      <x:c r="I256" s="79" t="str">
        <x:v>Oui, pour les contrats techniques uniquement</x:v>
      </x:c>
      <x:c r="J256" s="79" t="str">
        <x:v>P2</x:v>
      </x:c>
      <x:c r="K256" s="79" t="str">
        <x:v>https://github.com/darknigthmare/yautja-la-longue-chasse/blob/feat/v131-gauntlet-hologram-dual-view-20261030/public/game/assets/v136/gauntlets/njohrr/02-shell.svg</x:v>
      </x:c>
      <x:c r="L256" s="79" t="str">
        <x:v>Coque individuelle SVG + PNG, non 1:1</x:v>
      </x:c>
    </x:row>
    <x:row r="257" ht="29" customHeight="1">
      <x:c r="A257" s="79" t="str">
        <x:v>05_Assets</x:v>
      </x:c>
      <x:c r="B257" s="79" t="n">
        <x:v>257</x:v>
      </x:c>
      <x:c r="C257" s="79" t="str">
        <x:v>njohrr-SHELL-O</x:v>
      </x:c>
      <x:c r="D257" s="79" t="str">
        <x:v>njohrr</x:v>
      </x:c>
      <x:c r="E257" s="79" t="str">
        <x:v>Coque ouverte</x:v>
      </x:c>
      <x:c r="F257" s="79" t="str">
        <x:v>PARTIEL · prototype technique</x:v>
      </x:c>
      <x:c r="G257" s="79" t="str">
        <x:v>Mesurer pivot/capots sur film et compléter les états ouvrir-fermer-ranger</x:v>
      </x:c>
      <x:c r="H257" s="79" t="str">
        <x:v>ART+QA</x:v>
      </x:c>
      <x:c r="I257" s="79" t="str">
        <x:v>Oui, pour les contrats techniques uniquement</x:v>
      </x:c>
      <x:c r="J257" s="79" t="str">
        <x:v>P2</x:v>
      </x:c>
      <x:c r="K257" s="79" t="str">
        <x:v>https://github.com/darknigthmare/yautja-la-longue-chasse/blob/feat/v131-gauntlet-hologram-dual-view-20261030/public/game/assets/v136/gauntlets/njohrr/04-lid.svg</x:v>
      </x:c>
      <x:c r="L257" s="79" t="str">
        <x:v>Capot ouvrable en React/CSS, animation partielle</x:v>
      </x:c>
    </x:row>
    <x:row r="258" ht="29" customHeight="1">
      <x:c r="A258" s="79" t="str">
        <x:v>05_Assets</x:v>
      </x:c>
      <x:c r="B258" s="79" t="n">
        <x:v>258</x:v>
      </x:c>
      <x:c r="C258" s="79" t="str">
        <x:v>njohrr-UI-RED</x:v>
      </x:c>
      <x:c r="D258" s="79" t="str">
        <x:v>njohrr</x:v>
      </x:c>
      <x:c r="E258" s="79" t="str">
        <x:v>Contrôle / glyphes</x:v>
      </x:c>
      <x:c r="F258" s="79" t="str">
        <x:v>PARTIEL · prototype technique</x:v>
      </x:c>
      <x:c r="G258" s="79" t="str">
        <x:v>Remplacer symboles conceptuels par graphismes source documentés sans inventer du canon</x:v>
      </x:c>
      <x:c r="H258" s="79" t="str">
        <x:v>ART+QA</x:v>
      </x:c>
      <x:c r="I258" s="79" t="str">
        <x:v>Oui, pour les contrats techniques uniquement</x:v>
      </x:c>
      <x:c r="J258" s="79" t="str">
        <x:v>P2</x:v>
      </x:c>
      <x:c r="K258" s="79" t="str">
        <x:v>https://github.com/darknigthmare/yautja-la-longue-chasse/blob/feat/v131-gauntlet-hologram-dual-view-20261030/public/game/assets/v136/gauntlets/njohrr/03-interface.svg</x:v>
      </x:c>
      <x:c r="L258" s="79" t="str">
        <x:v>Interface distincte en SVG / couleurs non certifiées</x:v>
      </x:c>
    </x:row>
    <x:row r="259" ht="29" customHeight="1">
      <x:c r="A259" s="79" t="str">
        <x:v>05_Assets</x:v>
      </x:c>
      <x:c r="B259" s="79" t="n">
        <x:v>259</x:v>
      </x:c>
      <x:c r="C259" s="79" t="str">
        <x:v>njohrr-RIBS</x:v>
      </x:c>
      <x:c r="D259" s="79" t="str">
        <x:v>njohrr</x:v>
      </x:c>
      <x:c r="E259" s="79" t="str">
        <x:v>Ribures et mécanique</x:v>
      </x:c>
      <x:c r="F259" s="79" t="str">
        <x:v>OUVERT · séparation des sous-pièces</x:v>
      </x:c>
      <x:c r="G259" s="79" t="str">
        <x:v>Découper les pièces mécaniques, valider attaches et reliefs individuels</x:v>
      </x:c>
      <x:c r="H259" s="79" t="str">
        <x:v>ART+QA</x:v>
      </x:c>
      <x:c r="I259" s="79" t="str">
        <x:v>Oui, pour les contrats techniques uniquement</x:v>
      </x:c>
      <x:c r="J259" s="79" t="str">
        <x:v>P2</x:v>
      </x:c>
      <x:c r="K259" s="79" t="str">
        <x:v>https://github.com/darknigthmare/yautja-la-longue-chasse/blob/feat/v131-gauntlet-hologram-dual-view-20261030/public/game/assets/v136/gauntlets/njohrr/02-shell.svg</x:v>
      </x:c>
      <x:c r="L259" s="79" t="str">
        <x:v>Détails de coque présents, sous-pièces non séparées</x:v>
      </x:c>
    </x:row>
    <x:row r="260" ht="29" customHeight="1">
      <x:c r="A260" s="79" t="str">
        <x:v>05_Assets</x:v>
      </x:c>
      <x:c r="B260" s="79" t="n">
        <x:v>260</x:v>
      </x:c>
      <x:c r="C260" s="79" t="str">
        <x:v>njohrr-BEAM</x:v>
      </x:c>
      <x:c r="D260" s="79" t="str">
        <x:v>njohrr</x:v>
      </x:c>
      <x:c r="E260" s="79" t="str">
        <x:v>Émetteur holographique</x:v>
      </x:c>
      <x:c r="F260" s="79" t="str">
        <x:v>PARTIEL · prototype technique</x:v>
      </x:c>
      <x:c r="G260" s="79" t="str">
        <x:v>Conserver fonctionnalité HUD et produire la signature holographique de chaque modèle</x:v>
      </x:c>
      <x:c r="H260" s="79" t="str">
        <x:v>ART+QA</x:v>
      </x:c>
      <x:c r="I260" s="79" t="str">
        <x:v>Oui, pour les contrats techniques uniquement</x:v>
      </x:c>
      <x:c r="J260" s="79" t="str">
        <x:v>P2</x:v>
      </x:c>
      <x:c r="K260" s="79" t="str">
        <x:v>https://github.com/darknigthmare/yautja-la-longue-chasse/blob/feat/v131-gauntlet-hologram-dual-view-20261030/app/game/ClanWarGauntletV131.tsx</x:v>
      </x:c>
      <x:c r="L260" s="79" t="str">
        <x:v>Faisceau du projet (JH dédié, autres effet commun)</x:v>
      </x:c>
    </x:row>
    <x:row r="261" ht="29" customHeight="1">
      <x:c r="A261" s="79" t="str">
        <x:v>05_Assets</x:v>
      </x:c>
      <x:c r="B261" s="79" t="n">
        <x:v>261</x:v>
      </x:c>
      <x:c r="C261" s="79" t="str">
        <x:v>njohrr-MOVE</x:v>
      </x:c>
      <x:c r="D261" s="79" t="str">
        <x:v>njohrr</x:v>
      </x:c>
      <x:c r="E261" s="79" t="str">
        <x:v>Animations 4 états</x:v>
      </x:c>
      <x:c r="F261" s="79" t="str">
        <x:v>PARTIEL · prototype technique</x:v>
      </x:c>
      <x:c r="G261" s="79" t="str">
        <x:v>Compléter lever, ouvrir, projeter, ranger ; aligner au rig et à la caméra</x:v>
      </x:c>
      <x:c r="H261" s="79" t="str">
        <x:v>ART+QA</x:v>
      </x:c>
      <x:c r="I261" s="79" t="str">
        <x:v>Oui, pour les contrats techniques uniquement</x:v>
      </x:c>
      <x:c r="J261" s="79" t="str">
        <x:v>P2</x:v>
      </x:c>
      <x:c r="K261" s="79" t="str">
        <x:v>https://github.com/darknigthmare/yautja-la-longue-chasse/blob/feat/v131-gauntlet-hologram-dual-view-20261030/public/game/assets/v136/gauntlets/njohrr/04-lid.svg</x:v>
      </x:c>
      <x:c r="L261" s="79" t="str">
        <x:v>Capot ouvert/fermé ; 3 gestes complets restent à faire</x:v>
      </x:c>
    </x:row>
    <x:row r="262" ht="29" customHeight="1">
      <x:c r="A262" s="79" t="str">
        <x:v>05_Assets</x:v>
      </x:c>
      <x:c r="B262" s="79" t="n">
        <x:v>262</x:v>
      </x:c>
      <x:c r="C262" s="79" t="str">
        <x:v>njohrr-SFX</x:v>
      </x:c>
      <x:c r="D262" s="79" t="str">
        <x:v>njohrr</x:v>
      </x:c>
      <x:c r="E262" s="79" t="str">
        <x:v>Identité sonore</x:v>
      </x:c>
      <x:c r="F262" s="79" t="str">
        <x:v>PARTIEL · prototype technique</x:v>
      </x:c>
      <x:c r="G262" s="79" t="str">
        <x:v>Distinguer signatures individualisées, écouter et calibrer mixage/mute</x:v>
      </x:c>
      <x:c r="H262" s="79" t="str">
        <x:v>UI/AUDIO</x:v>
      </x:c>
      <x:c r="I262" s="79" t="str">
        <x:v>Oui, pour les contrats techniques uniquement</x:v>
      </x:c>
      <x:c r="J262" s="79" t="str">
        <x:v>P2</x:v>
      </x:c>
      <x:c r="K262" s="79" t="str">
        <x:v>https://github.com/darknigthmare/yautja-la-longue-chasse/blob/feat/v131-gauntlet-hologram-dual-view-20261030/app/game/sound.ts</x:v>
      </x:c>
      <x:c r="L262" s="79" t="str">
        <x:v>Signature sonore par thème (10 profils), source non cinéma</x:v>
      </x:c>
    </x:row>
    <x:row r="263" ht="29" customHeight="1">
      <x:c r="A263" s="79" t="str">
        <x:v>05_Assets</x:v>
      </x:c>
      <x:c r="B263" s="79" t="n">
        <x:v>263</x:v>
      </x:c>
      <x:c r="C263" s="79" t="str">
        <x:v>njohrr-HUD</x:v>
      </x:c>
      <x:c r="D263" s="79" t="str">
        <x:v>njohrr</x:v>
      </x:c>
      <x:c r="E263" s="79" t="str">
        <x:v>Palette / projection</x:v>
      </x:c>
      <x:c r="F263" s="79" t="str">
        <x:v>PARTIEL · prototype technique</x:v>
      </x:c>
      <x:c r="G263" s="79" t="str">
        <x:v>Tester toutes résolutions, contrôles, sous-modes et cohérence d'infos</x:v>
      </x:c>
      <x:c r="H263" s="79" t="str">
        <x:v>UI/AUDIO</x:v>
      </x:c>
      <x:c r="I263" s="79" t="str">
        <x:v>Oui, pour les contrats techniques uniquement</x:v>
      </x:c>
      <x:c r="J263" s="79" t="str">
        <x:v>P2</x:v>
      </x:c>
      <x:c r="K263" s="79" t="str">
        <x:v>https://github.com/darknigthmare/yautja-la-longue-chasse/blob/feat/v131-gauntlet-hologram-dual-view-20261030/app/game/ClanWarGauntletV131.tsx</x:v>
      </x:c>
      <x:c r="L263" s="79" t="str">
        <x:v>HUD connecté / simulation intacte ; QA visuelle restante</x:v>
      </x:c>
    </x:row>
    <x:row r="264" ht="29" customHeight="1">
      <x:c r="A264" s="79" t="str">
        <x:v>05_Assets</x:v>
      </x:c>
      <x:c r="B264" s="79" t="n">
        <x:v>264</x:v>
      </x:c>
      <x:c r="C264" s="79" t="str">
        <x:v>njohrr-QA</x:v>
      </x:c>
      <x:c r="D264" s="79" t="str">
        <x:v>njohrr</x:v>
      </x:c>
      <x:c r="E264" s="79" t="str">
        <x:v>Comparaisons + tests</x:v>
      </x:c>
      <x:c r="F264" s="79" t="str">
        <x:v>PARTIEL · prototype technique</x:v>
      </x:c>
      <x:c r="G264" s="79" t="str">
        <x:v>Réaliser contrôles visuels film/rig + E2E jeu, FPS et accessibilité</x:v>
      </x:c>
      <x:c r="H264" s="79" t="str">
        <x:v>ART+QA</x:v>
      </x:c>
      <x:c r="I264" s="79" t="str">
        <x:v>Oui, pour les contrats techniques uniquement</x:v>
      </x:c>
      <x:c r="J264" s="79" t="str">
        <x:v>P2</x:v>
      </x:c>
      <x:c r="K264" s="79" t="str">
        <x:v>https://github.com/darknigthmare/yautja-la-longue-chasse/blob/feat/v131-gauntlet-hologram-dual-view-20261030/tests/gauntlet-archive-studies-v136.test.mjs</x:v>
      </x:c>
      <x:c r="L264" s="79" t="str">
        <x:v>Tests CI source / alpha / type / navigateur autonome ; 1:1 restant</x:v>
      </x:c>
    </x:row>
    <x:row r="265" ht="29" customHeight="1">
      <x:c r="A265" s="79" t="str">
        <x:v>05_Assets</x:v>
      </x:c>
      <x:c r="B265" s="79" t="n">
        <x:v>265</x:v>
      </x:c>
      <x:c r="C265" s="79" t="str">
        <x:v>kok-viking-ARM-L</x:v>
      </x:c>
      <x:c r="D265" s="79" t="str">
        <x:v>kok-viking</x:v>
      </x:c>
      <x:c r="E265" s="79" t="str">
        <x:v>Bras gauche / poignet</x:v>
      </x:c>
      <x:c r="F265" s="79" t="str">
        <x:v>PARTIEL · prototype technique</x:v>
      </x:c>
      <x:c r="G265" s="79" t="str">
        <x:v>Comparer bras et poignet à plusieurs plans canoniques ; adapter au rig dans toutes poses</x:v>
      </x:c>
      <x:c r="H265" s="79" t="str">
        <x:v>ART+QA</x:v>
      </x:c>
      <x:c r="I265" s="79" t="str">
        <x:v>Oui, pour les contrats techniques uniquement</x:v>
      </x:c>
      <x:c r="J265" s="79" t="str">
        <x:v>P2</x:v>
      </x:c>
      <x:c r="K265" s="79" t="str">
        <x:v>https://github.com/darknigthmare/yautja-la-longue-chasse/blob/feat/v131-gauntlet-hologram-dual-view-20261030/public/game/assets/v136/gauntlets/kok-viking/01-arm.svg</x:v>
      </x:c>
      <x:c r="L265" s="79" t="str">
        <x:v>Prototype SVG individuel + alpha PNG</x:v>
      </x:c>
    </x:row>
    <x:row r="266" ht="29" customHeight="1">
      <x:c r="A266" s="79" t="str">
        <x:v>05_Assets</x:v>
      </x:c>
      <x:c r="B266" s="79" t="n">
        <x:v>266</x:v>
      </x:c>
      <x:c r="C266" s="79" t="str">
        <x:v>kok-viking-SHELL-C</x:v>
      </x:c>
      <x:c r="D266" s="79" t="str">
        <x:v>kok-viking</x:v>
      </x:c>
      <x:c r="E266" s="79" t="str">
        <x:v>Coque fermée</x:v>
      </x:c>
      <x:c r="F266" s="79" t="str">
        <x:v>PARTIEL · prototype technique</x:v>
      </x:c>
      <x:c r="G266" s="79" t="str">
        <x:v>Vérifier forme/proportions/cuirasse 1:1 et textures, pas seulement SVG</x:v>
      </x:c>
      <x:c r="H266" s="79" t="str">
        <x:v>ART+QA</x:v>
      </x:c>
      <x:c r="I266" s="79" t="str">
        <x:v>Oui, pour les contrats techniques uniquement</x:v>
      </x:c>
      <x:c r="J266" s="79" t="str">
        <x:v>P2</x:v>
      </x:c>
      <x:c r="K266" s="79" t="str">
        <x:v>https://github.com/darknigthmare/yautja-la-longue-chasse/blob/feat/v131-gauntlet-hologram-dual-view-20261030/public/game/assets/v136/gauntlets/kok-viking/02-shell.svg</x:v>
      </x:c>
      <x:c r="L266" s="79" t="str">
        <x:v>Coque individuelle SVG + PNG, non 1:1</x:v>
      </x:c>
    </x:row>
    <x:row r="267" ht="29" customHeight="1">
      <x:c r="A267" s="79" t="str">
        <x:v>05_Assets</x:v>
      </x:c>
      <x:c r="B267" s="79" t="n">
        <x:v>267</x:v>
      </x:c>
      <x:c r="C267" s="79" t="str">
        <x:v>kok-viking-SHELL-O</x:v>
      </x:c>
      <x:c r="D267" s="79" t="str">
        <x:v>kok-viking</x:v>
      </x:c>
      <x:c r="E267" s="79" t="str">
        <x:v>Coque ouverte</x:v>
      </x:c>
      <x:c r="F267" s="79" t="str">
        <x:v>PARTIEL · prototype technique</x:v>
      </x:c>
      <x:c r="G267" s="79" t="str">
        <x:v>Mesurer pivot/capots sur film et compléter les états ouvrir-fermer-ranger</x:v>
      </x:c>
      <x:c r="H267" s="79" t="str">
        <x:v>ART+QA</x:v>
      </x:c>
      <x:c r="I267" s="79" t="str">
        <x:v>Oui, pour les contrats techniques uniquement</x:v>
      </x:c>
      <x:c r="J267" s="79" t="str">
        <x:v>P2</x:v>
      </x:c>
      <x:c r="K267" s="79" t="str">
        <x:v>https://github.com/darknigthmare/yautja-la-longue-chasse/blob/feat/v131-gauntlet-hologram-dual-view-20261030/public/game/assets/v136/gauntlets/kok-viking/04-lid.svg</x:v>
      </x:c>
      <x:c r="L267" s="79" t="str">
        <x:v>Capot ouvrable en React/CSS, animation partielle</x:v>
      </x:c>
    </x:row>
    <x:row r="268" ht="29" customHeight="1">
      <x:c r="A268" s="79" t="str">
        <x:v>05_Assets</x:v>
      </x:c>
      <x:c r="B268" s="79" t="n">
        <x:v>268</x:v>
      </x:c>
      <x:c r="C268" s="79" t="str">
        <x:v>kok-viking-UI-RED</x:v>
      </x:c>
      <x:c r="D268" s="79" t="str">
        <x:v>kok-viking</x:v>
      </x:c>
      <x:c r="E268" s="79" t="str">
        <x:v>Contrôle / glyphes</x:v>
      </x:c>
      <x:c r="F268" s="79" t="str">
        <x:v>PARTIEL · prototype technique</x:v>
      </x:c>
      <x:c r="G268" s="79" t="str">
        <x:v>Remplacer symboles conceptuels par graphismes source documentés sans inventer du canon</x:v>
      </x:c>
      <x:c r="H268" s="79" t="str">
        <x:v>ART+QA</x:v>
      </x:c>
      <x:c r="I268" s="79" t="str">
        <x:v>Oui, pour les contrats techniques uniquement</x:v>
      </x:c>
      <x:c r="J268" s="79" t="str">
        <x:v>P2</x:v>
      </x:c>
      <x:c r="K268" s="79" t="str">
        <x:v>https://github.com/darknigthmare/yautja-la-longue-chasse/blob/feat/v131-gauntlet-hologram-dual-view-20261030/public/game/assets/v136/gauntlets/kok-viking/03-interface.svg</x:v>
      </x:c>
      <x:c r="L268" s="79" t="str">
        <x:v>Interface distincte en SVG / couleurs non certifiées</x:v>
      </x:c>
    </x:row>
    <x:row r="269" ht="29" customHeight="1">
      <x:c r="A269" s="79" t="str">
        <x:v>05_Assets</x:v>
      </x:c>
      <x:c r="B269" s="79" t="n">
        <x:v>269</x:v>
      </x:c>
      <x:c r="C269" s="79" t="str">
        <x:v>kok-viking-RIBS</x:v>
      </x:c>
      <x:c r="D269" s="79" t="str">
        <x:v>kok-viking</x:v>
      </x:c>
      <x:c r="E269" s="79" t="str">
        <x:v>Ribures et mécanique</x:v>
      </x:c>
      <x:c r="F269" s="79" t="str">
        <x:v>OUVERT · séparation des sous-pièces</x:v>
      </x:c>
      <x:c r="G269" s="79" t="str">
        <x:v>Découper les pièces mécaniques, valider attaches et reliefs individuels</x:v>
      </x:c>
      <x:c r="H269" s="79" t="str">
        <x:v>ART+QA</x:v>
      </x:c>
      <x:c r="I269" s="79" t="str">
        <x:v>Oui, pour les contrats techniques uniquement</x:v>
      </x:c>
      <x:c r="J269" s="79" t="str">
        <x:v>P2</x:v>
      </x:c>
      <x:c r="K269" s="79" t="str">
        <x:v>https://github.com/darknigthmare/yautja-la-longue-chasse/blob/feat/v131-gauntlet-hologram-dual-view-20261030/public/game/assets/v136/gauntlets/kok-viking/02-shell.svg</x:v>
      </x:c>
      <x:c r="L269" s="79" t="str">
        <x:v>Détails de coque présents, sous-pièces non séparées</x:v>
      </x:c>
    </x:row>
    <x:row r="270" ht="29" customHeight="1">
      <x:c r="A270" s="79" t="str">
        <x:v>05_Assets</x:v>
      </x:c>
      <x:c r="B270" s="79" t="n">
        <x:v>270</x:v>
      </x:c>
      <x:c r="C270" s="79" t="str">
        <x:v>kok-viking-BEAM</x:v>
      </x:c>
      <x:c r="D270" s="79" t="str">
        <x:v>kok-viking</x:v>
      </x:c>
      <x:c r="E270" s="79" t="str">
        <x:v>Émetteur holographique</x:v>
      </x:c>
      <x:c r="F270" s="79" t="str">
        <x:v>PARTIEL · prototype technique</x:v>
      </x:c>
      <x:c r="G270" s="79" t="str">
        <x:v>Conserver fonctionnalité HUD et produire la signature holographique de chaque modèle</x:v>
      </x:c>
      <x:c r="H270" s="79" t="str">
        <x:v>ART+QA</x:v>
      </x:c>
      <x:c r="I270" s="79" t="str">
        <x:v>Oui, pour les contrats techniques uniquement</x:v>
      </x:c>
      <x:c r="J270" s="79" t="str">
        <x:v>P2</x:v>
      </x:c>
      <x:c r="K270" s="79" t="str">
        <x:v>https://github.com/darknigthmare/yautja-la-longue-chasse/blob/feat/v131-gauntlet-hologram-dual-view-20261030/app/game/ClanWarGauntletV131.tsx</x:v>
      </x:c>
      <x:c r="L270" s="79" t="str">
        <x:v>Faisceau du projet (JH dédié, autres effet commun)</x:v>
      </x:c>
    </x:row>
    <x:row r="271" ht="29" customHeight="1">
      <x:c r="A271" s="79" t="str">
        <x:v>05_Assets</x:v>
      </x:c>
      <x:c r="B271" s="79" t="n">
        <x:v>271</x:v>
      </x:c>
      <x:c r="C271" s="79" t="str">
        <x:v>kok-viking-MOVE</x:v>
      </x:c>
      <x:c r="D271" s="79" t="str">
        <x:v>kok-viking</x:v>
      </x:c>
      <x:c r="E271" s="79" t="str">
        <x:v>Animations 4 états</x:v>
      </x:c>
      <x:c r="F271" s="79" t="str">
        <x:v>PARTIEL · prototype technique</x:v>
      </x:c>
      <x:c r="G271" s="79" t="str">
        <x:v>Compléter lever, ouvrir, projeter, ranger ; aligner au rig et à la caméra</x:v>
      </x:c>
      <x:c r="H271" s="79" t="str">
        <x:v>ART+QA</x:v>
      </x:c>
      <x:c r="I271" s="79" t="str">
        <x:v>Oui, pour les contrats techniques uniquement</x:v>
      </x:c>
      <x:c r="J271" s="79" t="str">
        <x:v>P2</x:v>
      </x:c>
      <x:c r="K271" s="79" t="str">
        <x:v>https://github.com/darknigthmare/yautja-la-longue-chasse/blob/feat/v131-gauntlet-hologram-dual-view-20261030/public/game/assets/v136/gauntlets/kok-viking/04-lid.svg</x:v>
      </x:c>
      <x:c r="L271" s="79" t="str">
        <x:v>Capot ouvert/fermé ; 3 gestes complets restent à faire</x:v>
      </x:c>
    </x:row>
    <x:row r="272" ht="29" customHeight="1">
      <x:c r="A272" s="79" t="str">
        <x:v>05_Assets</x:v>
      </x:c>
      <x:c r="B272" s="79" t="n">
        <x:v>272</x:v>
      </x:c>
      <x:c r="C272" s="79" t="str">
        <x:v>kok-viking-SFX</x:v>
      </x:c>
      <x:c r="D272" s="79" t="str">
        <x:v>kok-viking</x:v>
      </x:c>
      <x:c r="E272" s="79" t="str">
        <x:v>Identité sonore</x:v>
      </x:c>
      <x:c r="F272" s="79" t="str">
        <x:v>PARTIEL · prototype technique</x:v>
      </x:c>
      <x:c r="G272" s="79" t="str">
        <x:v>Distinguer signatures individualisées, écouter et calibrer mixage/mute</x:v>
      </x:c>
      <x:c r="H272" s="79" t="str">
        <x:v>UI/AUDIO</x:v>
      </x:c>
      <x:c r="I272" s="79" t="str">
        <x:v>Oui, pour les contrats techniques uniquement</x:v>
      </x:c>
      <x:c r="J272" s="79" t="str">
        <x:v>P2</x:v>
      </x:c>
      <x:c r="K272" s="79" t="str">
        <x:v>https://github.com/darknigthmare/yautja-la-longue-chasse/blob/feat/v131-gauntlet-hologram-dual-view-20261030/app/game/sound.ts</x:v>
      </x:c>
      <x:c r="L272" s="79" t="str">
        <x:v>Signature sonore par thème (10 profils), source non cinéma</x:v>
      </x:c>
    </x:row>
    <x:row r="273" ht="29" customHeight="1">
      <x:c r="A273" s="79" t="str">
        <x:v>05_Assets</x:v>
      </x:c>
      <x:c r="B273" s="79" t="n">
        <x:v>273</x:v>
      </x:c>
      <x:c r="C273" s="79" t="str">
        <x:v>kok-viking-HUD</x:v>
      </x:c>
      <x:c r="D273" s="79" t="str">
        <x:v>kok-viking</x:v>
      </x:c>
      <x:c r="E273" s="79" t="str">
        <x:v>Palette / projection</x:v>
      </x:c>
      <x:c r="F273" s="79" t="str">
        <x:v>PARTIEL · prototype technique</x:v>
      </x:c>
      <x:c r="G273" s="79" t="str">
        <x:v>Tester toutes résolutions, contrôles, sous-modes et cohérence d'infos</x:v>
      </x:c>
      <x:c r="H273" s="79" t="str">
        <x:v>UI/AUDIO</x:v>
      </x:c>
      <x:c r="I273" s="79" t="str">
        <x:v>Oui, pour les contrats techniques uniquement</x:v>
      </x:c>
      <x:c r="J273" s="79" t="str">
        <x:v>P2</x:v>
      </x:c>
      <x:c r="K273" s="79" t="str">
        <x:v>https://github.com/darknigthmare/yautja-la-longue-chasse/blob/feat/v131-gauntlet-hologram-dual-view-20261030/app/game/ClanWarGauntletV131.tsx</x:v>
      </x:c>
      <x:c r="L273" s="79" t="str">
        <x:v>HUD connecté / simulation intacte ; QA visuelle restante</x:v>
      </x:c>
    </x:row>
    <x:row r="274" ht="29" customHeight="1">
      <x:c r="A274" s="79" t="str">
        <x:v>05_Assets</x:v>
      </x:c>
      <x:c r="B274" s="79" t="n">
        <x:v>274</x:v>
      </x:c>
      <x:c r="C274" s="79" t="str">
        <x:v>kok-viking-QA</x:v>
      </x:c>
      <x:c r="D274" s="79" t="str">
        <x:v>kok-viking</x:v>
      </x:c>
      <x:c r="E274" s="79" t="str">
        <x:v>Comparaisons + tests</x:v>
      </x:c>
      <x:c r="F274" s="79" t="str">
        <x:v>PARTIEL · prototype technique</x:v>
      </x:c>
      <x:c r="G274" s="79" t="str">
        <x:v>Réaliser contrôles visuels film/rig + E2E jeu, FPS et accessibilité</x:v>
      </x:c>
      <x:c r="H274" s="79" t="str">
        <x:v>ART+QA</x:v>
      </x:c>
      <x:c r="I274" s="79" t="str">
        <x:v>Oui, pour les contrats techniques uniquement</x:v>
      </x:c>
      <x:c r="J274" s="79" t="str">
        <x:v>P2</x:v>
      </x:c>
      <x:c r="K274" s="79" t="str">
        <x:v>https://github.com/darknigthmare/yautja-la-longue-chasse/blob/feat/v131-gauntlet-hologram-dual-view-20261030/tests/gauntlet-archive-studies-v136.test.mjs</x:v>
      </x:c>
      <x:c r="L274" s="79" t="str">
        <x:v>Tests CI source / alpha / type / navigateur autonome ; 1:1 restant</x:v>
      </x:c>
    </x:row>
    <x:row r="275" ht="29" customHeight="1">
      <x:c r="A275" s="79" t="str">
        <x:v>05_Assets</x:v>
      </x:c>
      <x:c r="B275" s="79" t="n">
        <x:v>275</x:v>
      </x:c>
      <x:c r="C275" s="79" t="str">
        <x:v>kok-ninja-ARM-L</x:v>
      </x:c>
      <x:c r="D275" s="79" t="str">
        <x:v>kok-ninja</x:v>
      </x:c>
      <x:c r="E275" s="79" t="str">
        <x:v>Bras gauche / poignet</x:v>
      </x:c>
      <x:c r="F275" s="79" t="str">
        <x:v>PARTIEL · prototype technique</x:v>
      </x:c>
      <x:c r="G275" s="79" t="str">
        <x:v>Comparer bras et poignet à plusieurs plans canoniques ; adapter au rig dans toutes poses</x:v>
      </x:c>
      <x:c r="H275" s="79" t="str">
        <x:v>ART+QA</x:v>
      </x:c>
      <x:c r="I275" s="79" t="str">
        <x:v>Oui, pour les contrats techniques uniquement</x:v>
      </x:c>
      <x:c r="J275" s="79" t="str">
        <x:v>P2</x:v>
      </x:c>
      <x:c r="K275" s="79" t="str">
        <x:v>https://github.com/darknigthmare/yautja-la-longue-chasse/blob/feat/v131-gauntlet-hologram-dual-view-20261030/public/game/assets/v136/gauntlets/kok-ninja/01-arm.svg</x:v>
      </x:c>
      <x:c r="L275" s="79" t="str">
        <x:v>Prototype SVG individuel + alpha PNG</x:v>
      </x:c>
    </x:row>
    <x:row r="276" ht="29" customHeight="1">
      <x:c r="A276" s="79" t="str">
        <x:v>05_Assets</x:v>
      </x:c>
      <x:c r="B276" s="79" t="n">
        <x:v>276</x:v>
      </x:c>
      <x:c r="C276" s="79" t="str">
        <x:v>kok-ninja-SHELL-C</x:v>
      </x:c>
      <x:c r="D276" s="79" t="str">
        <x:v>kok-ninja</x:v>
      </x:c>
      <x:c r="E276" s="79" t="str">
        <x:v>Coque fermée</x:v>
      </x:c>
      <x:c r="F276" s="79" t="str">
        <x:v>PARTIEL · prototype technique</x:v>
      </x:c>
      <x:c r="G276" s="79" t="str">
        <x:v>Vérifier forme/proportions/cuirasse 1:1 et textures, pas seulement SVG</x:v>
      </x:c>
      <x:c r="H276" s="79" t="str">
        <x:v>ART+QA</x:v>
      </x:c>
      <x:c r="I276" s="79" t="str">
        <x:v>Oui, pour les contrats techniques uniquement</x:v>
      </x:c>
      <x:c r="J276" s="79" t="str">
        <x:v>P2</x:v>
      </x:c>
      <x:c r="K276" s="79" t="str">
        <x:v>https://github.com/darknigthmare/yautja-la-longue-chasse/blob/feat/v131-gauntlet-hologram-dual-view-20261030/public/game/assets/v136/gauntlets/kok-ninja/02-shell.svg</x:v>
      </x:c>
      <x:c r="L276" s="79" t="str">
        <x:v>Coque individuelle SVG + PNG, non 1:1</x:v>
      </x:c>
    </x:row>
    <x:row r="277" ht="29" customHeight="1">
      <x:c r="A277" s="79" t="str">
        <x:v>05_Assets</x:v>
      </x:c>
      <x:c r="B277" s="79" t="n">
        <x:v>277</x:v>
      </x:c>
      <x:c r="C277" s="79" t="str">
        <x:v>kok-ninja-SHELL-O</x:v>
      </x:c>
      <x:c r="D277" s="79" t="str">
        <x:v>kok-ninja</x:v>
      </x:c>
      <x:c r="E277" s="79" t="str">
        <x:v>Coque ouverte</x:v>
      </x:c>
      <x:c r="F277" s="79" t="str">
        <x:v>PARTIEL · prototype technique</x:v>
      </x:c>
      <x:c r="G277" s="79" t="str">
        <x:v>Mesurer pivot/capots sur film et compléter les états ouvrir-fermer-ranger</x:v>
      </x:c>
      <x:c r="H277" s="79" t="str">
        <x:v>ART+QA</x:v>
      </x:c>
      <x:c r="I277" s="79" t="str">
        <x:v>Oui, pour les contrats techniques uniquement</x:v>
      </x:c>
      <x:c r="J277" s="79" t="str">
        <x:v>P2</x:v>
      </x:c>
      <x:c r="K277" s="79" t="str">
        <x:v>https://github.com/darknigthmare/yautja-la-longue-chasse/blob/feat/v131-gauntlet-hologram-dual-view-20261030/public/game/assets/v136/gauntlets/kok-ninja/04-lid.svg</x:v>
      </x:c>
      <x:c r="L277" s="79" t="str">
        <x:v>Capot ouvrable en React/CSS, animation partielle</x:v>
      </x:c>
    </x:row>
    <x:row r="278" ht="29" customHeight="1">
      <x:c r="A278" s="79" t="str">
        <x:v>05_Assets</x:v>
      </x:c>
      <x:c r="B278" s="79" t="n">
        <x:v>278</x:v>
      </x:c>
      <x:c r="C278" s="79" t="str">
        <x:v>kok-ninja-UI-RED</x:v>
      </x:c>
      <x:c r="D278" s="79" t="str">
        <x:v>kok-ninja</x:v>
      </x:c>
      <x:c r="E278" s="79" t="str">
        <x:v>Contrôle / glyphes</x:v>
      </x:c>
      <x:c r="F278" s="79" t="str">
        <x:v>PARTIEL · prototype technique</x:v>
      </x:c>
      <x:c r="G278" s="79" t="str">
        <x:v>Remplacer symboles conceptuels par graphismes source documentés sans inventer du canon</x:v>
      </x:c>
      <x:c r="H278" s="79" t="str">
        <x:v>ART+QA</x:v>
      </x:c>
      <x:c r="I278" s="79" t="str">
        <x:v>Oui, pour les contrats techniques uniquement</x:v>
      </x:c>
      <x:c r="J278" s="79" t="str">
        <x:v>P2</x:v>
      </x:c>
      <x:c r="K278" s="79" t="str">
        <x:v>https://github.com/darknigthmare/yautja-la-longue-chasse/blob/feat/v131-gauntlet-hologram-dual-view-20261030/public/game/assets/v136/gauntlets/kok-ninja/03-interface.svg</x:v>
      </x:c>
      <x:c r="L278" s="79" t="str">
        <x:v>Interface distincte en SVG / couleurs non certifiées</x:v>
      </x:c>
    </x:row>
    <x:row r="279" ht="29" customHeight="1">
      <x:c r="A279" s="79" t="str">
        <x:v>05_Assets</x:v>
      </x:c>
      <x:c r="B279" s="79" t="n">
        <x:v>279</x:v>
      </x:c>
      <x:c r="C279" s="79" t="str">
        <x:v>kok-ninja-RIBS</x:v>
      </x:c>
      <x:c r="D279" s="79" t="str">
        <x:v>kok-ninja</x:v>
      </x:c>
      <x:c r="E279" s="79" t="str">
        <x:v>Ribures et mécanique</x:v>
      </x:c>
      <x:c r="F279" s="79" t="str">
        <x:v>OUVERT · séparation des sous-pièces</x:v>
      </x:c>
      <x:c r="G279" s="79" t="str">
        <x:v>Découper les pièces mécaniques, valider attaches et reliefs individuels</x:v>
      </x:c>
      <x:c r="H279" s="79" t="str">
        <x:v>ART+QA</x:v>
      </x:c>
      <x:c r="I279" s="79" t="str">
        <x:v>Oui, pour les contrats techniques uniquement</x:v>
      </x:c>
      <x:c r="J279" s="79" t="str">
        <x:v>P2</x:v>
      </x:c>
      <x:c r="K279" s="79" t="str">
        <x:v>https://github.com/darknigthmare/yautja-la-longue-chasse/blob/feat/v131-gauntlet-hologram-dual-view-20261030/public/game/assets/v136/gauntlets/kok-ninja/02-shell.svg</x:v>
      </x:c>
      <x:c r="L279" s="79" t="str">
        <x:v>Détails de coque présents, sous-pièces non séparées</x:v>
      </x:c>
    </x:row>
    <x:row r="280" ht="29" customHeight="1">
      <x:c r="A280" s="79" t="str">
        <x:v>05_Assets</x:v>
      </x:c>
      <x:c r="B280" s="79" t="n">
        <x:v>280</x:v>
      </x:c>
      <x:c r="C280" s="79" t="str">
        <x:v>kok-ninja-BEAM</x:v>
      </x:c>
      <x:c r="D280" s="79" t="str">
        <x:v>kok-ninja</x:v>
      </x:c>
      <x:c r="E280" s="79" t="str">
        <x:v>Émetteur holographique</x:v>
      </x:c>
      <x:c r="F280" s="79" t="str">
        <x:v>PARTIEL · prototype technique</x:v>
      </x:c>
      <x:c r="G280" s="79" t="str">
        <x:v>Conserver fonctionnalité HUD et produire la signature holographique de chaque modèle</x:v>
      </x:c>
      <x:c r="H280" s="79" t="str">
        <x:v>ART+QA</x:v>
      </x:c>
      <x:c r="I280" s="79" t="str">
        <x:v>Oui, pour les contrats techniques uniquement</x:v>
      </x:c>
      <x:c r="J280" s="79" t="str">
        <x:v>P2</x:v>
      </x:c>
      <x:c r="K280" s="79" t="str">
        <x:v>https://github.com/darknigthmare/yautja-la-longue-chasse/blob/feat/v131-gauntlet-hologram-dual-view-20261030/app/game/ClanWarGauntletV131.tsx</x:v>
      </x:c>
      <x:c r="L280" s="79" t="str">
        <x:v>Faisceau du projet (JH dédié, autres effet commun)</x:v>
      </x:c>
    </x:row>
    <x:row r="281" ht="29" customHeight="1">
      <x:c r="A281" s="79" t="str">
        <x:v>05_Assets</x:v>
      </x:c>
      <x:c r="B281" s="79" t="n">
        <x:v>281</x:v>
      </x:c>
      <x:c r="C281" s="79" t="str">
        <x:v>kok-ninja-MOVE</x:v>
      </x:c>
      <x:c r="D281" s="79" t="str">
        <x:v>kok-ninja</x:v>
      </x:c>
      <x:c r="E281" s="79" t="str">
        <x:v>Animations 4 états</x:v>
      </x:c>
      <x:c r="F281" s="79" t="str">
        <x:v>PARTIEL · prototype technique</x:v>
      </x:c>
      <x:c r="G281" s="79" t="str">
        <x:v>Compléter lever, ouvrir, projeter, ranger ; aligner au rig et à la caméra</x:v>
      </x:c>
      <x:c r="H281" s="79" t="str">
        <x:v>ART+QA</x:v>
      </x:c>
      <x:c r="I281" s="79" t="str">
        <x:v>Oui, pour les contrats techniques uniquement</x:v>
      </x:c>
      <x:c r="J281" s="79" t="str">
        <x:v>P2</x:v>
      </x:c>
      <x:c r="K281" s="79" t="str">
        <x:v>https://github.com/darknigthmare/yautja-la-longue-chasse/blob/feat/v131-gauntlet-hologram-dual-view-20261030/public/game/assets/v136/gauntlets/kok-ninja/04-lid.svg</x:v>
      </x:c>
      <x:c r="L281" s="79" t="str">
        <x:v>Capot ouvert/fermé ; 3 gestes complets restent à faire</x:v>
      </x:c>
    </x:row>
    <x:row r="282" ht="29" customHeight="1">
      <x:c r="A282" s="79" t="str">
        <x:v>05_Assets</x:v>
      </x:c>
      <x:c r="B282" s="79" t="n">
        <x:v>282</x:v>
      </x:c>
      <x:c r="C282" s="79" t="str">
        <x:v>kok-ninja-SFX</x:v>
      </x:c>
      <x:c r="D282" s="79" t="str">
        <x:v>kok-ninja</x:v>
      </x:c>
      <x:c r="E282" s="79" t="str">
        <x:v>Identité sonore</x:v>
      </x:c>
      <x:c r="F282" s="79" t="str">
        <x:v>PARTIEL · prototype technique</x:v>
      </x:c>
      <x:c r="G282" s="79" t="str">
        <x:v>Distinguer signatures individualisées, écouter et calibrer mixage/mute</x:v>
      </x:c>
      <x:c r="H282" s="79" t="str">
        <x:v>UI/AUDIO</x:v>
      </x:c>
      <x:c r="I282" s="79" t="str">
        <x:v>Oui, pour les contrats techniques uniquement</x:v>
      </x:c>
      <x:c r="J282" s="79" t="str">
        <x:v>P2</x:v>
      </x:c>
      <x:c r="K282" s="79" t="str">
        <x:v>https://github.com/darknigthmare/yautja-la-longue-chasse/blob/feat/v131-gauntlet-hologram-dual-view-20261030/app/game/sound.ts</x:v>
      </x:c>
      <x:c r="L282" s="79" t="str">
        <x:v>Signature sonore par thème (10 profils), source non cinéma</x:v>
      </x:c>
    </x:row>
    <x:row r="283" ht="29" customHeight="1">
      <x:c r="A283" s="79" t="str">
        <x:v>05_Assets</x:v>
      </x:c>
      <x:c r="B283" s="79" t="n">
        <x:v>283</x:v>
      </x:c>
      <x:c r="C283" s="79" t="str">
        <x:v>kok-ninja-HUD</x:v>
      </x:c>
      <x:c r="D283" s="79" t="str">
        <x:v>kok-ninja</x:v>
      </x:c>
      <x:c r="E283" s="79" t="str">
        <x:v>Palette / projection</x:v>
      </x:c>
      <x:c r="F283" s="79" t="str">
        <x:v>PARTIEL · prototype technique</x:v>
      </x:c>
      <x:c r="G283" s="79" t="str">
        <x:v>Tester toutes résolutions, contrôles, sous-modes et cohérence d'infos</x:v>
      </x:c>
      <x:c r="H283" s="79" t="str">
        <x:v>UI/AUDIO</x:v>
      </x:c>
      <x:c r="I283" s="79" t="str">
        <x:v>Oui, pour les contrats techniques uniquement</x:v>
      </x:c>
      <x:c r="J283" s="79" t="str">
        <x:v>P2</x:v>
      </x:c>
      <x:c r="K283" s="79" t="str">
        <x:v>https://github.com/darknigthmare/yautja-la-longue-chasse/blob/feat/v131-gauntlet-hologram-dual-view-20261030/app/game/ClanWarGauntletV131.tsx</x:v>
      </x:c>
      <x:c r="L283" s="79" t="str">
        <x:v>HUD connecté / simulation intacte ; QA visuelle restante</x:v>
      </x:c>
    </x:row>
    <x:row r="284" ht="29" customHeight="1">
      <x:c r="A284" s="79" t="str">
        <x:v>05_Assets</x:v>
      </x:c>
      <x:c r="B284" s="79" t="n">
        <x:v>284</x:v>
      </x:c>
      <x:c r="C284" s="79" t="str">
        <x:v>kok-ninja-QA</x:v>
      </x:c>
      <x:c r="D284" s="79" t="str">
        <x:v>kok-ninja</x:v>
      </x:c>
      <x:c r="E284" s="79" t="str">
        <x:v>Comparaisons + tests</x:v>
      </x:c>
      <x:c r="F284" s="79" t="str">
        <x:v>PARTIEL · prototype technique</x:v>
      </x:c>
      <x:c r="G284" s="79" t="str">
        <x:v>Réaliser contrôles visuels film/rig + E2E jeu, FPS et accessibilité</x:v>
      </x:c>
      <x:c r="H284" s="79" t="str">
        <x:v>ART+QA</x:v>
      </x:c>
      <x:c r="I284" s="79" t="str">
        <x:v>Oui, pour les contrats techniques uniquement</x:v>
      </x:c>
      <x:c r="J284" s="79" t="str">
        <x:v>P2</x:v>
      </x:c>
      <x:c r="K284" s="79" t="str">
        <x:v>https://github.com/darknigthmare/yautja-la-longue-chasse/blob/feat/v131-gauntlet-hologram-dual-view-20261030/tests/gauntlet-archive-studies-v136.test.mjs</x:v>
      </x:c>
      <x:c r="L284" s="79" t="str">
        <x:v>Tests CI source / alpha / type / navigateur autonome ; 1:1 restant</x:v>
      </x:c>
    </x:row>
    <x:row r="285" ht="29" customHeight="1">
      <x:c r="A285" s="79" t="str">
        <x:v>05_Assets</x:v>
      </x:c>
      <x:c r="B285" s="79" t="n">
        <x:v>285</x:v>
      </x:c>
      <x:c r="C285" s="79" t="str">
        <x:v>kok-pilot-ARM-L</x:v>
      </x:c>
      <x:c r="D285" s="79" t="str">
        <x:v>kok-pilot</x:v>
      </x:c>
      <x:c r="E285" s="79" t="str">
        <x:v>Bras gauche / poignet</x:v>
      </x:c>
      <x:c r="F285" s="79" t="str">
        <x:v>PARTIEL · prototype technique</x:v>
      </x:c>
      <x:c r="G285" s="79" t="str">
        <x:v>Comparer bras et poignet à plusieurs plans canoniques ; adapter au rig dans toutes poses</x:v>
      </x:c>
      <x:c r="H285" s="79" t="str">
        <x:v>ART+QA</x:v>
      </x:c>
      <x:c r="I285" s="79" t="str">
        <x:v>Oui, pour les contrats techniques uniquement</x:v>
      </x:c>
      <x:c r="J285" s="79" t="str">
        <x:v>P2</x:v>
      </x:c>
      <x:c r="K285" s="79" t="str">
        <x:v>https://github.com/darknigthmare/yautja-la-longue-chasse/blob/feat/v131-gauntlet-hologram-dual-view-20261030/public/game/assets/v136/gauntlets/kok-pilot/01-arm.svg</x:v>
      </x:c>
      <x:c r="L285" s="79" t="str">
        <x:v>Prototype SVG individuel + alpha PNG</x:v>
      </x:c>
    </x:row>
    <x:row r="286" ht="29" customHeight="1">
      <x:c r="A286" s="79" t="str">
        <x:v>05_Assets</x:v>
      </x:c>
      <x:c r="B286" s="79" t="n">
        <x:v>286</x:v>
      </x:c>
      <x:c r="C286" s="79" t="str">
        <x:v>kok-pilot-SHELL-C</x:v>
      </x:c>
      <x:c r="D286" s="79" t="str">
        <x:v>kok-pilot</x:v>
      </x:c>
      <x:c r="E286" s="79" t="str">
        <x:v>Coque fermée</x:v>
      </x:c>
      <x:c r="F286" s="79" t="str">
        <x:v>PARTIEL · prototype technique</x:v>
      </x:c>
      <x:c r="G286" s="79" t="str">
        <x:v>Vérifier forme/proportions/cuirasse 1:1 et textures, pas seulement SVG</x:v>
      </x:c>
      <x:c r="H286" s="79" t="str">
        <x:v>ART+QA</x:v>
      </x:c>
      <x:c r="I286" s="79" t="str">
        <x:v>Oui, pour les contrats techniques uniquement</x:v>
      </x:c>
      <x:c r="J286" s="79" t="str">
        <x:v>P2</x:v>
      </x:c>
      <x:c r="K286" s="79" t="str">
        <x:v>https://github.com/darknigthmare/yautja-la-longue-chasse/blob/feat/v131-gauntlet-hologram-dual-view-20261030/public/game/assets/v136/gauntlets/kok-pilot/02-shell.svg</x:v>
      </x:c>
      <x:c r="L286" s="79" t="str">
        <x:v>Coque individuelle SVG + PNG, non 1:1</x:v>
      </x:c>
    </x:row>
    <x:row r="287" ht="29" customHeight="1">
      <x:c r="A287" s="79" t="str">
        <x:v>05_Assets</x:v>
      </x:c>
      <x:c r="B287" s="79" t="n">
        <x:v>287</x:v>
      </x:c>
      <x:c r="C287" s="79" t="str">
        <x:v>kok-pilot-SHELL-O</x:v>
      </x:c>
      <x:c r="D287" s="79" t="str">
        <x:v>kok-pilot</x:v>
      </x:c>
      <x:c r="E287" s="79" t="str">
        <x:v>Coque ouverte</x:v>
      </x:c>
      <x:c r="F287" s="79" t="str">
        <x:v>PARTIEL · prototype technique</x:v>
      </x:c>
      <x:c r="G287" s="79" t="str">
        <x:v>Mesurer pivot/capots sur film et compléter les états ouvrir-fermer-ranger</x:v>
      </x:c>
      <x:c r="H287" s="79" t="str">
        <x:v>ART+QA</x:v>
      </x:c>
      <x:c r="I287" s="79" t="str">
        <x:v>Oui, pour les contrats techniques uniquement</x:v>
      </x:c>
      <x:c r="J287" s="79" t="str">
        <x:v>P2</x:v>
      </x:c>
      <x:c r="K287" s="79" t="str">
        <x:v>https://github.com/darknigthmare/yautja-la-longue-chasse/blob/feat/v131-gauntlet-hologram-dual-view-20261030/public/game/assets/v136/gauntlets/kok-pilot/04-lid.svg</x:v>
      </x:c>
      <x:c r="L287" s="79" t="str">
        <x:v>Capot ouvrable en React/CSS, animation partielle</x:v>
      </x:c>
    </x:row>
    <x:row r="288" ht="29" customHeight="1">
      <x:c r="A288" s="79" t="str">
        <x:v>05_Assets</x:v>
      </x:c>
      <x:c r="B288" s="79" t="n">
        <x:v>288</x:v>
      </x:c>
      <x:c r="C288" s="79" t="str">
        <x:v>kok-pilot-UI-RED</x:v>
      </x:c>
      <x:c r="D288" s="79" t="str">
        <x:v>kok-pilot</x:v>
      </x:c>
      <x:c r="E288" s="79" t="str">
        <x:v>Contrôle / glyphes</x:v>
      </x:c>
      <x:c r="F288" s="79" t="str">
        <x:v>PARTIEL · prototype technique</x:v>
      </x:c>
      <x:c r="G288" s="79" t="str">
        <x:v>Remplacer symboles conceptuels par graphismes source documentés sans inventer du canon</x:v>
      </x:c>
      <x:c r="H288" s="79" t="str">
        <x:v>ART+QA</x:v>
      </x:c>
      <x:c r="I288" s="79" t="str">
        <x:v>Oui, pour les contrats techniques uniquement</x:v>
      </x:c>
      <x:c r="J288" s="79" t="str">
        <x:v>P2</x:v>
      </x:c>
      <x:c r="K288" s="79" t="str">
        <x:v>https://github.com/darknigthmare/yautja-la-longue-chasse/blob/feat/v131-gauntlet-hologram-dual-view-20261030/public/game/assets/v136/gauntlets/kok-pilot/03-interface.svg</x:v>
      </x:c>
      <x:c r="L288" s="79" t="str">
        <x:v>Interface distincte en SVG / couleurs non certifiées</x:v>
      </x:c>
    </x:row>
    <x:row r="289" ht="29" customHeight="1">
      <x:c r="A289" s="79" t="str">
        <x:v>05_Assets</x:v>
      </x:c>
      <x:c r="B289" s="79" t="n">
        <x:v>289</x:v>
      </x:c>
      <x:c r="C289" s="79" t="str">
        <x:v>kok-pilot-RIBS</x:v>
      </x:c>
      <x:c r="D289" s="79" t="str">
        <x:v>kok-pilot</x:v>
      </x:c>
      <x:c r="E289" s="79" t="str">
        <x:v>Ribures et mécanique</x:v>
      </x:c>
      <x:c r="F289" s="79" t="str">
        <x:v>OUVERT · séparation des sous-pièces</x:v>
      </x:c>
      <x:c r="G289" s="79" t="str">
        <x:v>Découper les pièces mécaniques, valider attaches et reliefs individuels</x:v>
      </x:c>
      <x:c r="H289" s="79" t="str">
        <x:v>ART+QA</x:v>
      </x:c>
      <x:c r="I289" s="79" t="str">
        <x:v>Oui, pour les contrats techniques uniquement</x:v>
      </x:c>
      <x:c r="J289" s="79" t="str">
        <x:v>P2</x:v>
      </x:c>
      <x:c r="K289" s="79" t="str">
        <x:v>https://github.com/darknigthmare/yautja-la-longue-chasse/blob/feat/v131-gauntlet-hologram-dual-view-20261030/public/game/assets/v136/gauntlets/kok-pilot/02-shell.svg</x:v>
      </x:c>
      <x:c r="L289" s="79" t="str">
        <x:v>Détails de coque présents, sous-pièces non séparées</x:v>
      </x:c>
    </x:row>
    <x:row r="290" ht="29" customHeight="1">
      <x:c r="A290" s="79" t="str">
        <x:v>05_Assets</x:v>
      </x:c>
      <x:c r="B290" s="79" t="n">
        <x:v>290</x:v>
      </x:c>
      <x:c r="C290" s="79" t="str">
        <x:v>kok-pilot-BEAM</x:v>
      </x:c>
      <x:c r="D290" s="79" t="str">
        <x:v>kok-pilot</x:v>
      </x:c>
      <x:c r="E290" s="79" t="str">
        <x:v>Émetteur holographique</x:v>
      </x:c>
      <x:c r="F290" s="79" t="str">
        <x:v>PARTIEL · prototype technique</x:v>
      </x:c>
      <x:c r="G290" s="79" t="str">
        <x:v>Conserver fonctionnalité HUD et produire la signature holographique de chaque modèle</x:v>
      </x:c>
      <x:c r="H290" s="79" t="str">
        <x:v>ART+QA</x:v>
      </x:c>
      <x:c r="I290" s="79" t="str">
        <x:v>Oui, pour les contrats techniques uniquement</x:v>
      </x:c>
      <x:c r="J290" s="79" t="str">
        <x:v>P2</x:v>
      </x:c>
      <x:c r="K290" s="79" t="str">
        <x:v>https://github.com/darknigthmare/yautja-la-longue-chasse/blob/feat/v131-gauntlet-hologram-dual-view-20261030/app/game/ClanWarGauntletV131.tsx</x:v>
      </x:c>
      <x:c r="L290" s="79" t="str">
        <x:v>Faisceau du projet (JH dédié, autres effet commun)</x:v>
      </x:c>
    </x:row>
    <x:row r="291" ht="29" customHeight="1">
      <x:c r="A291" s="79" t="str">
        <x:v>05_Assets</x:v>
      </x:c>
      <x:c r="B291" s="79" t="n">
        <x:v>291</x:v>
      </x:c>
      <x:c r="C291" s="79" t="str">
        <x:v>kok-pilot-MOVE</x:v>
      </x:c>
      <x:c r="D291" s="79" t="str">
        <x:v>kok-pilot</x:v>
      </x:c>
      <x:c r="E291" s="79" t="str">
        <x:v>Animations 4 états</x:v>
      </x:c>
      <x:c r="F291" s="79" t="str">
        <x:v>PARTIEL · prototype technique</x:v>
      </x:c>
      <x:c r="G291" s="79" t="str">
        <x:v>Compléter lever, ouvrir, projeter, ranger ; aligner au rig et à la caméra</x:v>
      </x:c>
      <x:c r="H291" s="79" t="str">
        <x:v>ART+QA</x:v>
      </x:c>
      <x:c r="I291" s="79" t="str">
        <x:v>Oui, pour les contrats techniques uniquement</x:v>
      </x:c>
      <x:c r="J291" s="79" t="str">
        <x:v>P2</x:v>
      </x:c>
      <x:c r="K291" s="79" t="str">
        <x:v>https://github.com/darknigthmare/yautja-la-longue-chasse/blob/feat/v131-gauntlet-hologram-dual-view-20261030/public/game/assets/v136/gauntlets/kok-pilot/04-lid.svg</x:v>
      </x:c>
      <x:c r="L291" s="79" t="str">
        <x:v>Capot ouvert/fermé ; 3 gestes complets restent à faire</x:v>
      </x:c>
    </x:row>
    <x:row r="292" ht="29" customHeight="1">
      <x:c r="A292" s="79" t="str">
        <x:v>05_Assets</x:v>
      </x:c>
      <x:c r="B292" s="79" t="n">
        <x:v>292</x:v>
      </x:c>
      <x:c r="C292" s="79" t="str">
        <x:v>kok-pilot-SFX</x:v>
      </x:c>
      <x:c r="D292" s="79" t="str">
        <x:v>kok-pilot</x:v>
      </x:c>
      <x:c r="E292" s="79" t="str">
        <x:v>Identité sonore</x:v>
      </x:c>
      <x:c r="F292" s="79" t="str">
        <x:v>PARTIEL · prototype technique</x:v>
      </x:c>
      <x:c r="G292" s="79" t="str">
        <x:v>Distinguer signatures individualisées, écouter et calibrer mixage/mute</x:v>
      </x:c>
      <x:c r="H292" s="79" t="str">
        <x:v>UI/AUDIO</x:v>
      </x:c>
      <x:c r="I292" s="79" t="str">
        <x:v>Oui, pour les contrats techniques uniquement</x:v>
      </x:c>
      <x:c r="J292" s="79" t="str">
        <x:v>P2</x:v>
      </x:c>
      <x:c r="K292" s="79" t="str">
        <x:v>https://github.com/darknigthmare/yautja-la-longue-chasse/blob/feat/v131-gauntlet-hologram-dual-view-20261030/app/game/sound.ts</x:v>
      </x:c>
      <x:c r="L292" s="79" t="str">
        <x:v>Signature sonore par thème (10 profils), source non cinéma</x:v>
      </x:c>
    </x:row>
    <x:row r="293" ht="29" customHeight="1">
      <x:c r="A293" s="79" t="str">
        <x:v>05_Assets</x:v>
      </x:c>
      <x:c r="B293" s="79" t="n">
        <x:v>293</x:v>
      </x:c>
      <x:c r="C293" s="79" t="str">
        <x:v>kok-pilot-HUD</x:v>
      </x:c>
      <x:c r="D293" s="79" t="str">
        <x:v>kok-pilot</x:v>
      </x:c>
      <x:c r="E293" s="79" t="str">
        <x:v>Palette / projection</x:v>
      </x:c>
      <x:c r="F293" s="79" t="str">
        <x:v>PARTIEL · prototype technique</x:v>
      </x:c>
      <x:c r="G293" s="79" t="str">
        <x:v>Tester toutes résolutions, contrôles, sous-modes et cohérence d'infos</x:v>
      </x:c>
      <x:c r="H293" s="79" t="str">
        <x:v>UI/AUDIO</x:v>
      </x:c>
      <x:c r="I293" s="79" t="str">
        <x:v>Oui, pour les contrats techniques uniquement</x:v>
      </x:c>
      <x:c r="J293" s="79" t="str">
        <x:v>P2</x:v>
      </x:c>
      <x:c r="K293" s="79" t="str">
        <x:v>https://github.com/darknigthmare/yautja-la-longue-chasse/blob/feat/v131-gauntlet-hologram-dual-view-20261030/app/game/ClanWarGauntletV131.tsx</x:v>
      </x:c>
      <x:c r="L293" s="79" t="str">
        <x:v>HUD connecté / simulation intacte ; QA visuelle restante</x:v>
      </x:c>
    </x:row>
    <x:row r="294" ht="29" customHeight="1">
      <x:c r="A294" s="79" t="str">
        <x:v>05_Assets</x:v>
      </x:c>
      <x:c r="B294" s="79" t="n">
        <x:v>294</x:v>
      </x:c>
      <x:c r="C294" s="79" t="str">
        <x:v>kok-pilot-QA</x:v>
      </x:c>
      <x:c r="D294" s="79" t="str">
        <x:v>kok-pilot</x:v>
      </x:c>
      <x:c r="E294" s="79" t="str">
        <x:v>Comparaisons + tests</x:v>
      </x:c>
      <x:c r="F294" s="79" t="str">
        <x:v>PARTIEL · prototype technique</x:v>
      </x:c>
      <x:c r="G294" s="79" t="str">
        <x:v>Réaliser contrôles visuels film/rig + E2E jeu, FPS et accessibilité</x:v>
      </x:c>
      <x:c r="H294" s="79" t="str">
        <x:v>ART+QA</x:v>
      </x:c>
      <x:c r="I294" s="79" t="str">
        <x:v>Oui, pour les contrats techniques uniquement</x:v>
      </x:c>
      <x:c r="J294" s="79" t="str">
        <x:v>P2</x:v>
      </x:c>
      <x:c r="K294" s="79" t="str">
        <x:v>https://github.com/darknigthmare/yautja-la-longue-chasse/blob/feat/v131-gauntlet-hologram-dual-view-20261030/tests/gauntlet-archive-studies-v136.test.mjs</x:v>
      </x:c>
      <x:c r="L294" s="79" t="str">
        <x:v>Tests CI source / alpha / type / navigateur autonome ; 1:1 restant</x:v>
      </x:c>
    </x:row>
    <x:row r="295" ht="29" customHeight="1">
      <x:c r="A295" s="79" t="str">
        <x:v>05_Assets</x:v>
      </x:c>
      <x:c r="B295" s="79" t="n">
        <x:v>295</x:v>
      </x:c>
      <x:c r="C295" s="79" t="str">
        <x:v>kok-grendel-ARM-L</x:v>
      </x:c>
      <x:c r="D295" s="79" t="str">
        <x:v>kok-grendel</x:v>
      </x:c>
      <x:c r="E295" s="79" t="str">
        <x:v>Bras gauche / poignet</x:v>
      </x:c>
      <x:c r="F295" s="79" t="str">
        <x:v>PARTIEL · prototype technique</x:v>
      </x:c>
      <x:c r="G295" s="79" t="str">
        <x:v>Comparer bras et poignet à plusieurs plans canoniques ; adapter au rig dans toutes poses</x:v>
      </x:c>
      <x:c r="H295" s="79" t="str">
        <x:v>ART+QA</x:v>
      </x:c>
      <x:c r="I295" s="79" t="str">
        <x:v>Oui, pour les contrats techniques uniquement</x:v>
      </x:c>
      <x:c r="J295" s="79" t="str">
        <x:v>P2</x:v>
      </x:c>
      <x:c r="K295" s="79" t="str">
        <x:v>https://github.com/darknigthmare/yautja-la-longue-chasse/blob/feat/v131-gauntlet-hologram-dual-view-20261030/public/game/assets/v136/gauntlets/kok-grendel/01-arm.svg</x:v>
      </x:c>
      <x:c r="L295" s="79" t="str">
        <x:v>Prototype SVG individuel + alpha PNG</x:v>
      </x:c>
    </x:row>
    <x:row r="296" ht="29" customHeight="1">
      <x:c r="A296" s="79" t="str">
        <x:v>05_Assets</x:v>
      </x:c>
      <x:c r="B296" s="79" t="n">
        <x:v>296</x:v>
      </x:c>
      <x:c r="C296" s="79" t="str">
        <x:v>kok-grendel-SHELL-C</x:v>
      </x:c>
      <x:c r="D296" s="79" t="str">
        <x:v>kok-grendel</x:v>
      </x:c>
      <x:c r="E296" s="79" t="str">
        <x:v>Coque fermée</x:v>
      </x:c>
      <x:c r="F296" s="79" t="str">
        <x:v>PARTIEL · prototype technique</x:v>
      </x:c>
      <x:c r="G296" s="79" t="str">
        <x:v>Vérifier forme/proportions/cuirasse 1:1 et textures, pas seulement SVG</x:v>
      </x:c>
      <x:c r="H296" s="79" t="str">
        <x:v>ART+QA</x:v>
      </x:c>
      <x:c r="I296" s="79" t="str">
        <x:v>Oui, pour les contrats techniques uniquement</x:v>
      </x:c>
      <x:c r="J296" s="79" t="str">
        <x:v>P2</x:v>
      </x:c>
      <x:c r="K296" s="79" t="str">
        <x:v>https://github.com/darknigthmare/yautja-la-longue-chasse/blob/feat/v131-gauntlet-hologram-dual-view-20261030/public/game/assets/v136/gauntlets/kok-grendel/02-shell.svg</x:v>
      </x:c>
      <x:c r="L296" s="79" t="str">
        <x:v>Coque individuelle SVG + PNG, non 1:1</x:v>
      </x:c>
    </x:row>
    <x:row r="297" ht="29" customHeight="1">
      <x:c r="A297" s="79" t="str">
        <x:v>05_Assets</x:v>
      </x:c>
      <x:c r="B297" s="79" t="n">
        <x:v>297</x:v>
      </x:c>
      <x:c r="C297" s="79" t="str">
        <x:v>kok-grendel-SHELL-O</x:v>
      </x:c>
      <x:c r="D297" s="79" t="str">
        <x:v>kok-grendel</x:v>
      </x:c>
      <x:c r="E297" s="79" t="str">
        <x:v>Coque ouverte</x:v>
      </x:c>
      <x:c r="F297" s="79" t="str">
        <x:v>PARTIEL · prototype technique</x:v>
      </x:c>
      <x:c r="G297" s="79" t="str">
        <x:v>Mesurer pivot/capots sur film et compléter les états ouvrir-fermer-ranger</x:v>
      </x:c>
      <x:c r="H297" s="79" t="str">
        <x:v>ART+QA</x:v>
      </x:c>
      <x:c r="I297" s="79" t="str">
        <x:v>Oui, pour les contrats techniques uniquement</x:v>
      </x:c>
      <x:c r="J297" s="79" t="str">
        <x:v>P2</x:v>
      </x:c>
      <x:c r="K297" s="79" t="str">
        <x:v>https://github.com/darknigthmare/yautja-la-longue-chasse/blob/feat/v131-gauntlet-hologram-dual-view-20261030/public/game/assets/v136/gauntlets/kok-grendel/04-lid.svg</x:v>
      </x:c>
      <x:c r="L297" s="79" t="str">
        <x:v>Capot ouvrable en React/CSS, animation partielle</x:v>
      </x:c>
    </x:row>
    <x:row r="298" ht="29" customHeight="1">
      <x:c r="A298" s="79" t="str">
        <x:v>05_Assets</x:v>
      </x:c>
      <x:c r="B298" s="79" t="n">
        <x:v>298</x:v>
      </x:c>
      <x:c r="C298" s="79" t="str">
        <x:v>kok-grendel-UI-RED</x:v>
      </x:c>
      <x:c r="D298" s="79" t="str">
        <x:v>kok-grendel</x:v>
      </x:c>
      <x:c r="E298" s="79" t="str">
        <x:v>Contrôle / glyphes</x:v>
      </x:c>
      <x:c r="F298" s="79" t="str">
        <x:v>PARTIEL · prototype technique</x:v>
      </x:c>
      <x:c r="G298" s="79" t="str">
        <x:v>Remplacer symboles conceptuels par graphismes source documentés sans inventer du canon</x:v>
      </x:c>
      <x:c r="H298" s="79" t="str">
        <x:v>ART+QA</x:v>
      </x:c>
      <x:c r="I298" s="79" t="str">
        <x:v>Oui, pour les contrats techniques uniquement</x:v>
      </x:c>
      <x:c r="J298" s="79" t="str">
        <x:v>P2</x:v>
      </x:c>
      <x:c r="K298" s="79" t="str">
        <x:v>https://github.com/darknigthmare/yautja-la-longue-chasse/blob/feat/v131-gauntlet-hologram-dual-view-20261030/public/game/assets/v136/gauntlets/kok-grendel/03-interface.svg</x:v>
      </x:c>
      <x:c r="L298" s="79" t="str">
        <x:v>Interface distincte en SVG / couleurs non certifiées</x:v>
      </x:c>
    </x:row>
    <x:row r="299" ht="29" customHeight="1">
      <x:c r="A299" s="79" t="str">
        <x:v>05_Assets</x:v>
      </x:c>
      <x:c r="B299" s="79" t="n">
        <x:v>299</x:v>
      </x:c>
      <x:c r="C299" s="79" t="str">
        <x:v>kok-grendel-RIBS</x:v>
      </x:c>
      <x:c r="D299" s="79" t="str">
        <x:v>kok-grendel</x:v>
      </x:c>
      <x:c r="E299" s="79" t="str">
        <x:v>Ribures et mécanique</x:v>
      </x:c>
      <x:c r="F299" s="79" t="str">
        <x:v>OUVERT · séparation des sous-pièces</x:v>
      </x:c>
      <x:c r="G299" s="79" t="str">
        <x:v>Découper les pièces mécaniques, valider attaches et reliefs individuels</x:v>
      </x:c>
      <x:c r="H299" s="79" t="str">
        <x:v>ART+QA</x:v>
      </x:c>
      <x:c r="I299" s="79" t="str">
        <x:v>Oui, pour les contrats techniques uniquement</x:v>
      </x:c>
      <x:c r="J299" s="79" t="str">
        <x:v>P2</x:v>
      </x:c>
      <x:c r="K299" s="79" t="str">
        <x:v>https://github.com/darknigthmare/yautja-la-longue-chasse/blob/feat/v131-gauntlet-hologram-dual-view-20261030/public/game/assets/v136/gauntlets/kok-grendel/02-shell.svg</x:v>
      </x:c>
      <x:c r="L299" s="79" t="str">
        <x:v>Détails de coque présents, sous-pièces non séparées</x:v>
      </x:c>
    </x:row>
    <x:row r="300" ht="29" customHeight="1">
      <x:c r="A300" s="79" t="str">
        <x:v>05_Assets</x:v>
      </x:c>
      <x:c r="B300" s="79" t="n">
        <x:v>300</x:v>
      </x:c>
      <x:c r="C300" s="79" t="str">
        <x:v>kok-grendel-BEAM</x:v>
      </x:c>
      <x:c r="D300" s="79" t="str">
        <x:v>kok-grendel</x:v>
      </x:c>
      <x:c r="E300" s="79" t="str">
        <x:v>Émetteur holographique</x:v>
      </x:c>
      <x:c r="F300" s="79" t="str">
        <x:v>PARTIEL · prototype technique</x:v>
      </x:c>
      <x:c r="G300" s="79" t="str">
        <x:v>Conserver fonctionnalité HUD et produire la signature holographique de chaque modèle</x:v>
      </x:c>
      <x:c r="H300" s="79" t="str">
        <x:v>ART+QA</x:v>
      </x:c>
      <x:c r="I300" s="79" t="str">
        <x:v>Oui, pour les contrats techniques uniquement</x:v>
      </x:c>
      <x:c r="J300" s="79" t="str">
        <x:v>P2</x:v>
      </x:c>
      <x:c r="K300" s="79" t="str">
        <x:v>https://github.com/darknigthmare/yautja-la-longue-chasse/blob/feat/v131-gauntlet-hologram-dual-view-20261030/app/game/ClanWarGauntletV131.tsx</x:v>
      </x:c>
      <x:c r="L300" s="79" t="str">
        <x:v>Faisceau du projet (JH dédié, autres effet commun)</x:v>
      </x:c>
    </x:row>
    <x:row r="301" ht="29" customHeight="1">
      <x:c r="A301" s="79" t="str">
        <x:v>05_Assets</x:v>
      </x:c>
      <x:c r="B301" s="79" t="n">
        <x:v>301</x:v>
      </x:c>
      <x:c r="C301" s="79" t="str">
        <x:v>kok-grendel-MOVE</x:v>
      </x:c>
      <x:c r="D301" s="79" t="str">
        <x:v>kok-grendel</x:v>
      </x:c>
      <x:c r="E301" s="79" t="str">
        <x:v>Animations 4 états</x:v>
      </x:c>
      <x:c r="F301" s="79" t="str">
        <x:v>PARTIEL · prototype technique</x:v>
      </x:c>
      <x:c r="G301" s="79" t="str">
        <x:v>Compléter lever, ouvrir, projeter, ranger ; aligner au rig et à la caméra</x:v>
      </x:c>
      <x:c r="H301" s="79" t="str">
        <x:v>ART+QA</x:v>
      </x:c>
      <x:c r="I301" s="79" t="str">
        <x:v>Oui, pour les contrats techniques uniquement</x:v>
      </x:c>
      <x:c r="J301" s="79" t="str">
        <x:v>P2</x:v>
      </x:c>
      <x:c r="K301" s="79" t="str">
        <x:v>https://github.com/darknigthmare/yautja-la-longue-chasse/blob/feat/v131-gauntlet-hologram-dual-view-20261030/public/game/assets/v136/gauntlets/kok-grendel/04-lid.svg</x:v>
      </x:c>
      <x:c r="L301" s="79" t="str">
        <x:v>Capot ouvert/fermé ; 3 gestes complets restent à faire</x:v>
      </x:c>
    </x:row>
    <x:row r="302" ht="29" customHeight="1">
      <x:c r="A302" s="79" t="str">
        <x:v>05_Assets</x:v>
      </x:c>
      <x:c r="B302" s="79" t="n">
        <x:v>302</x:v>
      </x:c>
      <x:c r="C302" s="79" t="str">
        <x:v>kok-grendel-SFX</x:v>
      </x:c>
      <x:c r="D302" s="79" t="str">
        <x:v>kok-grendel</x:v>
      </x:c>
      <x:c r="E302" s="79" t="str">
        <x:v>Identité sonore</x:v>
      </x:c>
      <x:c r="F302" s="79" t="str">
        <x:v>PARTIEL · prototype technique</x:v>
      </x:c>
      <x:c r="G302" s="79" t="str">
        <x:v>Distinguer signatures individualisées, écouter et calibrer mixage/mute</x:v>
      </x:c>
      <x:c r="H302" s="79" t="str">
        <x:v>UI/AUDIO</x:v>
      </x:c>
      <x:c r="I302" s="79" t="str">
        <x:v>Oui, pour les contrats techniques uniquement</x:v>
      </x:c>
      <x:c r="J302" s="79" t="str">
        <x:v>P2</x:v>
      </x:c>
      <x:c r="K302" s="79" t="str">
        <x:v>https://github.com/darknigthmare/yautja-la-longue-chasse/blob/feat/v131-gauntlet-hologram-dual-view-20261030/app/game/sound.ts</x:v>
      </x:c>
      <x:c r="L302" s="79" t="str">
        <x:v>Signature sonore par thème (10 profils), source non cinéma</x:v>
      </x:c>
    </x:row>
    <x:row r="303" ht="29" customHeight="1">
      <x:c r="A303" s="79" t="str">
        <x:v>05_Assets</x:v>
      </x:c>
      <x:c r="B303" s="79" t="n">
        <x:v>303</x:v>
      </x:c>
      <x:c r="C303" s="79" t="str">
        <x:v>kok-grendel-HUD</x:v>
      </x:c>
      <x:c r="D303" s="79" t="str">
        <x:v>kok-grendel</x:v>
      </x:c>
      <x:c r="E303" s="79" t="str">
        <x:v>Palette / projection</x:v>
      </x:c>
      <x:c r="F303" s="79" t="str">
        <x:v>PARTIEL · prototype technique</x:v>
      </x:c>
      <x:c r="G303" s="79" t="str">
        <x:v>Tester toutes résolutions, contrôles, sous-modes et cohérence d'infos</x:v>
      </x:c>
      <x:c r="H303" s="79" t="str">
        <x:v>UI/AUDIO</x:v>
      </x:c>
      <x:c r="I303" s="79" t="str">
        <x:v>Oui, pour les contrats techniques uniquement</x:v>
      </x:c>
      <x:c r="J303" s="79" t="str">
        <x:v>P2</x:v>
      </x:c>
      <x:c r="K303" s="79" t="str">
        <x:v>https://github.com/darknigthmare/yautja-la-longue-chasse/blob/feat/v131-gauntlet-hologram-dual-view-20261030/app/game/ClanWarGauntletV131.tsx</x:v>
      </x:c>
      <x:c r="L303" s="79" t="str">
        <x:v>HUD connecté / simulation intacte ; QA visuelle restante</x:v>
      </x:c>
    </x:row>
    <x:row r="304" ht="29" customHeight="1">
      <x:c r="A304" s="79" t="str">
        <x:v>05_Assets</x:v>
      </x:c>
      <x:c r="B304" s="79" t="n">
        <x:v>304</x:v>
      </x:c>
      <x:c r="C304" s="79" t="str">
        <x:v>kok-grendel-QA</x:v>
      </x:c>
      <x:c r="D304" s="79" t="str">
        <x:v>kok-grendel</x:v>
      </x:c>
      <x:c r="E304" s="79" t="str">
        <x:v>Comparaisons + tests</x:v>
      </x:c>
      <x:c r="F304" s="79" t="str">
        <x:v>PARTIEL · prototype technique</x:v>
      </x:c>
      <x:c r="G304" s="79" t="str">
        <x:v>Réaliser contrôles visuels film/rig + E2E jeu, FPS et accessibilité</x:v>
      </x:c>
      <x:c r="H304" s="79" t="str">
        <x:v>ART+QA</x:v>
      </x:c>
      <x:c r="I304" s="79" t="str">
        <x:v>Oui, pour les contrats techniques uniquement</x:v>
      </x:c>
      <x:c r="J304" s="79" t="str">
        <x:v>P2</x:v>
      </x:c>
      <x:c r="K304" s="79" t="str">
        <x:v>https://github.com/darknigthmare/yautja-la-longue-chasse/blob/feat/v131-gauntlet-hologram-dual-view-20261030/tests/gauntlet-archive-studies-v136.test.mjs</x:v>
      </x:c>
      <x:c r="L304" s="79" t="str">
        <x:v>Tests CI source / alpha / type / navigateur autonome ; 1:1 restant</x:v>
      </x:c>
    </x:row>
    <x:row r="305" ht="29" customHeight="1">
      <x:c r="A305" s="79" t="str">
        <x:v>05_Assets</x:v>
      </x:c>
      <x:c r="B305" s="79" t="n">
        <x:v>305</x:v>
      </x:c>
      <x:c r="C305" s="79" t="str">
        <x:v>phg-hunter-ARM-L</x:v>
      </x:c>
      <x:c r="D305" s="79" t="str">
        <x:v>phg-hunter</x:v>
      </x:c>
      <x:c r="E305" s="79" t="str">
        <x:v>Bras gauche / poignet</x:v>
      </x:c>
      <x:c r="F305" s="79" t="str">
        <x:v>PARTIEL · prototype technique</x:v>
      </x:c>
      <x:c r="G305" s="79" t="str">
        <x:v>Comparer bras et poignet à plusieurs plans canoniques ; adapter au rig dans toutes poses</x:v>
      </x:c>
      <x:c r="H305" s="79" t="str">
        <x:v>ART+QA</x:v>
      </x:c>
      <x:c r="I305" s="79" t="str">
        <x:v>Oui, pour les contrats techniques uniquement</x:v>
      </x:c>
      <x:c r="J305" s="79" t="str">
        <x:v>P2</x:v>
      </x:c>
      <x:c r="K305" s="79" t="str">
        <x:v>https://github.com/darknigthmare/yautja-la-longue-chasse/blob/feat/v131-gauntlet-hologram-dual-view-20261030/public/game/assets/v136/gauntlets/phg-hunter/01-arm.svg</x:v>
      </x:c>
      <x:c r="L305" s="79" t="str">
        <x:v>Prototype SVG individuel + alpha PNG</x:v>
      </x:c>
    </x:row>
    <x:row r="306" ht="29" customHeight="1">
      <x:c r="A306" s="79" t="str">
        <x:v>05_Assets</x:v>
      </x:c>
      <x:c r="B306" s="79" t="n">
        <x:v>306</x:v>
      </x:c>
      <x:c r="C306" s="79" t="str">
        <x:v>phg-hunter-SHELL-C</x:v>
      </x:c>
      <x:c r="D306" s="79" t="str">
        <x:v>phg-hunter</x:v>
      </x:c>
      <x:c r="E306" s="79" t="str">
        <x:v>Coque fermée</x:v>
      </x:c>
      <x:c r="F306" s="79" t="str">
        <x:v>PARTIEL · prototype technique</x:v>
      </x:c>
      <x:c r="G306" s="79" t="str">
        <x:v>Vérifier forme/proportions/cuirasse 1:1 et textures, pas seulement SVG</x:v>
      </x:c>
      <x:c r="H306" s="79" t="str">
        <x:v>ART+QA</x:v>
      </x:c>
      <x:c r="I306" s="79" t="str">
        <x:v>Oui, pour les contrats techniques uniquement</x:v>
      </x:c>
      <x:c r="J306" s="79" t="str">
        <x:v>P2</x:v>
      </x:c>
      <x:c r="K306" s="79" t="str">
        <x:v>https://github.com/darknigthmare/yautja-la-longue-chasse/blob/feat/v131-gauntlet-hologram-dual-view-20261030/public/game/assets/v136/gauntlets/phg-hunter/02-shell.svg</x:v>
      </x:c>
      <x:c r="L306" s="79" t="str">
        <x:v>Coque individuelle SVG + PNG, non 1:1</x:v>
      </x:c>
    </x:row>
    <x:row r="307" ht="29" customHeight="1">
      <x:c r="A307" s="79" t="str">
        <x:v>05_Assets</x:v>
      </x:c>
      <x:c r="B307" s="79" t="n">
        <x:v>307</x:v>
      </x:c>
      <x:c r="C307" s="79" t="str">
        <x:v>phg-hunter-SHELL-O</x:v>
      </x:c>
      <x:c r="D307" s="79" t="str">
        <x:v>phg-hunter</x:v>
      </x:c>
      <x:c r="E307" s="79" t="str">
        <x:v>Coque ouverte</x:v>
      </x:c>
      <x:c r="F307" s="79" t="str">
        <x:v>PARTIEL · prototype technique</x:v>
      </x:c>
      <x:c r="G307" s="79" t="str">
        <x:v>Mesurer pivot/capots sur film et compléter les états ouvrir-fermer-ranger</x:v>
      </x:c>
      <x:c r="H307" s="79" t="str">
        <x:v>ART+QA</x:v>
      </x:c>
      <x:c r="I307" s="79" t="str">
        <x:v>Oui, pour les contrats techniques uniquement</x:v>
      </x:c>
      <x:c r="J307" s="79" t="str">
        <x:v>P2</x:v>
      </x:c>
      <x:c r="K307" s="79" t="str">
        <x:v>https://github.com/darknigthmare/yautja-la-longue-chasse/blob/feat/v131-gauntlet-hologram-dual-view-20261030/public/game/assets/v136/gauntlets/phg-hunter/04-lid.svg</x:v>
      </x:c>
      <x:c r="L307" s="79" t="str">
        <x:v>Capot ouvrable en React/CSS, animation partielle</x:v>
      </x:c>
    </x:row>
    <x:row r="308" ht="29" customHeight="1">
      <x:c r="A308" s="79" t="str">
        <x:v>05_Assets</x:v>
      </x:c>
      <x:c r="B308" s="79" t="n">
        <x:v>308</x:v>
      </x:c>
      <x:c r="C308" s="79" t="str">
        <x:v>phg-hunter-UI-RED</x:v>
      </x:c>
      <x:c r="D308" s="79" t="str">
        <x:v>phg-hunter</x:v>
      </x:c>
      <x:c r="E308" s="79" t="str">
        <x:v>Contrôle / glyphes</x:v>
      </x:c>
      <x:c r="F308" s="79" t="str">
        <x:v>PARTIEL · prototype technique</x:v>
      </x:c>
      <x:c r="G308" s="79" t="str">
        <x:v>Remplacer symboles conceptuels par graphismes source documentés sans inventer du canon</x:v>
      </x:c>
      <x:c r="H308" s="79" t="str">
        <x:v>ART+QA</x:v>
      </x:c>
      <x:c r="I308" s="79" t="str">
        <x:v>Oui, pour les contrats techniques uniquement</x:v>
      </x:c>
      <x:c r="J308" s="79" t="str">
        <x:v>P2</x:v>
      </x:c>
      <x:c r="K308" s="79" t="str">
        <x:v>https://github.com/darknigthmare/yautja-la-longue-chasse/blob/feat/v131-gauntlet-hologram-dual-view-20261030/public/game/assets/v136/gauntlets/phg-hunter/03-interface.svg</x:v>
      </x:c>
      <x:c r="L308" s="79" t="str">
        <x:v>Interface distincte en SVG / couleurs non certifiées</x:v>
      </x:c>
    </x:row>
    <x:row r="309" ht="29" customHeight="1">
      <x:c r="A309" s="79" t="str">
        <x:v>05_Assets</x:v>
      </x:c>
      <x:c r="B309" s="79" t="n">
        <x:v>309</x:v>
      </x:c>
      <x:c r="C309" s="79" t="str">
        <x:v>phg-hunter-RIBS</x:v>
      </x:c>
      <x:c r="D309" s="79" t="str">
        <x:v>phg-hunter</x:v>
      </x:c>
      <x:c r="E309" s="79" t="str">
        <x:v>Ribures et mécanique</x:v>
      </x:c>
      <x:c r="F309" s="79" t="str">
        <x:v>OUVERT · séparation des sous-pièces</x:v>
      </x:c>
      <x:c r="G309" s="79" t="str">
        <x:v>Découper les pièces mécaniques, valider attaches et reliefs individuels</x:v>
      </x:c>
      <x:c r="H309" s="79" t="str">
        <x:v>ART+QA</x:v>
      </x:c>
      <x:c r="I309" s="79" t="str">
        <x:v>Oui, pour les contrats techniques uniquement</x:v>
      </x:c>
      <x:c r="J309" s="79" t="str">
        <x:v>P2</x:v>
      </x:c>
      <x:c r="K309" s="79" t="str">
        <x:v>https://github.com/darknigthmare/yautja-la-longue-chasse/blob/feat/v131-gauntlet-hologram-dual-view-20261030/public/game/assets/v136/gauntlets/phg-hunter/02-shell.svg</x:v>
      </x:c>
      <x:c r="L309" s="79" t="str">
        <x:v>Détails de coque présents, sous-pièces non séparées</x:v>
      </x:c>
    </x:row>
    <x:row r="310" ht="29" customHeight="1">
      <x:c r="A310" s="79" t="str">
        <x:v>05_Assets</x:v>
      </x:c>
      <x:c r="B310" s="79" t="n">
        <x:v>310</x:v>
      </x:c>
      <x:c r="C310" s="79" t="str">
        <x:v>phg-hunter-BEAM</x:v>
      </x:c>
      <x:c r="D310" s="79" t="str">
        <x:v>phg-hunter</x:v>
      </x:c>
      <x:c r="E310" s="79" t="str">
        <x:v>Émetteur holographique</x:v>
      </x:c>
      <x:c r="F310" s="79" t="str">
        <x:v>PARTIEL · prototype technique</x:v>
      </x:c>
      <x:c r="G310" s="79" t="str">
        <x:v>Conserver fonctionnalité HUD et produire la signature holographique de chaque modèle</x:v>
      </x:c>
      <x:c r="H310" s="79" t="str">
        <x:v>ART+QA</x:v>
      </x:c>
      <x:c r="I310" s="79" t="str">
        <x:v>Oui, pour les contrats techniques uniquement</x:v>
      </x:c>
      <x:c r="J310" s="79" t="str">
        <x:v>P2</x:v>
      </x:c>
      <x:c r="K310" s="79" t="str">
        <x:v>https://github.com/darknigthmare/yautja-la-longue-chasse/blob/feat/v131-gauntlet-hologram-dual-view-20261030/app/game/ClanWarGauntletV131.tsx</x:v>
      </x:c>
      <x:c r="L310" s="79" t="str">
        <x:v>Faisceau du projet (JH dédié, autres effet commun)</x:v>
      </x:c>
    </x:row>
    <x:row r="311" ht="29" customHeight="1">
      <x:c r="A311" s="79" t="str">
        <x:v>05_Assets</x:v>
      </x:c>
      <x:c r="B311" s="79" t="n">
        <x:v>311</x:v>
      </x:c>
      <x:c r="C311" s="79" t="str">
        <x:v>phg-hunter-MOVE</x:v>
      </x:c>
      <x:c r="D311" s="79" t="str">
        <x:v>phg-hunter</x:v>
      </x:c>
      <x:c r="E311" s="79" t="str">
        <x:v>Animations 4 états</x:v>
      </x:c>
      <x:c r="F311" s="79" t="str">
        <x:v>PARTIEL · prototype technique</x:v>
      </x:c>
      <x:c r="G311" s="79" t="str">
        <x:v>Compléter lever, ouvrir, projeter, ranger ; aligner au rig et à la caméra</x:v>
      </x:c>
      <x:c r="H311" s="79" t="str">
        <x:v>ART+QA</x:v>
      </x:c>
      <x:c r="I311" s="79" t="str">
        <x:v>Oui, pour les contrats techniques uniquement</x:v>
      </x:c>
      <x:c r="J311" s="79" t="str">
        <x:v>P2</x:v>
      </x:c>
      <x:c r="K311" s="79" t="str">
        <x:v>https://github.com/darknigthmare/yautja-la-longue-chasse/blob/feat/v131-gauntlet-hologram-dual-view-20261030/public/game/assets/v136/gauntlets/phg-hunter/04-lid.svg</x:v>
      </x:c>
      <x:c r="L311" s="79" t="str">
        <x:v>Capot ouvert/fermé ; 3 gestes complets restent à faire</x:v>
      </x:c>
    </x:row>
    <x:row r="312" ht="29" customHeight="1">
      <x:c r="A312" s="79" t="str">
        <x:v>05_Assets</x:v>
      </x:c>
      <x:c r="B312" s="79" t="n">
        <x:v>312</x:v>
      </x:c>
      <x:c r="C312" s="79" t="str">
        <x:v>phg-hunter-SFX</x:v>
      </x:c>
      <x:c r="D312" s="79" t="str">
        <x:v>phg-hunter</x:v>
      </x:c>
      <x:c r="E312" s="79" t="str">
        <x:v>Identité sonore</x:v>
      </x:c>
      <x:c r="F312" s="79" t="str">
        <x:v>PARTIEL · prototype technique</x:v>
      </x:c>
      <x:c r="G312" s="79" t="str">
        <x:v>Distinguer signatures individualisées, écouter et calibrer mixage/mute</x:v>
      </x:c>
      <x:c r="H312" s="79" t="str">
        <x:v>UI/AUDIO</x:v>
      </x:c>
      <x:c r="I312" s="79" t="str">
        <x:v>Oui, pour les contrats techniques uniquement</x:v>
      </x:c>
      <x:c r="J312" s="79" t="str">
        <x:v>P2</x:v>
      </x:c>
      <x:c r="K312" s="79" t="str">
        <x:v>https://github.com/darknigthmare/yautja-la-longue-chasse/blob/feat/v131-gauntlet-hologram-dual-view-20261030/app/game/sound.ts</x:v>
      </x:c>
      <x:c r="L312" s="79" t="str">
        <x:v>Signature sonore par thème (10 profils), source non cinéma</x:v>
      </x:c>
    </x:row>
    <x:row r="313" ht="29" customHeight="1">
      <x:c r="A313" s="79" t="str">
        <x:v>05_Assets</x:v>
      </x:c>
      <x:c r="B313" s="79" t="n">
        <x:v>313</x:v>
      </x:c>
      <x:c r="C313" s="79" t="str">
        <x:v>phg-hunter-HUD</x:v>
      </x:c>
      <x:c r="D313" s="79" t="str">
        <x:v>phg-hunter</x:v>
      </x:c>
      <x:c r="E313" s="79" t="str">
        <x:v>Palette / projection</x:v>
      </x:c>
      <x:c r="F313" s="79" t="str">
        <x:v>PARTIEL · prototype technique</x:v>
      </x:c>
      <x:c r="G313" s="79" t="str">
        <x:v>Tester toutes résolutions, contrôles, sous-modes et cohérence d'infos</x:v>
      </x:c>
      <x:c r="H313" s="79" t="str">
        <x:v>UI/AUDIO</x:v>
      </x:c>
      <x:c r="I313" s="79" t="str">
        <x:v>Oui, pour les contrats techniques uniquement</x:v>
      </x:c>
      <x:c r="J313" s="79" t="str">
        <x:v>P2</x:v>
      </x:c>
      <x:c r="K313" s="79" t="str">
        <x:v>https://github.com/darknigthmare/yautja-la-longue-chasse/blob/feat/v131-gauntlet-hologram-dual-view-20261030/app/game/ClanWarGauntletV131.tsx</x:v>
      </x:c>
      <x:c r="L313" s="79" t="str">
        <x:v>HUD connecté / simulation intacte ; QA visuelle restante</x:v>
      </x:c>
    </x:row>
    <x:row r="314" ht="29" customHeight="1">
      <x:c r="A314" s="79" t="str">
        <x:v>05_Assets</x:v>
      </x:c>
      <x:c r="B314" s="79" t="n">
        <x:v>314</x:v>
      </x:c>
      <x:c r="C314" s="79" t="str">
        <x:v>phg-hunter-QA</x:v>
      </x:c>
      <x:c r="D314" s="79" t="str">
        <x:v>phg-hunter</x:v>
      </x:c>
      <x:c r="E314" s="79" t="str">
        <x:v>Comparaisons + tests</x:v>
      </x:c>
      <x:c r="F314" s="79" t="str">
        <x:v>PARTIEL · prototype technique</x:v>
      </x:c>
      <x:c r="G314" s="79" t="str">
        <x:v>Réaliser contrôles visuels film/rig + E2E jeu, FPS et accessibilité</x:v>
      </x:c>
      <x:c r="H314" s="79" t="str">
        <x:v>ART+QA</x:v>
      </x:c>
      <x:c r="I314" s="79" t="str">
        <x:v>Oui, pour les contrats techniques uniquement</x:v>
      </x:c>
      <x:c r="J314" s="79" t="str">
        <x:v>P2</x:v>
      </x:c>
      <x:c r="K314" s="79" t="str">
        <x:v>https://github.com/darknigthmare/yautja-la-longue-chasse/blob/feat/v131-gauntlet-hologram-dual-view-20261030/tests/gauntlet-archive-studies-v136.test.mjs</x:v>
      </x:c>
      <x:c r="L314" s="79" t="str">
        <x:v>Tests CI source / alpha / type / navigateur autonome ; 1:1 restant</x:v>
      </x:c>
    </x:row>
    <x:row r="315" ht="29" customHeight="1">
      <x:c r="A315" s="79" t="str">
        <x:v>05_Assets</x:v>
      </x:c>
      <x:c r="B315" s="79" t="n">
        <x:v>315</x:v>
      </x:c>
      <x:c r="C315" s="79" t="str">
        <x:v>phg-scout-ARM-L</x:v>
      </x:c>
      <x:c r="D315" s="79" t="str">
        <x:v>phg-scout</x:v>
      </x:c>
      <x:c r="E315" s="79" t="str">
        <x:v>Bras gauche / poignet</x:v>
      </x:c>
      <x:c r="F315" s="79" t="str">
        <x:v>PARTIEL · prototype technique</x:v>
      </x:c>
      <x:c r="G315" s="79" t="str">
        <x:v>Comparer bras et poignet à plusieurs plans canoniques ; adapter au rig dans toutes poses</x:v>
      </x:c>
      <x:c r="H315" s="79" t="str">
        <x:v>ART+QA</x:v>
      </x:c>
      <x:c r="I315" s="79" t="str">
        <x:v>Oui, pour les contrats techniques uniquement</x:v>
      </x:c>
      <x:c r="J315" s="79" t="str">
        <x:v>P2</x:v>
      </x:c>
      <x:c r="K315" s="79" t="str">
        <x:v>https://github.com/darknigthmare/yautja-la-longue-chasse/blob/feat/v131-gauntlet-hologram-dual-view-20261030/public/game/assets/v136/gauntlets/phg-scout/01-arm.svg</x:v>
      </x:c>
      <x:c r="L315" s="79" t="str">
        <x:v>Prototype SVG individuel + alpha PNG</x:v>
      </x:c>
    </x:row>
    <x:row r="316" ht="29" customHeight="1">
      <x:c r="A316" s="79" t="str">
        <x:v>05_Assets</x:v>
      </x:c>
      <x:c r="B316" s="79" t="n">
        <x:v>316</x:v>
      </x:c>
      <x:c r="C316" s="79" t="str">
        <x:v>phg-scout-SHELL-C</x:v>
      </x:c>
      <x:c r="D316" s="79" t="str">
        <x:v>phg-scout</x:v>
      </x:c>
      <x:c r="E316" s="79" t="str">
        <x:v>Coque fermée</x:v>
      </x:c>
      <x:c r="F316" s="79" t="str">
        <x:v>PARTIEL · prototype technique</x:v>
      </x:c>
      <x:c r="G316" s="79" t="str">
        <x:v>Vérifier forme/proportions/cuirasse 1:1 et textures, pas seulement SVG</x:v>
      </x:c>
      <x:c r="H316" s="79" t="str">
        <x:v>ART+QA</x:v>
      </x:c>
      <x:c r="I316" s="79" t="str">
        <x:v>Oui, pour les contrats techniques uniquement</x:v>
      </x:c>
      <x:c r="J316" s="79" t="str">
        <x:v>P2</x:v>
      </x:c>
      <x:c r="K316" s="79" t="str">
        <x:v>https://github.com/darknigthmare/yautja-la-longue-chasse/blob/feat/v131-gauntlet-hologram-dual-view-20261030/public/game/assets/v136/gauntlets/phg-scout/02-shell.svg</x:v>
      </x:c>
      <x:c r="L316" s="79" t="str">
        <x:v>Coque individuelle SVG + PNG, non 1:1</x:v>
      </x:c>
    </x:row>
    <x:row r="317" ht="29" customHeight="1">
      <x:c r="A317" s="79" t="str">
        <x:v>05_Assets</x:v>
      </x:c>
      <x:c r="B317" s="79" t="n">
        <x:v>317</x:v>
      </x:c>
      <x:c r="C317" s="79" t="str">
        <x:v>phg-scout-SHELL-O</x:v>
      </x:c>
      <x:c r="D317" s="79" t="str">
        <x:v>phg-scout</x:v>
      </x:c>
      <x:c r="E317" s="79" t="str">
        <x:v>Coque ouverte</x:v>
      </x:c>
      <x:c r="F317" s="79" t="str">
        <x:v>PARTIEL · prototype technique</x:v>
      </x:c>
      <x:c r="G317" s="79" t="str">
        <x:v>Mesurer pivot/capots sur film et compléter les états ouvrir-fermer-ranger</x:v>
      </x:c>
      <x:c r="H317" s="79" t="str">
        <x:v>ART+QA</x:v>
      </x:c>
      <x:c r="I317" s="79" t="str">
        <x:v>Oui, pour les contrats techniques uniquement</x:v>
      </x:c>
      <x:c r="J317" s="79" t="str">
        <x:v>P2</x:v>
      </x:c>
      <x:c r="K317" s="79" t="str">
        <x:v>https://github.com/darknigthmare/yautja-la-longue-chasse/blob/feat/v131-gauntlet-hologram-dual-view-20261030/public/game/assets/v136/gauntlets/phg-scout/04-lid.svg</x:v>
      </x:c>
      <x:c r="L317" s="79" t="str">
        <x:v>Capot ouvrable en React/CSS, animation partielle</x:v>
      </x:c>
    </x:row>
    <x:row r="318" ht="29" customHeight="1">
      <x:c r="A318" s="79" t="str">
        <x:v>05_Assets</x:v>
      </x:c>
      <x:c r="B318" s="79" t="n">
        <x:v>318</x:v>
      </x:c>
      <x:c r="C318" s="79" t="str">
        <x:v>phg-scout-UI-RED</x:v>
      </x:c>
      <x:c r="D318" s="79" t="str">
        <x:v>phg-scout</x:v>
      </x:c>
      <x:c r="E318" s="79" t="str">
        <x:v>Contrôle / glyphes</x:v>
      </x:c>
      <x:c r="F318" s="79" t="str">
        <x:v>PARTIEL · prototype technique</x:v>
      </x:c>
      <x:c r="G318" s="79" t="str">
        <x:v>Remplacer symboles conceptuels par graphismes source documentés sans inventer du canon</x:v>
      </x:c>
      <x:c r="H318" s="79" t="str">
        <x:v>ART+QA</x:v>
      </x:c>
      <x:c r="I318" s="79" t="str">
        <x:v>Oui, pour les contrats techniques uniquement</x:v>
      </x:c>
      <x:c r="J318" s="79" t="str">
        <x:v>P2</x:v>
      </x:c>
      <x:c r="K318" s="79" t="str">
        <x:v>https://github.com/darknigthmare/yautja-la-longue-chasse/blob/feat/v131-gauntlet-hologram-dual-view-20261030/public/game/assets/v136/gauntlets/phg-scout/03-interface.svg</x:v>
      </x:c>
      <x:c r="L318" s="79" t="str">
        <x:v>Interface distincte en SVG / couleurs non certifiées</x:v>
      </x:c>
    </x:row>
    <x:row r="319" ht="29" customHeight="1">
      <x:c r="A319" s="79" t="str">
        <x:v>05_Assets</x:v>
      </x:c>
      <x:c r="B319" s="79" t="n">
        <x:v>319</x:v>
      </x:c>
      <x:c r="C319" s="79" t="str">
        <x:v>phg-scout-RIBS</x:v>
      </x:c>
      <x:c r="D319" s="79" t="str">
        <x:v>phg-scout</x:v>
      </x:c>
      <x:c r="E319" s="79" t="str">
        <x:v>Ribures et mécanique</x:v>
      </x:c>
      <x:c r="F319" s="79" t="str">
        <x:v>OUVERT · séparation des sous-pièces</x:v>
      </x:c>
      <x:c r="G319" s="79" t="str">
        <x:v>Découper les pièces mécaniques, valider attaches et reliefs individuels</x:v>
      </x:c>
      <x:c r="H319" s="79" t="str">
        <x:v>ART+QA</x:v>
      </x:c>
      <x:c r="I319" s="79" t="str">
        <x:v>Oui, pour les contrats techniques uniquement</x:v>
      </x:c>
      <x:c r="J319" s="79" t="str">
        <x:v>P2</x:v>
      </x:c>
      <x:c r="K319" s="79" t="str">
        <x:v>https://github.com/darknigthmare/yautja-la-longue-chasse/blob/feat/v131-gauntlet-hologram-dual-view-20261030/public/game/assets/v136/gauntlets/phg-scout/02-shell.svg</x:v>
      </x:c>
      <x:c r="L319" s="79" t="str">
        <x:v>Détails de coque présents, sous-pièces non séparées</x:v>
      </x:c>
    </x:row>
    <x:row r="320" ht="29" customHeight="1">
      <x:c r="A320" s="79" t="str">
        <x:v>05_Assets</x:v>
      </x:c>
      <x:c r="B320" s="79" t="n">
        <x:v>320</x:v>
      </x:c>
      <x:c r="C320" s="79" t="str">
        <x:v>phg-scout-BEAM</x:v>
      </x:c>
      <x:c r="D320" s="79" t="str">
        <x:v>phg-scout</x:v>
      </x:c>
      <x:c r="E320" s="79" t="str">
        <x:v>Émetteur holographique</x:v>
      </x:c>
      <x:c r="F320" s="79" t="str">
        <x:v>PARTIEL · prototype technique</x:v>
      </x:c>
      <x:c r="G320" s="79" t="str">
        <x:v>Conserver fonctionnalité HUD et produire la signature holographique de chaque modèle</x:v>
      </x:c>
      <x:c r="H320" s="79" t="str">
        <x:v>ART+QA</x:v>
      </x:c>
      <x:c r="I320" s="79" t="str">
        <x:v>Oui, pour les contrats techniques uniquement</x:v>
      </x:c>
      <x:c r="J320" s="79" t="str">
        <x:v>P2</x:v>
      </x:c>
      <x:c r="K320" s="79" t="str">
        <x:v>https://github.com/darknigthmare/yautja-la-longue-chasse/blob/feat/v131-gauntlet-hologram-dual-view-20261030/app/game/ClanWarGauntletV131.tsx</x:v>
      </x:c>
      <x:c r="L320" s="79" t="str">
        <x:v>Faisceau du projet (JH dédié, autres effet commun)</x:v>
      </x:c>
    </x:row>
    <x:row r="321" ht="29" customHeight="1">
      <x:c r="A321" s="79" t="str">
        <x:v>05_Assets</x:v>
      </x:c>
      <x:c r="B321" s="79" t="n">
        <x:v>321</x:v>
      </x:c>
      <x:c r="C321" s="79" t="str">
        <x:v>phg-scout-MOVE</x:v>
      </x:c>
      <x:c r="D321" s="79" t="str">
        <x:v>phg-scout</x:v>
      </x:c>
      <x:c r="E321" s="79" t="str">
        <x:v>Animations 4 états</x:v>
      </x:c>
      <x:c r="F321" s="79" t="str">
        <x:v>PARTIEL · prototype technique</x:v>
      </x:c>
      <x:c r="G321" s="79" t="str">
        <x:v>Compléter lever, ouvrir, projeter, ranger ; aligner au rig et à la caméra</x:v>
      </x:c>
      <x:c r="H321" s="79" t="str">
        <x:v>ART+QA</x:v>
      </x:c>
      <x:c r="I321" s="79" t="str">
        <x:v>Oui, pour les contrats techniques uniquement</x:v>
      </x:c>
      <x:c r="J321" s="79" t="str">
        <x:v>P2</x:v>
      </x:c>
      <x:c r="K321" s="79" t="str">
        <x:v>https://github.com/darknigthmare/yautja-la-longue-chasse/blob/feat/v131-gauntlet-hologram-dual-view-20261030/public/game/assets/v136/gauntlets/phg-scout/04-lid.svg</x:v>
      </x:c>
      <x:c r="L321" s="79" t="str">
        <x:v>Capot ouvert/fermé ; 3 gestes complets restent à faire</x:v>
      </x:c>
    </x:row>
    <x:row r="322" ht="29" customHeight="1">
      <x:c r="A322" s="79" t="str">
        <x:v>05_Assets</x:v>
      </x:c>
      <x:c r="B322" s="79" t="n">
        <x:v>322</x:v>
      </x:c>
      <x:c r="C322" s="79" t="str">
        <x:v>phg-scout-SFX</x:v>
      </x:c>
      <x:c r="D322" s="79" t="str">
        <x:v>phg-scout</x:v>
      </x:c>
      <x:c r="E322" s="79" t="str">
        <x:v>Identité sonore</x:v>
      </x:c>
      <x:c r="F322" s="79" t="str">
        <x:v>PARTIEL · prototype technique</x:v>
      </x:c>
      <x:c r="G322" s="79" t="str">
        <x:v>Distinguer signatures individualisées, écouter et calibrer mixage/mute</x:v>
      </x:c>
      <x:c r="H322" s="79" t="str">
        <x:v>UI/AUDIO</x:v>
      </x:c>
      <x:c r="I322" s="79" t="str">
        <x:v>Oui, pour les contrats techniques uniquement</x:v>
      </x:c>
      <x:c r="J322" s="79" t="str">
        <x:v>P2</x:v>
      </x:c>
      <x:c r="K322" s="79" t="str">
        <x:v>https://github.com/darknigthmare/yautja-la-longue-chasse/blob/feat/v131-gauntlet-hologram-dual-view-20261030/app/game/sound.ts</x:v>
      </x:c>
      <x:c r="L322" s="79" t="str">
        <x:v>Signature sonore par thème (10 profils), source non cinéma</x:v>
      </x:c>
    </x:row>
    <x:row r="323" ht="29" customHeight="1">
      <x:c r="A323" s="79" t="str">
        <x:v>05_Assets</x:v>
      </x:c>
      <x:c r="B323" s="79" t="n">
        <x:v>323</x:v>
      </x:c>
      <x:c r="C323" s="79" t="str">
        <x:v>phg-scout-HUD</x:v>
      </x:c>
      <x:c r="D323" s="79" t="str">
        <x:v>phg-scout</x:v>
      </x:c>
      <x:c r="E323" s="79" t="str">
        <x:v>Palette / projection</x:v>
      </x:c>
      <x:c r="F323" s="79" t="str">
        <x:v>PARTIEL · prototype technique</x:v>
      </x:c>
      <x:c r="G323" s="79" t="str">
        <x:v>Tester toutes résolutions, contrôles, sous-modes et cohérence d'infos</x:v>
      </x:c>
      <x:c r="H323" s="79" t="str">
        <x:v>UI/AUDIO</x:v>
      </x:c>
      <x:c r="I323" s="79" t="str">
        <x:v>Oui, pour les contrats techniques uniquement</x:v>
      </x:c>
      <x:c r="J323" s="79" t="str">
        <x:v>P2</x:v>
      </x:c>
      <x:c r="K323" s="79" t="str">
        <x:v>https://github.com/darknigthmare/yautja-la-longue-chasse/blob/feat/v131-gauntlet-hologram-dual-view-20261030/app/game/ClanWarGauntletV131.tsx</x:v>
      </x:c>
      <x:c r="L323" s="79" t="str">
        <x:v>HUD connecté / simulation intacte ; QA visuelle restante</x:v>
      </x:c>
    </x:row>
    <x:row r="324" ht="29" customHeight="1">
      <x:c r="A324" s="79" t="str">
        <x:v>05_Assets</x:v>
      </x:c>
      <x:c r="B324" s="79" t="n">
        <x:v>324</x:v>
      </x:c>
      <x:c r="C324" s="79" t="str">
        <x:v>phg-scout-QA</x:v>
      </x:c>
      <x:c r="D324" s="79" t="str">
        <x:v>phg-scout</x:v>
      </x:c>
      <x:c r="E324" s="79" t="str">
        <x:v>Comparaisons + tests</x:v>
      </x:c>
      <x:c r="F324" s="79" t="str">
        <x:v>PARTIEL · prototype technique</x:v>
      </x:c>
      <x:c r="G324" s="79" t="str">
        <x:v>Réaliser contrôles visuels film/rig + E2E jeu, FPS et accessibilité</x:v>
      </x:c>
      <x:c r="H324" s="79" t="str">
        <x:v>ART+QA</x:v>
      </x:c>
      <x:c r="I324" s="79" t="str">
        <x:v>Oui, pour les contrats techniques uniquement</x:v>
      </x:c>
      <x:c r="J324" s="79" t="str">
        <x:v>P2</x:v>
      </x:c>
      <x:c r="K324" s="79" t="str">
        <x:v>https://github.com/darknigthmare/yautja-la-longue-chasse/blob/feat/v131-gauntlet-hologram-dual-view-20261030/tests/gauntlet-archive-studies-v136.test.mjs</x:v>
      </x:c>
      <x:c r="L324" s="79" t="str">
        <x:v>Tests CI source / alpha / type / navigateur autonome ; 1:1 restant</x:v>
      </x:c>
    </x:row>
    <x:row r="325" ht="29" customHeight="1">
      <x:c r="A325" s="79" t="str">
        <x:v>05_Assets</x:v>
      </x:c>
      <x:c r="B325" s="79" t="n">
        <x:v>325</x:v>
      </x:c>
      <x:c r="C325" s="79" t="str">
        <x:v>phg-berserker-ARM-L</x:v>
      </x:c>
      <x:c r="D325" s="79" t="str">
        <x:v>phg-berserker</x:v>
      </x:c>
      <x:c r="E325" s="79" t="str">
        <x:v>Bras gauche / poignet</x:v>
      </x:c>
      <x:c r="F325" s="79" t="str">
        <x:v>PARTIEL · prototype technique</x:v>
      </x:c>
      <x:c r="G325" s="79" t="str">
        <x:v>Comparer bras et poignet à plusieurs plans canoniques ; adapter au rig dans toutes poses</x:v>
      </x:c>
      <x:c r="H325" s="79" t="str">
        <x:v>ART+QA</x:v>
      </x:c>
      <x:c r="I325" s="79" t="str">
        <x:v>Oui, pour les contrats techniques uniquement</x:v>
      </x:c>
      <x:c r="J325" s="79" t="str">
        <x:v>P2</x:v>
      </x:c>
      <x:c r="K325" s="79" t="str">
        <x:v>https://github.com/darknigthmare/yautja-la-longue-chasse/blob/feat/v131-gauntlet-hologram-dual-view-20261030/public/game/assets/v136/gauntlets/phg-berserker/01-arm.svg</x:v>
      </x:c>
      <x:c r="L325" s="79" t="str">
        <x:v>Prototype SVG individuel + alpha PNG</x:v>
      </x:c>
    </x:row>
    <x:row r="326" ht="29" customHeight="1">
      <x:c r="A326" s="79" t="str">
        <x:v>05_Assets</x:v>
      </x:c>
      <x:c r="B326" s="79" t="n">
        <x:v>326</x:v>
      </x:c>
      <x:c r="C326" s="79" t="str">
        <x:v>phg-berserker-SHELL-C</x:v>
      </x:c>
      <x:c r="D326" s="79" t="str">
        <x:v>phg-berserker</x:v>
      </x:c>
      <x:c r="E326" s="79" t="str">
        <x:v>Coque fermée</x:v>
      </x:c>
      <x:c r="F326" s="79" t="str">
        <x:v>PARTIEL · prototype technique</x:v>
      </x:c>
      <x:c r="G326" s="79" t="str">
        <x:v>Vérifier forme/proportions/cuirasse 1:1 et textures, pas seulement SVG</x:v>
      </x:c>
      <x:c r="H326" s="79" t="str">
        <x:v>ART+QA</x:v>
      </x:c>
      <x:c r="I326" s="79" t="str">
        <x:v>Oui, pour les contrats techniques uniquement</x:v>
      </x:c>
      <x:c r="J326" s="79" t="str">
        <x:v>P2</x:v>
      </x:c>
      <x:c r="K326" s="79" t="str">
        <x:v>https://github.com/darknigthmare/yautja-la-longue-chasse/blob/feat/v131-gauntlet-hologram-dual-view-20261030/public/game/assets/v136/gauntlets/phg-berserker/02-shell.svg</x:v>
      </x:c>
      <x:c r="L326" s="79" t="str">
        <x:v>Coque individuelle SVG + PNG, non 1:1</x:v>
      </x:c>
    </x:row>
    <x:row r="327" ht="29" customHeight="1">
      <x:c r="A327" s="79" t="str">
        <x:v>05_Assets</x:v>
      </x:c>
      <x:c r="B327" s="79" t="n">
        <x:v>327</x:v>
      </x:c>
      <x:c r="C327" s="79" t="str">
        <x:v>phg-berserker-SHELL-O</x:v>
      </x:c>
      <x:c r="D327" s="79" t="str">
        <x:v>phg-berserker</x:v>
      </x:c>
      <x:c r="E327" s="79" t="str">
        <x:v>Coque ouverte</x:v>
      </x:c>
      <x:c r="F327" s="79" t="str">
        <x:v>PARTIEL · prototype technique</x:v>
      </x:c>
      <x:c r="G327" s="79" t="str">
        <x:v>Mesurer pivot/capots sur film et compléter les états ouvrir-fermer-ranger</x:v>
      </x:c>
      <x:c r="H327" s="79" t="str">
        <x:v>ART+QA</x:v>
      </x:c>
      <x:c r="I327" s="79" t="str">
        <x:v>Oui, pour les contrats techniques uniquement</x:v>
      </x:c>
      <x:c r="J327" s="79" t="str">
        <x:v>P2</x:v>
      </x:c>
      <x:c r="K327" s="79" t="str">
        <x:v>https://github.com/darknigthmare/yautja-la-longue-chasse/blob/feat/v131-gauntlet-hologram-dual-view-20261030/public/game/assets/v136/gauntlets/phg-berserker/04-lid.svg</x:v>
      </x:c>
      <x:c r="L327" s="79" t="str">
        <x:v>Capot ouvrable en React/CSS, animation partielle</x:v>
      </x:c>
    </x:row>
    <x:row r="328" ht="29" customHeight="1">
      <x:c r="A328" s="79" t="str">
        <x:v>05_Assets</x:v>
      </x:c>
      <x:c r="B328" s="79" t="n">
        <x:v>328</x:v>
      </x:c>
      <x:c r="C328" s="79" t="str">
        <x:v>phg-berserker-UI-RED</x:v>
      </x:c>
      <x:c r="D328" s="79" t="str">
        <x:v>phg-berserker</x:v>
      </x:c>
      <x:c r="E328" s="79" t="str">
        <x:v>Contrôle / glyphes</x:v>
      </x:c>
      <x:c r="F328" s="79" t="str">
        <x:v>PARTIEL · prototype technique</x:v>
      </x:c>
      <x:c r="G328" s="79" t="str">
        <x:v>Remplacer symboles conceptuels par graphismes source documentés sans inventer du canon</x:v>
      </x:c>
      <x:c r="H328" s="79" t="str">
        <x:v>ART+QA</x:v>
      </x:c>
      <x:c r="I328" s="79" t="str">
        <x:v>Oui, pour les contrats techniques uniquement</x:v>
      </x:c>
      <x:c r="J328" s="79" t="str">
        <x:v>P2</x:v>
      </x:c>
      <x:c r="K328" s="79" t="str">
        <x:v>https://github.com/darknigthmare/yautja-la-longue-chasse/blob/feat/v131-gauntlet-hologram-dual-view-20261030/public/game/assets/v136/gauntlets/phg-berserker/03-interface.svg</x:v>
      </x:c>
      <x:c r="L328" s="79" t="str">
        <x:v>Interface distincte en SVG / couleurs non certifiées</x:v>
      </x:c>
    </x:row>
    <x:row r="329" ht="29" customHeight="1">
      <x:c r="A329" s="79" t="str">
        <x:v>05_Assets</x:v>
      </x:c>
      <x:c r="B329" s="79" t="n">
        <x:v>329</x:v>
      </x:c>
      <x:c r="C329" s="79" t="str">
        <x:v>phg-berserker-RIBS</x:v>
      </x:c>
      <x:c r="D329" s="79" t="str">
        <x:v>phg-berserker</x:v>
      </x:c>
      <x:c r="E329" s="79" t="str">
        <x:v>Ribures et mécanique</x:v>
      </x:c>
      <x:c r="F329" s="79" t="str">
        <x:v>OUVERT · séparation des sous-pièces</x:v>
      </x:c>
      <x:c r="G329" s="79" t="str">
        <x:v>Découper les pièces mécaniques, valider attaches et reliefs individuels</x:v>
      </x:c>
      <x:c r="H329" s="79" t="str">
        <x:v>ART+QA</x:v>
      </x:c>
      <x:c r="I329" s="79" t="str">
        <x:v>Oui, pour les contrats techniques uniquement</x:v>
      </x:c>
      <x:c r="J329" s="79" t="str">
        <x:v>P2</x:v>
      </x:c>
      <x:c r="K329" s="79" t="str">
        <x:v>https://github.com/darknigthmare/yautja-la-longue-chasse/blob/feat/v131-gauntlet-hologram-dual-view-20261030/public/game/assets/v136/gauntlets/phg-berserker/02-shell.svg</x:v>
      </x:c>
      <x:c r="L329" s="79" t="str">
        <x:v>Détails de coque présents, sous-pièces non séparées</x:v>
      </x:c>
    </x:row>
    <x:row r="330" ht="29" customHeight="1">
      <x:c r="A330" s="79" t="str">
        <x:v>05_Assets</x:v>
      </x:c>
      <x:c r="B330" s="79" t="n">
        <x:v>330</x:v>
      </x:c>
      <x:c r="C330" s="79" t="str">
        <x:v>phg-berserker-BEAM</x:v>
      </x:c>
      <x:c r="D330" s="79" t="str">
        <x:v>phg-berserker</x:v>
      </x:c>
      <x:c r="E330" s="79" t="str">
        <x:v>Émetteur holographique</x:v>
      </x:c>
      <x:c r="F330" s="79" t="str">
        <x:v>PARTIEL · prototype technique</x:v>
      </x:c>
      <x:c r="G330" s="79" t="str">
        <x:v>Conserver fonctionnalité HUD et produire la signature holographique de chaque modèle</x:v>
      </x:c>
      <x:c r="H330" s="79" t="str">
        <x:v>ART+QA</x:v>
      </x:c>
      <x:c r="I330" s="79" t="str">
        <x:v>Oui, pour les contrats techniques uniquement</x:v>
      </x:c>
      <x:c r="J330" s="79" t="str">
        <x:v>P2</x:v>
      </x:c>
      <x:c r="K330" s="79" t="str">
        <x:v>https://github.com/darknigthmare/yautja-la-longue-chasse/blob/feat/v131-gauntlet-hologram-dual-view-20261030/app/game/ClanWarGauntletV131.tsx</x:v>
      </x:c>
      <x:c r="L330" s="79" t="str">
        <x:v>Faisceau du projet (JH dédié, autres effet commun)</x:v>
      </x:c>
    </x:row>
    <x:row r="331" ht="29" customHeight="1">
      <x:c r="A331" s="79" t="str">
        <x:v>05_Assets</x:v>
      </x:c>
      <x:c r="B331" s="79" t="n">
        <x:v>331</x:v>
      </x:c>
      <x:c r="C331" s="79" t="str">
        <x:v>phg-berserker-MOVE</x:v>
      </x:c>
      <x:c r="D331" s="79" t="str">
        <x:v>phg-berserker</x:v>
      </x:c>
      <x:c r="E331" s="79" t="str">
        <x:v>Animations 4 états</x:v>
      </x:c>
      <x:c r="F331" s="79" t="str">
        <x:v>PARTIEL · prototype technique</x:v>
      </x:c>
      <x:c r="G331" s="79" t="str">
        <x:v>Compléter lever, ouvrir, projeter, ranger ; aligner au rig et à la caméra</x:v>
      </x:c>
      <x:c r="H331" s="79" t="str">
        <x:v>ART+QA</x:v>
      </x:c>
      <x:c r="I331" s="79" t="str">
        <x:v>Oui, pour les contrats techniques uniquement</x:v>
      </x:c>
      <x:c r="J331" s="79" t="str">
        <x:v>P2</x:v>
      </x:c>
      <x:c r="K331" s="79" t="str">
        <x:v>https://github.com/darknigthmare/yautja-la-longue-chasse/blob/feat/v131-gauntlet-hologram-dual-view-20261030/public/game/assets/v136/gauntlets/phg-berserker/04-lid.svg</x:v>
      </x:c>
      <x:c r="L331" s="79" t="str">
        <x:v>Capot ouvert/fermé ; 3 gestes complets restent à faire</x:v>
      </x:c>
    </x:row>
    <x:row r="332" ht="29" customHeight="1">
      <x:c r="A332" s="79" t="str">
        <x:v>05_Assets</x:v>
      </x:c>
      <x:c r="B332" s="79" t="n">
        <x:v>332</x:v>
      </x:c>
      <x:c r="C332" s="79" t="str">
        <x:v>phg-berserker-SFX</x:v>
      </x:c>
      <x:c r="D332" s="79" t="str">
        <x:v>phg-berserker</x:v>
      </x:c>
      <x:c r="E332" s="79" t="str">
        <x:v>Identité sonore</x:v>
      </x:c>
      <x:c r="F332" s="79" t="str">
        <x:v>PARTIEL · prototype technique</x:v>
      </x:c>
      <x:c r="G332" s="79" t="str">
        <x:v>Distinguer signatures individualisées, écouter et calibrer mixage/mute</x:v>
      </x:c>
      <x:c r="H332" s="79" t="str">
        <x:v>UI/AUDIO</x:v>
      </x:c>
      <x:c r="I332" s="79" t="str">
        <x:v>Oui, pour les contrats techniques uniquement</x:v>
      </x:c>
      <x:c r="J332" s="79" t="str">
        <x:v>P2</x:v>
      </x:c>
      <x:c r="K332" s="79" t="str">
        <x:v>https://github.com/darknigthmare/yautja-la-longue-chasse/blob/feat/v131-gauntlet-hologram-dual-view-20261030/app/game/sound.ts</x:v>
      </x:c>
      <x:c r="L332" s="79" t="str">
        <x:v>Signature sonore par thème (10 profils), source non cinéma</x:v>
      </x:c>
    </x:row>
    <x:row r="333" ht="29" customHeight="1">
      <x:c r="A333" s="79" t="str">
        <x:v>05_Assets</x:v>
      </x:c>
      <x:c r="B333" s="79" t="n">
        <x:v>333</x:v>
      </x:c>
      <x:c r="C333" s="79" t="str">
        <x:v>phg-berserker-HUD</x:v>
      </x:c>
      <x:c r="D333" s="79" t="str">
        <x:v>phg-berserker</x:v>
      </x:c>
      <x:c r="E333" s="79" t="str">
        <x:v>Palette / projection</x:v>
      </x:c>
      <x:c r="F333" s="79" t="str">
        <x:v>PARTIEL · prototype technique</x:v>
      </x:c>
      <x:c r="G333" s="79" t="str">
        <x:v>Tester toutes résolutions, contrôles, sous-modes et cohérence d'infos</x:v>
      </x:c>
      <x:c r="H333" s="79" t="str">
        <x:v>UI/AUDIO</x:v>
      </x:c>
      <x:c r="I333" s="79" t="str">
        <x:v>Oui, pour les contrats techniques uniquement</x:v>
      </x:c>
      <x:c r="J333" s="79" t="str">
        <x:v>P2</x:v>
      </x:c>
      <x:c r="K333" s="79" t="str">
        <x:v>https://github.com/darknigthmare/yautja-la-longue-chasse/blob/feat/v131-gauntlet-hologram-dual-view-20261030/app/game/ClanWarGauntletV131.tsx</x:v>
      </x:c>
      <x:c r="L333" s="79" t="str">
        <x:v>HUD connecté / simulation intacte ; QA visuelle restante</x:v>
      </x:c>
    </x:row>
    <x:row r="334" ht="29" customHeight="1">
      <x:c r="A334" s="79" t="str">
        <x:v>05_Assets</x:v>
      </x:c>
      <x:c r="B334" s="79" t="n">
        <x:v>334</x:v>
      </x:c>
      <x:c r="C334" s="79" t="str">
        <x:v>phg-berserker-QA</x:v>
      </x:c>
      <x:c r="D334" s="79" t="str">
        <x:v>phg-berserker</x:v>
      </x:c>
      <x:c r="E334" s="79" t="str">
        <x:v>Comparaisons + tests</x:v>
      </x:c>
      <x:c r="F334" s="79" t="str">
        <x:v>PARTIEL · prototype technique</x:v>
      </x:c>
      <x:c r="G334" s="79" t="str">
        <x:v>Réaliser contrôles visuels film/rig + E2E jeu, FPS et accessibilité</x:v>
      </x:c>
      <x:c r="H334" s="79" t="str">
        <x:v>ART+QA</x:v>
      </x:c>
      <x:c r="I334" s="79" t="str">
        <x:v>Oui, pour les contrats techniques uniquement</x:v>
      </x:c>
      <x:c r="J334" s="79" t="str">
        <x:v>P2</x:v>
      </x:c>
      <x:c r="K334" s="79" t="str">
        <x:v>https://github.com/darknigthmare/yautja-la-longue-chasse/blob/feat/v131-gauntlet-hologram-dual-view-20261030/tests/gauntlet-archive-studies-v136.test.mjs</x:v>
      </x:c>
      <x:c r="L334" s="79" t="str">
        <x:v>Tests CI source / alpha / type / navigateur autonome ; 1:1 restant</x:v>
      </x:c>
    </x:row>
    <x:row r="335" ht="29" customHeight="1">
      <x:c r="A335" s="79" t="str">
        <x:v>05_Assets</x:v>
      </x:c>
      <x:c r="B335" s="79" t="n">
        <x:v>335</x:v>
      </x:c>
      <x:c r="C335" s="79" t="str">
        <x:v>phg-alpha-ARM-L</x:v>
      </x:c>
      <x:c r="D335" s="79" t="str">
        <x:v>phg-alpha</x:v>
      </x:c>
      <x:c r="E335" s="79" t="str">
        <x:v>Bras gauche / poignet</x:v>
      </x:c>
      <x:c r="F335" s="79" t="str">
        <x:v>PARTIEL · prototype technique</x:v>
      </x:c>
      <x:c r="G335" s="79" t="str">
        <x:v>Comparer bras et poignet à plusieurs plans canoniques ; adapter au rig dans toutes poses</x:v>
      </x:c>
      <x:c r="H335" s="79" t="str">
        <x:v>ART+QA</x:v>
      </x:c>
      <x:c r="I335" s="79" t="str">
        <x:v>Oui, pour les contrats techniques uniquement</x:v>
      </x:c>
      <x:c r="J335" s="79" t="str">
        <x:v>P2</x:v>
      </x:c>
      <x:c r="K335" s="79" t="str">
        <x:v>https://github.com/darknigthmare/yautja-la-longue-chasse/blob/feat/v131-gauntlet-hologram-dual-view-20261030/public/game/assets/v136/gauntlets/phg-alpha/01-arm.svg</x:v>
      </x:c>
      <x:c r="L335" s="79" t="str">
        <x:v>Prototype SVG individuel + alpha PNG</x:v>
      </x:c>
    </x:row>
    <x:row r="336" ht="29" customHeight="1">
      <x:c r="A336" s="79" t="str">
        <x:v>05_Assets</x:v>
      </x:c>
      <x:c r="B336" s="79" t="n">
        <x:v>336</x:v>
      </x:c>
      <x:c r="C336" s="79" t="str">
        <x:v>phg-alpha-SHELL-C</x:v>
      </x:c>
      <x:c r="D336" s="79" t="str">
        <x:v>phg-alpha</x:v>
      </x:c>
      <x:c r="E336" s="79" t="str">
        <x:v>Coque fermée</x:v>
      </x:c>
      <x:c r="F336" s="79" t="str">
        <x:v>PARTIEL · prototype technique</x:v>
      </x:c>
      <x:c r="G336" s="79" t="str">
        <x:v>Vérifier forme/proportions/cuirasse 1:1 et textures, pas seulement SVG</x:v>
      </x:c>
      <x:c r="H336" s="79" t="str">
        <x:v>ART+QA</x:v>
      </x:c>
      <x:c r="I336" s="79" t="str">
        <x:v>Oui, pour les contrats techniques uniquement</x:v>
      </x:c>
      <x:c r="J336" s="79" t="str">
        <x:v>P2</x:v>
      </x:c>
      <x:c r="K336" s="79" t="str">
        <x:v>https://github.com/darknigthmare/yautja-la-longue-chasse/blob/feat/v131-gauntlet-hologram-dual-view-20261030/public/game/assets/v136/gauntlets/phg-alpha/02-shell.svg</x:v>
      </x:c>
      <x:c r="L336" s="79" t="str">
        <x:v>Coque individuelle SVG + PNG, non 1:1</x:v>
      </x:c>
    </x:row>
    <x:row r="337" ht="29" customHeight="1">
      <x:c r="A337" s="79" t="str">
        <x:v>05_Assets</x:v>
      </x:c>
      <x:c r="B337" s="79" t="n">
        <x:v>337</x:v>
      </x:c>
      <x:c r="C337" s="79" t="str">
        <x:v>phg-alpha-SHELL-O</x:v>
      </x:c>
      <x:c r="D337" s="79" t="str">
        <x:v>phg-alpha</x:v>
      </x:c>
      <x:c r="E337" s="79" t="str">
        <x:v>Coque ouverte</x:v>
      </x:c>
      <x:c r="F337" s="79" t="str">
        <x:v>PARTIEL · prototype technique</x:v>
      </x:c>
      <x:c r="G337" s="79" t="str">
        <x:v>Mesurer pivot/capots sur film et compléter les états ouvrir-fermer-ranger</x:v>
      </x:c>
      <x:c r="H337" s="79" t="str">
        <x:v>ART+QA</x:v>
      </x:c>
      <x:c r="I337" s="79" t="str">
        <x:v>Oui, pour les contrats techniques uniquement</x:v>
      </x:c>
      <x:c r="J337" s="79" t="str">
        <x:v>P2</x:v>
      </x:c>
      <x:c r="K337" s="79" t="str">
        <x:v>https://github.com/darknigthmare/yautja-la-longue-chasse/blob/feat/v131-gauntlet-hologram-dual-view-20261030/public/game/assets/v136/gauntlets/phg-alpha/04-lid.svg</x:v>
      </x:c>
      <x:c r="L337" s="79" t="str">
        <x:v>Capot ouvrable en React/CSS, animation partielle</x:v>
      </x:c>
    </x:row>
    <x:row r="338" ht="29" customHeight="1">
      <x:c r="A338" s="79" t="str">
        <x:v>05_Assets</x:v>
      </x:c>
      <x:c r="B338" s="79" t="n">
        <x:v>338</x:v>
      </x:c>
      <x:c r="C338" s="79" t="str">
        <x:v>phg-alpha-UI-RED</x:v>
      </x:c>
      <x:c r="D338" s="79" t="str">
        <x:v>phg-alpha</x:v>
      </x:c>
      <x:c r="E338" s="79" t="str">
        <x:v>Contrôle / glyphes</x:v>
      </x:c>
      <x:c r="F338" s="79" t="str">
        <x:v>PARTIEL · prototype technique</x:v>
      </x:c>
      <x:c r="G338" s="79" t="str">
        <x:v>Remplacer symboles conceptuels par graphismes source documentés sans inventer du canon</x:v>
      </x:c>
      <x:c r="H338" s="79" t="str">
        <x:v>ART+QA</x:v>
      </x:c>
      <x:c r="I338" s="79" t="str">
        <x:v>Oui, pour les contrats techniques uniquement</x:v>
      </x:c>
      <x:c r="J338" s="79" t="str">
        <x:v>P2</x:v>
      </x:c>
      <x:c r="K338" s="79" t="str">
        <x:v>https://github.com/darknigthmare/yautja-la-longue-chasse/blob/feat/v131-gauntlet-hologram-dual-view-20261030/public/game/assets/v136/gauntlets/phg-alpha/03-interface.svg</x:v>
      </x:c>
      <x:c r="L338" s="79" t="str">
        <x:v>Interface distincte en SVG / couleurs non certifiées</x:v>
      </x:c>
    </x:row>
    <x:row r="339" ht="29" customHeight="1">
      <x:c r="A339" s="79" t="str">
        <x:v>05_Assets</x:v>
      </x:c>
      <x:c r="B339" s="79" t="n">
        <x:v>339</x:v>
      </x:c>
      <x:c r="C339" s="79" t="str">
        <x:v>phg-alpha-RIBS</x:v>
      </x:c>
      <x:c r="D339" s="79" t="str">
        <x:v>phg-alpha</x:v>
      </x:c>
      <x:c r="E339" s="79" t="str">
        <x:v>Ribures et mécanique</x:v>
      </x:c>
      <x:c r="F339" s="79" t="str">
        <x:v>OUVERT · séparation des sous-pièces</x:v>
      </x:c>
      <x:c r="G339" s="79" t="str">
        <x:v>Découper les pièces mécaniques, valider attaches et reliefs individuels</x:v>
      </x:c>
      <x:c r="H339" s="79" t="str">
        <x:v>ART+QA</x:v>
      </x:c>
      <x:c r="I339" s="79" t="str">
        <x:v>Oui, pour les contrats techniques uniquement</x:v>
      </x:c>
      <x:c r="J339" s="79" t="str">
        <x:v>P2</x:v>
      </x:c>
      <x:c r="K339" s="79" t="str">
        <x:v>https://github.com/darknigthmare/yautja-la-longue-chasse/blob/feat/v131-gauntlet-hologram-dual-view-20261030/public/game/assets/v136/gauntlets/phg-alpha/02-shell.svg</x:v>
      </x:c>
      <x:c r="L339" s="79" t="str">
        <x:v>Détails de coque présents, sous-pièces non séparées</x:v>
      </x:c>
    </x:row>
    <x:row r="340" ht="29" customHeight="1">
      <x:c r="A340" s="79" t="str">
        <x:v>05_Assets</x:v>
      </x:c>
      <x:c r="B340" s="79" t="n">
        <x:v>340</x:v>
      </x:c>
      <x:c r="C340" s="79" t="str">
        <x:v>phg-alpha-BEAM</x:v>
      </x:c>
      <x:c r="D340" s="79" t="str">
        <x:v>phg-alpha</x:v>
      </x:c>
      <x:c r="E340" s="79" t="str">
        <x:v>Émetteur holographique</x:v>
      </x:c>
      <x:c r="F340" s="79" t="str">
        <x:v>PARTIEL · prototype technique</x:v>
      </x:c>
      <x:c r="G340" s="79" t="str">
        <x:v>Conserver fonctionnalité HUD et produire la signature holographique de chaque modèle</x:v>
      </x:c>
      <x:c r="H340" s="79" t="str">
        <x:v>ART+QA</x:v>
      </x:c>
      <x:c r="I340" s="79" t="str">
        <x:v>Oui, pour les contrats techniques uniquement</x:v>
      </x:c>
      <x:c r="J340" s="79" t="str">
        <x:v>P2</x:v>
      </x:c>
      <x:c r="K340" s="79" t="str">
        <x:v>https://github.com/darknigthmare/yautja-la-longue-chasse/blob/feat/v131-gauntlet-hologram-dual-view-20261030/app/game/ClanWarGauntletV131.tsx</x:v>
      </x:c>
      <x:c r="L340" s="79" t="str">
        <x:v>Faisceau du projet (JH dédié, autres effet commun)</x:v>
      </x:c>
    </x:row>
    <x:row r="341" ht="29" customHeight="1">
      <x:c r="A341" s="79" t="str">
        <x:v>05_Assets</x:v>
      </x:c>
      <x:c r="B341" s="79" t="n">
        <x:v>341</x:v>
      </x:c>
      <x:c r="C341" s="79" t="str">
        <x:v>phg-alpha-MOVE</x:v>
      </x:c>
      <x:c r="D341" s="79" t="str">
        <x:v>phg-alpha</x:v>
      </x:c>
      <x:c r="E341" s="79" t="str">
        <x:v>Animations 4 états</x:v>
      </x:c>
      <x:c r="F341" s="79" t="str">
        <x:v>PARTIEL · prototype technique</x:v>
      </x:c>
      <x:c r="G341" s="79" t="str">
        <x:v>Compléter lever, ouvrir, projeter, ranger ; aligner au rig et à la caméra</x:v>
      </x:c>
      <x:c r="H341" s="79" t="str">
        <x:v>ART+QA</x:v>
      </x:c>
      <x:c r="I341" s="79" t="str">
        <x:v>Oui, pour les contrats techniques uniquement</x:v>
      </x:c>
      <x:c r="J341" s="79" t="str">
        <x:v>P2</x:v>
      </x:c>
      <x:c r="K341" s="79" t="str">
        <x:v>https://github.com/darknigthmare/yautja-la-longue-chasse/blob/feat/v131-gauntlet-hologram-dual-view-20261030/public/game/assets/v136/gauntlets/phg-alpha/04-lid.svg</x:v>
      </x:c>
      <x:c r="L341" s="79" t="str">
        <x:v>Capot ouvert/fermé ; 3 gestes complets restent à faire</x:v>
      </x:c>
    </x:row>
    <x:row r="342" ht="29" customHeight="1">
      <x:c r="A342" s="79" t="str">
        <x:v>05_Assets</x:v>
      </x:c>
      <x:c r="B342" s="79" t="n">
        <x:v>342</x:v>
      </x:c>
      <x:c r="C342" s="79" t="str">
        <x:v>phg-alpha-SFX</x:v>
      </x:c>
      <x:c r="D342" s="79" t="str">
        <x:v>phg-alpha</x:v>
      </x:c>
      <x:c r="E342" s="79" t="str">
        <x:v>Identité sonore</x:v>
      </x:c>
      <x:c r="F342" s="79" t="str">
        <x:v>PARTIEL · prototype technique</x:v>
      </x:c>
      <x:c r="G342" s="79" t="str">
        <x:v>Distinguer signatures individualisées, écouter et calibrer mixage/mute</x:v>
      </x:c>
      <x:c r="H342" s="79" t="str">
        <x:v>UI/AUDIO</x:v>
      </x:c>
      <x:c r="I342" s="79" t="str">
        <x:v>Oui, pour les contrats techniques uniquement</x:v>
      </x:c>
      <x:c r="J342" s="79" t="str">
        <x:v>P2</x:v>
      </x:c>
      <x:c r="K342" s="79" t="str">
        <x:v>https://github.com/darknigthmare/yautja-la-longue-chasse/blob/feat/v131-gauntlet-hologram-dual-view-20261030/app/game/sound.ts</x:v>
      </x:c>
      <x:c r="L342" s="79" t="str">
        <x:v>Signature sonore par thème (10 profils), source non cinéma</x:v>
      </x:c>
    </x:row>
    <x:row r="343" ht="29" customHeight="1">
      <x:c r="A343" s="79" t="str">
        <x:v>05_Assets</x:v>
      </x:c>
      <x:c r="B343" s="79" t="n">
        <x:v>343</x:v>
      </x:c>
      <x:c r="C343" s="79" t="str">
        <x:v>phg-alpha-HUD</x:v>
      </x:c>
      <x:c r="D343" s="79" t="str">
        <x:v>phg-alpha</x:v>
      </x:c>
      <x:c r="E343" s="79" t="str">
        <x:v>Palette / projection</x:v>
      </x:c>
      <x:c r="F343" s="79" t="str">
        <x:v>PARTIEL · prototype technique</x:v>
      </x:c>
      <x:c r="G343" s="79" t="str">
        <x:v>Tester toutes résolutions, contrôles, sous-modes et cohérence d'infos</x:v>
      </x:c>
      <x:c r="H343" s="79" t="str">
        <x:v>UI/AUDIO</x:v>
      </x:c>
      <x:c r="I343" s="79" t="str">
        <x:v>Oui, pour les contrats techniques uniquement</x:v>
      </x:c>
      <x:c r="J343" s="79" t="str">
        <x:v>P2</x:v>
      </x:c>
      <x:c r="K343" s="79" t="str">
        <x:v>https://github.com/darknigthmare/yautja-la-longue-chasse/blob/feat/v131-gauntlet-hologram-dual-view-20261030/app/game/ClanWarGauntletV131.tsx</x:v>
      </x:c>
      <x:c r="L343" s="79" t="str">
        <x:v>HUD connecté / simulation intacte ; QA visuelle restante</x:v>
      </x:c>
    </x:row>
    <x:row r="344" ht="29" customHeight="1">
      <x:c r="A344" s="79" t="str">
        <x:v>05_Assets</x:v>
      </x:c>
      <x:c r="B344" s="79" t="n">
        <x:v>344</x:v>
      </x:c>
      <x:c r="C344" s="79" t="str">
        <x:v>phg-alpha-QA</x:v>
      </x:c>
      <x:c r="D344" s="79" t="str">
        <x:v>phg-alpha</x:v>
      </x:c>
      <x:c r="E344" s="79" t="str">
        <x:v>Comparaisons + tests</x:v>
      </x:c>
      <x:c r="F344" s="79" t="str">
        <x:v>PARTIEL · prototype technique</x:v>
      </x:c>
      <x:c r="G344" s="79" t="str">
        <x:v>Réaliser contrôles visuels film/rig + E2E jeu, FPS et accessibilité</x:v>
      </x:c>
      <x:c r="H344" s="79" t="str">
        <x:v>ART+QA</x:v>
      </x:c>
      <x:c r="I344" s="79" t="str">
        <x:v>Oui, pour les contrats techniques uniquement</x:v>
      </x:c>
      <x:c r="J344" s="79" t="str">
        <x:v>P2</x:v>
      </x:c>
      <x:c r="K344" s="79" t="str">
        <x:v>https://github.com/darknigthmare/yautja-la-longue-chasse/blob/feat/v131-gauntlet-hologram-dual-view-20261030/tests/gauntlet-archive-studies-v136.test.mjs</x:v>
      </x:c>
      <x:c r="L344" s="79" t="str">
        <x:v>Tests CI source / alpha / type / navigateur autonome ; 1:1 restant</x:v>
      </x:c>
    </x:row>
    <x:row r="345" ht="29" customHeight="1">
      <x:c r="A345" s="79" t="str">
        <x:v>05_Assets</x:v>
      </x:c>
      <x:c r="B345" s="79" t="n">
        <x:v>345</x:v>
      </x:c>
      <x:c r="C345" s="79" t="str">
        <x:v>phg-samurai-ARM-L</x:v>
      </x:c>
      <x:c r="D345" s="79" t="str">
        <x:v>phg-samurai</x:v>
      </x:c>
      <x:c r="E345" s="79" t="str">
        <x:v>Bras gauche / poignet</x:v>
      </x:c>
      <x:c r="F345" s="79" t="str">
        <x:v>PARTIEL · prototype technique</x:v>
      </x:c>
      <x:c r="G345" s="79" t="str">
        <x:v>Comparer bras et poignet à plusieurs plans canoniques ; adapter au rig dans toutes poses</x:v>
      </x:c>
      <x:c r="H345" s="79" t="str">
        <x:v>ART+QA</x:v>
      </x:c>
      <x:c r="I345" s="79" t="str">
        <x:v>Oui, pour les contrats techniques uniquement</x:v>
      </x:c>
      <x:c r="J345" s="79" t="str">
        <x:v>P2</x:v>
      </x:c>
      <x:c r="K345" s="79" t="str">
        <x:v>https://github.com/darknigthmare/yautja-la-longue-chasse/blob/feat/v131-gauntlet-hologram-dual-view-20261030/public/game/assets/v136/gauntlets/phg-samurai/01-arm.svg</x:v>
      </x:c>
      <x:c r="L345" s="79" t="str">
        <x:v>Prototype SVG individuel + alpha PNG</x:v>
      </x:c>
    </x:row>
    <x:row r="346" ht="29" customHeight="1">
      <x:c r="A346" s="79" t="str">
        <x:v>05_Assets</x:v>
      </x:c>
      <x:c r="B346" s="79" t="n">
        <x:v>346</x:v>
      </x:c>
      <x:c r="C346" s="79" t="str">
        <x:v>phg-samurai-SHELL-C</x:v>
      </x:c>
      <x:c r="D346" s="79" t="str">
        <x:v>phg-samurai</x:v>
      </x:c>
      <x:c r="E346" s="79" t="str">
        <x:v>Coque fermée</x:v>
      </x:c>
      <x:c r="F346" s="79" t="str">
        <x:v>PARTIEL · prototype technique</x:v>
      </x:c>
      <x:c r="G346" s="79" t="str">
        <x:v>Vérifier forme/proportions/cuirasse 1:1 et textures, pas seulement SVG</x:v>
      </x:c>
      <x:c r="H346" s="79" t="str">
        <x:v>ART+QA</x:v>
      </x:c>
      <x:c r="I346" s="79" t="str">
        <x:v>Oui, pour les contrats techniques uniquement</x:v>
      </x:c>
      <x:c r="J346" s="79" t="str">
        <x:v>P2</x:v>
      </x:c>
      <x:c r="K346" s="79" t="str">
        <x:v>https://github.com/darknigthmare/yautja-la-longue-chasse/blob/feat/v131-gauntlet-hologram-dual-view-20261030/public/game/assets/v136/gauntlets/phg-samurai/02-shell.svg</x:v>
      </x:c>
      <x:c r="L346" s="79" t="str">
        <x:v>Coque individuelle SVG + PNG, non 1:1</x:v>
      </x:c>
    </x:row>
    <x:row r="347" ht="29" customHeight="1">
      <x:c r="A347" s="79" t="str">
        <x:v>05_Assets</x:v>
      </x:c>
      <x:c r="B347" s="79" t="n">
        <x:v>347</x:v>
      </x:c>
      <x:c r="C347" s="79" t="str">
        <x:v>phg-samurai-SHELL-O</x:v>
      </x:c>
      <x:c r="D347" s="79" t="str">
        <x:v>phg-samurai</x:v>
      </x:c>
      <x:c r="E347" s="79" t="str">
        <x:v>Coque ouverte</x:v>
      </x:c>
      <x:c r="F347" s="79" t="str">
        <x:v>PARTIEL · prototype technique</x:v>
      </x:c>
      <x:c r="G347" s="79" t="str">
        <x:v>Mesurer pivot/capots sur film et compléter les états ouvrir-fermer-ranger</x:v>
      </x:c>
      <x:c r="H347" s="79" t="str">
        <x:v>ART+QA</x:v>
      </x:c>
      <x:c r="I347" s="79" t="str">
        <x:v>Oui, pour les contrats techniques uniquement</x:v>
      </x:c>
      <x:c r="J347" s="79" t="str">
        <x:v>P2</x:v>
      </x:c>
      <x:c r="K347" s="79" t="str">
        <x:v>https://github.com/darknigthmare/yautja-la-longue-chasse/blob/feat/v131-gauntlet-hologram-dual-view-20261030/public/game/assets/v136/gauntlets/phg-samurai/04-lid.svg</x:v>
      </x:c>
      <x:c r="L347" s="79" t="str">
        <x:v>Capot ouvrable en React/CSS, animation partielle</x:v>
      </x:c>
    </x:row>
    <x:row r="348" ht="29" customHeight="1">
      <x:c r="A348" s="79" t="str">
        <x:v>05_Assets</x:v>
      </x:c>
      <x:c r="B348" s="79" t="n">
        <x:v>348</x:v>
      </x:c>
      <x:c r="C348" s="79" t="str">
        <x:v>phg-samurai-UI-RED</x:v>
      </x:c>
      <x:c r="D348" s="79" t="str">
        <x:v>phg-samurai</x:v>
      </x:c>
      <x:c r="E348" s="79" t="str">
        <x:v>Contrôle / glyphes</x:v>
      </x:c>
      <x:c r="F348" s="79" t="str">
        <x:v>PARTIEL · prototype technique</x:v>
      </x:c>
      <x:c r="G348" s="79" t="str">
        <x:v>Remplacer symboles conceptuels par graphismes source documentés sans inventer du canon</x:v>
      </x:c>
      <x:c r="H348" s="79" t="str">
        <x:v>ART+QA</x:v>
      </x:c>
      <x:c r="I348" s="79" t="str">
        <x:v>Oui, pour les contrats techniques uniquement</x:v>
      </x:c>
      <x:c r="J348" s="79" t="str">
        <x:v>P2</x:v>
      </x:c>
      <x:c r="K348" s="79" t="str">
        <x:v>https://github.com/darknigthmare/yautja-la-longue-chasse/blob/feat/v131-gauntlet-hologram-dual-view-20261030/public/game/assets/v136/gauntlets/phg-samurai/03-interface.svg</x:v>
      </x:c>
      <x:c r="L348" s="79" t="str">
        <x:v>Interface distincte en SVG / couleurs non certifiées</x:v>
      </x:c>
    </x:row>
    <x:row r="349" ht="29" customHeight="1">
      <x:c r="A349" s="79" t="str">
        <x:v>05_Assets</x:v>
      </x:c>
      <x:c r="B349" s="79" t="n">
        <x:v>349</x:v>
      </x:c>
      <x:c r="C349" s="79" t="str">
        <x:v>phg-samurai-RIBS</x:v>
      </x:c>
      <x:c r="D349" s="79" t="str">
        <x:v>phg-samurai</x:v>
      </x:c>
      <x:c r="E349" s="79" t="str">
        <x:v>Ribures et mécanique</x:v>
      </x:c>
      <x:c r="F349" s="79" t="str">
        <x:v>OUVERT · séparation des sous-pièces</x:v>
      </x:c>
      <x:c r="G349" s="79" t="str">
        <x:v>Découper les pièces mécaniques, valider attaches et reliefs individuels</x:v>
      </x:c>
      <x:c r="H349" s="79" t="str">
        <x:v>ART+QA</x:v>
      </x:c>
      <x:c r="I349" s="79" t="str">
        <x:v>Oui, pour les contrats techniques uniquement</x:v>
      </x:c>
      <x:c r="J349" s="79" t="str">
        <x:v>P2</x:v>
      </x:c>
      <x:c r="K349" s="79" t="str">
        <x:v>https://github.com/darknigthmare/yautja-la-longue-chasse/blob/feat/v131-gauntlet-hologram-dual-view-20261030/public/game/assets/v136/gauntlets/phg-samurai/02-shell.svg</x:v>
      </x:c>
      <x:c r="L349" s="79" t="str">
        <x:v>Détails de coque présents, sous-pièces non séparées</x:v>
      </x:c>
    </x:row>
    <x:row r="350" ht="29" customHeight="1">
      <x:c r="A350" s="79" t="str">
        <x:v>05_Assets</x:v>
      </x:c>
      <x:c r="B350" s="79" t="n">
        <x:v>350</x:v>
      </x:c>
      <x:c r="C350" s="79" t="str">
        <x:v>phg-samurai-BEAM</x:v>
      </x:c>
      <x:c r="D350" s="79" t="str">
        <x:v>phg-samurai</x:v>
      </x:c>
      <x:c r="E350" s="79" t="str">
        <x:v>Émetteur holographique</x:v>
      </x:c>
      <x:c r="F350" s="79" t="str">
        <x:v>PARTIEL · prototype technique</x:v>
      </x:c>
      <x:c r="G350" s="79" t="str">
        <x:v>Conserver fonctionnalité HUD et produire la signature holographique de chaque modèle</x:v>
      </x:c>
      <x:c r="H350" s="79" t="str">
        <x:v>ART+QA</x:v>
      </x:c>
      <x:c r="I350" s="79" t="str">
        <x:v>Oui, pour les contrats techniques uniquement</x:v>
      </x:c>
      <x:c r="J350" s="79" t="str">
        <x:v>P2</x:v>
      </x:c>
      <x:c r="K350" s="79" t="str">
        <x:v>https://github.com/darknigthmare/yautja-la-longue-chasse/blob/feat/v131-gauntlet-hologram-dual-view-20261030/app/game/ClanWarGauntletV131.tsx</x:v>
      </x:c>
      <x:c r="L350" s="79" t="str">
        <x:v>Faisceau du projet (JH dédié, autres effet commun)</x:v>
      </x:c>
    </x:row>
    <x:row r="351" ht="29" customHeight="1">
      <x:c r="A351" s="79" t="str">
        <x:v>05_Assets</x:v>
      </x:c>
      <x:c r="B351" s="79" t="n">
        <x:v>351</x:v>
      </x:c>
      <x:c r="C351" s="79" t="str">
        <x:v>phg-samurai-MOVE</x:v>
      </x:c>
      <x:c r="D351" s="79" t="str">
        <x:v>phg-samurai</x:v>
      </x:c>
      <x:c r="E351" s="79" t="str">
        <x:v>Animations 4 états</x:v>
      </x:c>
      <x:c r="F351" s="79" t="str">
        <x:v>PARTIEL · prototype technique</x:v>
      </x:c>
      <x:c r="G351" s="79" t="str">
        <x:v>Compléter lever, ouvrir, projeter, ranger ; aligner au rig et à la caméra</x:v>
      </x:c>
      <x:c r="H351" s="79" t="str">
        <x:v>ART+QA</x:v>
      </x:c>
      <x:c r="I351" s="79" t="str">
        <x:v>Oui, pour les contrats techniques uniquement</x:v>
      </x:c>
      <x:c r="J351" s="79" t="str">
        <x:v>P2</x:v>
      </x:c>
      <x:c r="K351" s="79" t="str">
        <x:v>https://github.com/darknigthmare/yautja-la-longue-chasse/blob/feat/v131-gauntlet-hologram-dual-view-20261030/public/game/assets/v136/gauntlets/phg-samurai/04-lid.svg</x:v>
      </x:c>
      <x:c r="L351" s="79" t="str">
        <x:v>Capot ouvert/fermé ; 3 gestes complets restent à faire</x:v>
      </x:c>
    </x:row>
    <x:row r="352" ht="29" customHeight="1">
      <x:c r="A352" s="79" t="str">
        <x:v>05_Assets</x:v>
      </x:c>
      <x:c r="B352" s="79" t="n">
        <x:v>352</x:v>
      </x:c>
      <x:c r="C352" s="79" t="str">
        <x:v>phg-samurai-SFX</x:v>
      </x:c>
      <x:c r="D352" s="79" t="str">
        <x:v>phg-samurai</x:v>
      </x:c>
      <x:c r="E352" s="79" t="str">
        <x:v>Identité sonore</x:v>
      </x:c>
      <x:c r="F352" s="79" t="str">
        <x:v>PARTIEL · prototype technique</x:v>
      </x:c>
      <x:c r="G352" s="79" t="str">
        <x:v>Distinguer signatures individualisées, écouter et calibrer mixage/mute</x:v>
      </x:c>
      <x:c r="H352" s="79" t="str">
        <x:v>UI/AUDIO</x:v>
      </x:c>
      <x:c r="I352" s="79" t="str">
        <x:v>Oui, pour les contrats techniques uniquement</x:v>
      </x:c>
      <x:c r="J352" s="79" t="str">
        <x:v>P2</x:v>
      </x:c>
      <x:c r="K352" s="79" t="str">
        <x:v>https://github.com/darknigthmare/yautja-la-longue-chasse/blob/feat/v131-gauntlet-hologram-dual-view-20261030/app/game/sound.ts</x:v>
      </x:c>
      <x:c r="L352" s="79" t="str">
        <x:v>Signature sonore par thème (10 profils), source non cinéma</x:v>
      </x:c>
    </x:row>
    <x:row r="353" ht="29" customHeight="1">
      <x:c r="A353" s="79" t="str">
        <x:v>05_Assets</x:v>
      </x:c>
      <x:c r="B353" s="79" t="n">
        <x:v>353</x:v>
      </x:c>
      <x:c r="C353" s="79" t="str">
        <x:v>phg-samurai-HUD</x:v>
      </x:c>
      <x:c r="D353" s="79" t="str">
        <x:v>phg-samurai</x:v>
      </x:c>
      <x:c r="E353" s="79" t="str">
        <x:v>Palette / projection</x:v>
      </x:c>
      <x:c r="F353" s="79" t="str">
        <x:v>PARTIEL · prototype technique</x:v>
      </x:c>
      <x:c r="G353" s="79" t="str">
        <x:v>Tester toutes résolutions, contrôles, sous-modes et cohérence d'infos</x:v>
      </x:c>
      <x:c r="H353" s="79" t="str">
        <x:v>UI/AUDIO</x:v>
      </x:c>
      <x:c r="I353" s="79" t="str">
        <x:v>Oui, pour les contrats techniques uniquement</x:v>
      </x:c>
      <x:c r="J353" s="79" t="str">
        <x:v>P2</x:v>
      </x:c>
      <x:c r="K353" s="79" t="str">
        <x:v>https://github.com/darknigthmare/yautja-la-longue-chasse/blob/feat/v131-gauntlet-hologram-dual-view-20261030/app/game/ClanWarGauntletV131.tsx</x:v>
      </x:c>
      <x:c r="L353" s="79" t="str">
        <x:v>HUD connecté / simulation intacte ; QA visuelle restante</x:v>
      </x:c>
    </x:row>
    <x:row r="354" ht="29" customHeight="1">
      <x:c r="A354" s="79" t="str">
        <x:v>05_Assets</x:v>
      </x:c>
      <x:c r="B354" s="79" t="n">
        <x:v>354</x:v>
      </x:c>
      <x:c r="C354" s="79" t="str">
        <x:v>phg-samurai-QA</x:v>
      </x:c>
      <x:c r="D354" s="79" t="str">
        <x:v>phg-samurai</x:v>
      </x:c>
      <x:c r="E354" s="79" t="str">
        <x:v>Comparaisons + tests</x:v>
      </x:c>
      <x:c r="F354" s="79" t="str">
        <x:v>PARTIEL · prototype technique</x:v>
      </x:c>
      <x:c r="G354" s="79" t="str">
        <x:v>Réaliser contrôles visuels film/rig + E2E jeu, FPS et accessibilité</x:v>
      </x:c>
      <x:c r="H354" s="79" t="str">
        <x:v>ART+QA</x:v>
      </x:c>
      <x:c r="I354" s="79" t="str">
        <x:v>Oui, pour les contrats techniques uniquement</x:v>
      </x:c>
      <x:c r="J354" s="79" t="str">
        <x:v>P2</x:v>
      </x:c>
      <x:c r="K354" s="79" t="str">
        <x:v>https://github.com/darknigthmare/yautja-la-longue-chasse/blob/feat/v131-gauntlet-hologram-dual-view-20261030/tests/gauntlet-archive-studies-v136.test.mjs</x:v>
      </x:c>
      <x:c r="L354" s="79" t="str">
        <x:v>Tests CI source / alpha / type / navigateur autonome ; 1:1 restant</x:v>
      </x:c>
    </x:row>
    <x:row r="355" ht="29" customHeight="1">
      <x:c r="A355" s="79" t="str">
        <x:v>05_Assets</x:v>
      </x:c>
      <x:c r="B355" s="79" t="n">
        <x:v>355</x:v>
      </x:c>
      <x:c r="C355" s="79" t="str">
        <x:v>phg-viking-ARM-L</x:v>
      </x:c>
      <x:c r="D355" s="79" t="str">
        <x:v>phg-viking</x:v>
      </x:c>
      <x:c r="E355" s="79" t="str">
        <x:v>Bras gauche / poignet</x:v>
      </x:c>
      <x:c r="F355" s="79" t="str">
        <x:v>PARTIEL · prototype technique</x:v>
      </x:c>
      <x:c r="G355" s="79" t="str">
        <x:v>Comparer bras et poignet à plusieurs plans canoniques ; adapter au rig dans toutes poses</x:v>
      </x:c>
      <x:c r="H355" s="79" t="str">
        <x:v>ART+QA</x:v>
      </x:c>
      <x:c r="I355" s="79" t="str">
        <x:v>Oui, pour les contrats techniques uniquement</x:v>
      </x:c>
      <x:c r="J355" s="79" t="str">
        <x:v>P2</x:v>
      </x:c>
      <x:c r="K355" s="79" t="str">
        <x:v>https://github.com/darknigthmare/yautja-la-longue-chasse/blob/feat/v131-gauntlet-hologram-dual-view-20261030/public/game/assets/v136/gauntlets/phg-viking/01-arm.svg</x:v>
      </x:c>
      <x:c r="L355" s="79" t="str">
        <x:v>Prototype SVG individuel + alpha PNG</x:v>
      </x:c>
    </x:row>
    <x:row r="356" ht="29" customHeight="1">
      <x:c r="A356" s="79" t="str">
        <x:v>05_Assets</x:v>
      </x:c>
      <x:c r="B356" s="79" t="n">
        <x:v>356</x:v>
      </x:c>
      <x:c r="C356" s="79" t="str">
        <x:v>phg-viking-SHELL-C</x:v>
      </x:c>
      <x:c r="D356" s="79" t="str">
        <x:v>phg-viking</x:v>
      </x:c>
      <x:c r="E356" s="79" t="str">
        <x:v>Coque fermée</x:v>
      </x:c>
      <x:c r="F356" s="79" t="str">
        <x:v>PARTIEL · prototype technique</x:v>
      </x:c>
      <x:c r="G356" s="79" t="str">
        <x:v>Vérifier forme/proportions/cuirasse 1:1 et textures, pas seulement SVG</x:v>
      </x:c>
      <x:c r="H356" s="79" t="str">
        <x:v>ART+QA</x:v>
      </x:c>
      <x:c r="I356" s="79" t="str">
        <x:v>Oui, pour les contrats techniques uniquement</x:v>
      </x:c>
      <x:c r="J356" s="79" t="str">
        <x:v>P2</x:v>
      </x:c>
      <x:c r="K356" s="79" t="str">
        <x:v>https://github.com/darknigthmare/yautja-la-longue-chasse/blob/feat/v131-gauntlet-hologram-dual-view-20261030/public/game/assets/v136/gauntlets/phg-viking/02-shell.svg</x:v>
      </x:c>
      <x:c r="L356" s="79" t="str">
        <x:v>Coque individuelle SVG + PNG, non 1:1</x:v>
      </x:c>
    </x:row>
    <x:row r="357" ht="29" customHeight="1">
      <x:c r="A357" s="79" t="str">
        <x:v>05_Assets</x:v>
      </x:c>
      <x:c r="B357" s="79" t="n">
        <x:v>357</x:v>
      </x:c>
      <x:c r="C357" s="79" t="str">
        <x:v>phg-viking-SHELL-O</x:v>
      </x:c>
      <x:c r="D357" s="79" t="str">
        <x:v>phg-viking</x:v>
      </x:c>
      <x:c r="E357" s="79" t="str">
        <x:v>Coque ouverte</x:v>
      </x:c>
      <x:c r="F357" s="79" t="str">
        <x:v>PARTIEL · prototype technique</x:v>
      </x:c>
      <x:c r="G357" s="79" t="str">
        <x:v>Mesurer pivot/capots sur film et compléter les états ouvrir-fermer-ranger</x:v>
      </x:c>
      <x:c r="H357" s="79" t="str">
        <x:v>ART+QA</x:v>
      </x:c>
      <x:c r="I357" s="79" t="str">
        <x:v>Oui, pour les contrats techniques uniquement</x:v>
      </x:c>
      <x:c r="J357" s="79" t="str">
        <x:v>P2</x:v>
      </x:c>
      <x:c r="K357" s="79" t="str">
        <x:v>https://github.com/darknigthmare/yautja-la-longue-chasse/blob/feat/v131-gauntlet-hologram-dual-view-20261030/public/game/assets/v136/gauntlets/phg-viking/04-lid.svg</x:v>
      </x:c>
      <x:c r="L357" s="79" t="str">
        <x:v>Capot ouvrable en React/CSS, animation partielle</x:v>
      </x:c>
    </x:row>
    <x:row r="358" ht="29" customHeight="1">
      <x:c r="A358" s="79" t="str">
        <x:v>05_Assets</x:v>
      </x:c>
      <x:c r="B358" s="79" t="n">
        <x:v>358</x:v>
      </x:c>
      <x:c r="C358" s="79" t="str">
        <x:v>phg-viking-UI-RED</x:v>
      </x:c>
      <x:c r="D358" s="79" t="str">
        <x:v>phg-viking</x:v>
      </x:c>
      <x:c r="E358" s="79" t="str">
        <x:v>Contrôle / glyphes</x:v>
      </x:c>
      <x:c r="F358" s="79" t="str">
        <x:v>PARTIEL · prototype technique</x:v>
      </x:c>
      <x:c r="G358" s="79" t="str">
        <x:v>Remplacer symboles conceptuels par graphismes source documentés sans inventer du canon</x:v>
      </x:c>
      <x:c r="H358" s="79" t="str">
        <x:v>ART+QA</x:v>
      </x:c>
      <x:c r="I358" s="79" t="str">
        <x:v>Oui, pour les contrats techniques uniquement</x:v>
      </x:c>
      <x:c r="J358" s="79" t="str">
        <x:v>P2</x:v>
      </x:c>
      <x:c r="K358" s="79" t="str">
        <x:v>https://github.com/darknigthmare/yautja-la-longue-chasse/blob/feat/v131-gauntlet-hologram-dual-view-20261030/public/game/assets/v136/gauntlets/phg-viking/03-interface.svg</x:v>
      </x:c>
      <x:c r="L358" s="79" t="str">
        <x:v>Interface distincte en SVG / couleurs non certifiées</x:v>
      </x:c>
    </x:row>
    <x:row r="359" ht="29" customHeight="1">
      <x:c r="A359" s="79" t="str">
        <x:v>05_Assets</x:v>
      </x:c>
      <x:c r="B359" s="79" t="n">
        <x:v>359</x:v>
      </x:c>
      <x:c r="C359" s="79" t="str">
        <x:v>phg-viking-RIBS</x:v>
      </x:c>
      <x:c r="D359" s="79" t="str">
        <x:v>phg-viking</x:v>
      </x:c>
      <x:c r="E359" s="79" t="str">
        <x:v>Ribures et mécanique</x:v>
      </x:c>
      <x:c r="F359" s="79" t="str">
        <x:v>OUVERT · séparation des sous-pièces</x:v>
      </x:c>
      <x:c r="G359" s="79" t="str">
        <x:v>Découper les pièces mécaniques, valider attaches et reliefs individuels</x:v>
      </x:c>
      <x:c r="H359" s="79" t="str">
        <x:v>ART+QA</x:v>
      </x:c>
      <x:c r="I359" s="79" t="str">
        <x:v>Oui, pour les contrats techniques uniquement</x:v>
      </x:c>
      <x:c r="J359" s="79" t="str">
        <x:v>P2</x:v>
      </x:c>
      <x:c r="K359" s="79" t="str">
        <x:v>https://github.com/darknigthmare/yautja-la-longue-chasse/blob/feat/v131-gauntlet-hologram-dual-view-20261030/public/game/assets/v136/gauntlets/phg-viking/02-shell.svg</x:v>
      </x:c>
      <x:c r="L359" s="79" t="str">
        <x:v>Détails de coque présents, sous-pièces non séparées</x:v>
      </x:c>
    </x:row>
    <x:row r="360" ht="29" customHeight="1">
      <x:c r="A360" s="79" t="str">
        <x:v>05_Assets</x:v>
      </x:c>
      <x:c r="B360" s="79" t="n">
        <x:v>360</x:v>
      </x:c>
      <x:c r="C360" s="79" t="str">
        <x:v>phg-viking-BEAM</x:v>
      </x:c>
      <x:c r="D360" s="79" t="str">
        <x:v>phg-viking</x:v>
      </x:c>
      <x:c r="E360" s="79" t="str">
        <x:v>Émetteur holographique</x:v>
      </x:c>
      <x:c r="F360" s="79" t="str">
        <x:v>PARTIEL · prototype technique</x:v>
      </x:c>
      <x:c r="G360" s="79" t="str">
        <x:v>Conserver fonctionnalité HUD et produire la signature holographique de chaque modèle</x:v>
      </x:c>
      <x:c r="H360" s="79" t="str">
        <x:v>ART+QA</x:v>
      </x:c>
      <x:c r="I360" s="79" t="str">
        <x:v>Oui, pour les contrats techniques uniquement</x:v>
      </x:c>
      <x:c r="J360" s="79" t="str">
        <x:v>P2</x:v>
      </x:c>
      <x:c r="K360" s="79" t="str">
        <x:v>https://github.com/darknigthmare/yautja-la-longue-chasse/blob/feat/v131-gauntlet-hologram-dual-view-20261030/app/game/ClanWarGauntletV131.tsx</x:v>
      </x:c>
      <x:c r="L360" s="79" t="str">
        <x:v>Faisceau du projet (JH dédié, autres effet commun)</x:v>
      </x:c>
    </x:row>
    <x:row r="361" ht="29" customHeight="1">
      <x:c r="A361" s="79" t="str">
        <x:v>05_Assets</x:v>
      </x:c>
      <x:c r="B361" s="79" t="n">
        <x:v>361</x:v>
      </x:c>
      <x:c r="C361" s="79" t="str">
        <x:v>phg-viking-MOVE</x:v>
      </x:c>
      <x:c r="D361" s="79" t="str">
        <x:v>phg-viking</x:v>
      </x:c>
      <x:c r="E361" s="79" t="str">
        <x:v>Animations 4 états</x:v>
      </x:c>
      <x:c r="F361" s="79" t="str">
        <x:v>PARTIEL · prototype technique</x:v>
      </x:c>
      <x:c r="G361" s="79" t="str">
        <x:v>Compléter lever, ouvrir, projeter, ranger ; aligner au rig et à la caméra</x:v>
      </x:c>
      <x:c r="H361" s="79" t="str">
        <x:v>ART+QA</x:v>
      </x:c>
      <x:c r="I361" s="79" t="str">
        <x:v>Oui, pour les contrats techniques uniquement</x:v>
      </x:c>
      <x:c r="J361" s="79" t="str">
        <x:v>P2</x:v>
      </x:c>
      <x:c r="K361" s="79" t="str">
        <x:v>https://github.com/darknigthmare/yautja-la-longue-chasse/blob/feat/v131-gauntlet-hologram-dual-view-20261030/public/game/assets/v136/gauntlets/phg-viking/04-lid.svg</x:v>
      </x:c>
      <x:c r="L361" s="79" t="str">
        <x:v>Capot ouvert/fermé ; 3 gestes complets restent à faire</x:v>
      </x:c>
    </x:row>
    <x:row r="362" ht="29" customHeight="1">
      <x:c r="A362" s="79" t="str">
        <x:v>05_Assets</x:v>
      </x:c>
      <x:c r="B362" s="79" t="n">
        <x:v>362</x:v>
      </x:c>
      <x:c r="C362" s="79" t="str">
        <x:v>phg-viking-SFX</x:v>
      </x:c>
      <x:c r="D362" s="79" t="str">
        <x:v>phg-viking</x:v>
      </x:c>
      <x:c r="E362" s="79" t="str">
        <x:v>Identité sonore</x:v>
      </x:c>
      <x:c r="F362" s="79" t="str">
        <x:v>PARTIEL · prototype technique</x:v>
      </x:c>
      <x:c r="G362" s="79" t="str">
        <x:v>Distinguer signatures individualisées, écouter et calibrer mixage/mute</x:v>
      </x:c>
      <x:c r="H362" s="79" t="str">
        <x:v>UI/AUDIO</x:v>
      </x:c>
      <x:c r="I362" s="79" t="str">
        <x:v>Oui, pour les contrats techniques uniquement</x:v>
      </x:c>
      <x:c r="J362" s="79" t="str">
        <x:v>P2</x:v>
      </x:c>
      <x:c r="K362" s="79" t="str">
        <x:v>https://github.com/darknigthmare/yautja-la-longue-chasse/blob/feat/v131-gauntlet-hologram-dual-view-20261030/app/game/sound.ts</x:v>
      </x:c>
      <x:c r="L362" s="79" t="str">
        <x:v>Signature sonore par thème (10 profils), source non cinéma</x:v>
      </x:c>
    </x:row>
    <x:row r="363" ht="29" customHeight="1">
      <x:c r="A363" s="79" t="str">
        <x:v>05_Assets</x:v>
      </x:c>
      <x:c r="B363" s="79" t="n">
        <x:v>363</x:v>
      </x:c>
      <x:c r="C363" s="79" t="str">
        <x:v>phg-viking-HUD</x:v>
      </x:c>
      <x:c r="D363" s="79" t="str">
        <x:v>phg-viking</x:v>
      </x:c>
      <x:c r="E363" s="79" t="str">
        <x:v>Palette / projection</x:v>
      </x:c>
      <x:c r="F363" s="79" t="str">
        <x:v>PARTIEL · prototype technique</x:v>
      </x:c>
      <x:c r="G363" s="79" t="str">
        <x:v>Tester toutes résolutions, contrôles, sous-modes et cohérence d'infos</x:v>
      </x:c>
      <x:c r="H363" s="79" t="str">
        <x:v>UI/AUDIO</x:v>
      </x:c>
      <x:c r="I363" s="79" t="str">
        <x:v>Oui, pour les contrats techniques uniquement</x:v>
      </x:c>
      <x:c r="J363" s="79" t="str">
        <x:v>P2</x:v>
      </x:c>
      <x:c r="K363" s="79" t="str">
        <x:v>https://github.com/darknigthmare/yautja-la-longue-chasse/blob/feat/v131-gauntlet-hologram-dual-view-20261030/app/game/ClanWarGauntletV131.tsx</x:v>
      </x:c>
      <x:c r="L363" s="79" t="str">
        <x:v>HUD connecté / simulation intacte ; QA visuelle restante</x:v>
      </x:c>
    </x:row>
    <x:row r="364" ht="29" customHeight="1">
      <x:c r="A364" s="79" t="str">
        <x:v>05_Assets</x:v>
      </x:c>
      <x:c r="B364" s="79" t="n">
        <x:v>364</x:v>
      </x:c>
      <x:c r="C364" s="79" t="str">
        <x:v>phg-viking-QA</x:v>
      </x:c>
      <x:c r="D364" s="79" t="str">
        <x:v>phg-viking</x:v>
      </x:c>
      <x:c r="E364" s="79" t="str">
        <x:v>Comparaisons + tests</x:v>
      </x:c>
      <x:c r="F364" s="79" t="str">
        <x:v>PARTIEL · prototype technique</x:v>
      </x:c>
      <x:c r="G364" s="79" t="str">
        <x:v>Réaliser contrôles visuels film/rig + E2E jeu, FPS et accessibilité</x:v>
      </x:c>
      <x:c r="H364" s="79" t="str">
        <x:v>ART+QA</x:v>
      </x:c>
      <x:c r="I364" s="79" t="str">
        <x:v>Oui, pour les contrats techniques uniquement</x:v>
      </x:c>
      <x:c r="J364" s="79" t="str">
        <x:v>P2</x:v>
      </x:c>
      <x:c r="K364" s="79" t="str">
        <x:v>https://github.com/darknigthmare/yautja-la-longue-chasse/blob/feat/v131-gauntlet-hologram-dual-view-20261030/tests/gauntlet-archive-studies-v136.test.mjs</x:v>
      </x:c>
      <x:c r="L364" s="79" t="str">
        <x:v>Tests CI source / alpha / type / navigateur autonome ; 1:1 restant</x:v>
      </x:c>
    </x:row>
    <x:row r="365" ht="29" customHeight="1">
      <x:c r="A365" s="79" t="str">
        <x:v>05_Assets</x:v>
      </x:c>
      <x:c r="B365" s="79" t="n">
        <x:v>365</x:v>
      </x:c>
      <x:c r="C365" s="79" t="str">
        <x:v>phg-valkyrie-ARM-L</x:v>
      </x:c>
      <x:c r="D365" s="79" t="str">
        <x:v>phg-valkyrie</x:v>
      </x:c>
      <x:c r="E365" s="79" t="str">
        <x:v>Bras gauche / poignet</x:v>
      </x:c>
      <x:c r="F365" s="79" t="str">
        <x:v>PARTIEL · prototype technique</x:v>
      </x:c>
      <x:c r="G365" s="79" t="str">
        <x:v>Comparer bras et poignet à plusieurs plans canoniques ; adapter au rig dans toutes poses</x:v>
      </x:c>
      <x:c r="H365" s="79" t="str">
        <x:v>ART+QA</x:v>
      </x:c>
      <x:c r="I365" s="79" t="str">
        <x:v>Oui, pour les contrats techniques uniquement</x:v>
      </x:c>
      <x:c r="J365" s="79" t="str">
        <x:v>P2</x:v>
      </x:c>
      <x:c r="K365" s="79" t="str">
        <x:v>https://github.com/darknigthmare/yautja-la-longue-chasse/blob/feat/v131-gauntlet-hologram-dual-view-20261030/public/game/assets/v136/gauntlets/phg-valkyrie/01-arm.svg</x:v>
      </x:c>
      <x:c r="L365" s="79" t="str">
        <x:v>Prototype SVG individuel + alpha PNG</x:v>
      </x:c>
    </x:row>
    <x:row r="366" ht="29" customHeight="1">
      <x:c r="A366" s="79" t="str">
        <x:v>05_Assets</x:v>
      </x:c>
      <x:c r="B366" s="79" t="n">
        <x:v>366</x:v>
      </x:c>
      <x:c r="C366" s="79" t="str">
        <x:v>phg-valkyrie-SHELL-C</x:v>
      </x:c>
      <x:c r="D366" s="79" t="str">
        <x:v>phg-valkyrie</x:v>
      </x:c>
      <x:c r="E366" s="79" t="str">
        <x:v>Coque fermée</x:v>
      </x:c>
      <x:c r="F366" s="79" t="str">
        <x:v>PARTIEL · prototype technique</x:v>
      </x:c>
      <x:c r="G366" s="79" t="str">
        <x:v>Vérifier forme/proportions/cuirasse 1:1 et textures, pas seulement SVG</x:v>
      </x:c>
      <x:c r="H366" s="79" t="str">
        <x:v>ART+QA</x:v>
      </x:c>
      <x:c r="I366" s="79" t="str">
        <x:v>Oui, pour les contrats techniques uniquement</x:v>
      </x:c>
      <x:c r="J366" s="79" t="str">
        <x:v>P2</x:v>
      </x:c>
      <x:c r="K366" s="79" t="str">
        <x:v>https://github.com/darknigthmare/yautja-la-longue-chasse/blob/feat/v131-gauntlet-hologram-dual-view-20261030/public/game/assets/v136/gauntlets/phg-valkyrie/02-shell.svg</x:v>
      </x:c>
      <x:c r="L366" s="79" t="str">
        <x:v>Coque individuelle SVG + PNG, non 1:1</x:v>
      </x:c>
    </x:row>
    <x:row r="367" ht="29" customHeight="1">
      <x:c r="A367" s="79" t="str">
        <x:v>05_Assets</x:v>
      </x:c>
      <x:c r="B367" s="79" t="n">
        <x:v>367</x:v>
      </x:c>
      <x:c r="C367" s="79" t="str">
        <x:v>phg-valkyrie-SHELL-O</x:v>
      </x:c>
      <x:c r="D367" s="79" t="str">
        <x:v>phg-valkyrie</x:v>
      </x:c>
      <x:c r="E367" s="79" t="str">
        <x:v>Coque ouverte</x:v>
      </x:c>
      <x:c r="F367" s="79" t="str">
        <x:v>PARTIEL · prototype technique</x:v>
      </x:c>
      <x:c r="G367" s="79" t="str">
        <x:v>Mesurer pivot/capots sur film et compléter les états ouvrir-fermer-ranger</x:v>
      </x:c>
      <x:c r="H367" s="79" t="str">
        <x:v>ART+QA</x:v>
      </x:c>
      <x:c r="I367" s="79" t="str">
        <x:v>Oui, pour les contrats techniques uniquement</x:v>
      </x:c>
      <x:c r="J367" s="79" t="str">
        <x:v>P2</x:v>
      </x:c>
      <x:c r="K367" s="79" t="str">
        <x:v>https://github.com/darknigthmare/yautja-la-longue-chasse/blob/feat/v131-gauntlet-hologram-dual-view-20261030/public/game/assets/v136/gauntlets/phg-valkyrie/04-lid.svg</x:v>
      </x:c>
      <x:c r="L367" s="79" t="str">
        <x:v>Capot ouvrable en React/CSS, animation partielle</x:v>
      </x:c>
    </x:row>
    <x:row r="368" ht="29" customHeight="1">
      <x:c r="A368" s="79" t="str">
        <x:v>05_Assets</x:v>
      </x:c>
      <x:c r="B368" s="79" t="n">
        <x:v>368</x:v>
      </x:c>
      <x:c r="C368" s="79" t="str">
        <x:v>phg-valkyrie-UI-RED</x:v>
      </x:c>
      <x:c r="D368" s="79" t="str">
        <x:v>phg-valkyrie</x:v>
      </x:c>
      <x:c r="E368" s="79" t="str">
        <x:v>Contrôle / glyphes</x:v>
      </x:c>
      <x:c r="F368" s="79" t="str">
        <x:v>PARTIEL · prototype technique</x:v>
      </x:c>
      <x:c r="G368" s="79" t="str">
        <x:v>Remplacer symboles conceptuels par graphismes source documentés sans inventer du canon</x:v>
      </x:c>
      <x:c r="H368" s="79" t="str">
        <x:v>ART+QA</x:v>
      </x:c>
      <x:c r="I368" s="79" t="str">
        <x:v>Oui, pour les contrats techniques uniquement</x:v>
      </x:c>
      <x:c r="J368" s="79" t="str">
        <x:v>P2</x:v>
      </x:c>
      <x:c r="K368" s="79" t="str">
        <x:v>https://github.com/darknigthmare/yautja-la-longue-chasse/blob/feat/v131-gauntlet-hologram-dual-view-20261030/public/game/assets/v136/gauntlets/phg-valkyrie/03-interface.svg</x:v>
      </x:c>
      <x:c r="L368" s="79" t="str">
        <x:v>Interface distincte en SVG / couleurs non certifiées</x:v>
      </x:c>
    </x:row>
    <x:row r="369" ht="29" customHeight="1">
      <x:c r="A369" s="79" t="str">
        <x:v>05_Assets</x:v>
      </x:c>
      <x:c r="B369" s="79" t="n">
        <x:v>369</x:v>
      </x:c>
      <x:c r="C369" s="79" t="str">
        <x:v>phg-valkyrie-RIBS</x:v>
      </x:c>
      <x:c r="D369" s="79" t="str">
        <x:v>phg-valkyrie</x:v>
      </x:c>
      <x:c r="E369" s="79" t="str">
        <x:v>Ribures et mécanique</x:v>
      </x:c>
      <x:c r="F369" s="79" t="str">
        <x:v>OUVERT · séparation des sous-pièces</x:v>
      </x:c>
      <x:c r="G369" s="79" t="str">
        <x:v>Découper les pièces mécaniques, valider attaches et reliefs individuels</x:v>
      </x:c>
      <x:c r="H369" s="79" t="str">
        <x:v>ART+QA</x:v>
      </x:c>
      <x:c r="I369" s="79" t="str">
        <x:v>Oui, pour les contrats techniques uniquement</x:v>
      </x:c>
      <x:c r="J369" s="79" t="str">
        <x:v>P2</x:v>
      </x:c>
      <x:c r="K369" s="79" t="str">
        <x:v>https://github.com/darknigthmare/yautja-la-longue-chasse/blob/feat/v131-gauntlet-hologram-dual-view-20261030/public/game/assets/v136/gauntlets/phg-valkyrie/02-shell.svg</x:v>
      </x:c>
      <x:c r="L369" s="79" t="str">
        <x:v>Détails de coque présents, sous-pièces non séparées</x:v>
      </x:c>
    </x:row>
    <x:row r="370" ht="29" customHeight="1">
      <x:c r="A370" s="79" t="str">
        <x:v>05_Assets</x:v>
      </x:c>
      <x:c r="B370" s="79" t="n">
        <x:v>370</x:v>
      </x:c>
      <x:c r="C370" s="79" t="str">
        <x:v>phg-valkyrie-BEAM</x:v>
      </x:c>
      <x:c r="D370" s="79" t="str">
        <x:v>phg-valkyrie</x:v>
      </x:c>
      <x:c r="E370" s="79" t="str">
        <x:v>Émetteur holographique</x:v>
      </x:c>
      <x:c r="F370" s="79" t="str">
        <x:v>PARTIEL · prototype technique</x:v>
      </x:c>
      <x:c r="G370" s="79" t="str">
        <x:v>Conserver fonctionnalité HUD et produire la signature holographique de chaque modèle</x:v>
      </x:c>
      <x:c r="H370" s="79" t="str">
        <x:v>ART+QA</x:v>
      </x:c>
      <x:c r="I370" s="79" t="str">
        <x:v>Oui, pour les contrats techniques uniquement</x:v>
      </x:c>
      <x:c r="J370" s="79" t="str">
        <x:v>P2</x:v>
      </x:c>
      <x:c r="K370" s="79" t="str">
        <x:v>https://github.com/darknigthmare/yautja-la-longue-chasse/blob/feat/v131-gauntlet-hologram-dual-view-20261030/app/game/ClanWarGauntletV131.tsx</x:v>
      </x:c>
      <x:c r="L370" s="79" t="str">
        <x:v>Faisceau du projet (JH dédié, autres effet commun)</x:v>
      </x:c>
    </x:row>
    <x:row r="371" ht="29" customHeight="1">
      <x:c r="A371" s="79" t="str">
        <x:v>05_Assets</x:v>
      </x:c>
      <x:c r="B371" s="79" t="n">
        <x:v>371</x:v>
      </x:c>
      <x:c r="C371" s="79" t="str">
        <x:v>phg-valkyrie-MOVE</x:v>
      </x:c>
      <x:c r="D371" s="79" t="str">
        <x:v>phg-valkyrie</x:v>
      </x:c>
      <x:c r="E371" s="79" t="str">
        <x:v>Animations 4 états</x:v>
      </x:c>
      <x:c r="F371" s="79" t="str">
        <x:v>PARTIEL · prototype technique</x:v>
      </x:c>
      <x:c r="G371" s="79" t="str">
        <x:v>Compléter lever, ouvrir, projeter, ranger ; aligner au rig et à la caméra</x:v>
      </x:c>
      <x:c r="H371" s="79" t="str">
        <x:v>ART+QA</x:v>
      </x:c>
      <x:c r="I371" s="79" t="str">
        <x:v>Oui, pour les contrats techniques uniquement</x:v>
      </x:c>
      <x:c r="J371" s="79" t="str">
        <x:v>P2</x:v>
      </x:c>
      <x:c r="K371" s="79" t="str">
        <x:v>https://github.com/darknigthmare/yautja-la-longue-chasse/blob/feat/v131-gauntlet-hologram-dual-view-20261030/public/game/assets/v136/gauntlets/phg-valkyrie/04-lid.svg</x:v>
      </x:c>
      <x:c r="L371" s="79" t="str">
        <x:v>Capot ouvert/fermé ; 3 gestes complets restent à faire</x:v>
      </x:c>
    </x:row>
    <x:row r="372" ht="29" customHeight="1">
      <x:c r="A372" s="79" t="str">
        <x:v>05_Assets</x:v>
      </x:c>
      <x:c r="B372" s="79" t="n">
        <x:v>372</x:v>
      </x:c>
      <x:c r="C372" s="79" t="str">
        <x:v>phg-valkyrie-SFX</x:v>
      </x:c>
      <x:c r="D372" s="79" t="str">
        <x:v>phg-valkyrie</x:v>
      </x:c>
      <x:c r="E372" s="79" t="str">
        <x:v>Identité sonore</x:v>
      </x:c>
      <x:c r="F372" s="79" t="str">
        <x:v>PARTIEL · prototype technique</x:v>
      </x:c>
      <x:c r="G372" s="79" t="str">
        <x:v>Distinguer signatures individualisées, écouter et calibrer mixage/mute</x:v>
      </x:c>
      <x:c r="H372" s="79" t="str">
        <x:v>UI/AUDIO</x:v>
      </x:c>
      <x:c r="I372" s="79" t="str">
        <x:v>Oui, pour les contrats techniques uniquement</x:v>
      </x:c>
      <x:c r="J372" s="79" t="str">
        <x:v>P2</x:v>
      </x:c>
      <x:c r="K372" s="79" t="str">
        <x:v>https://github.com/darknigthmare/yautja-la-longue-chasse/blob/feat/v131-gauntlet-hologram-dual-view-20261030/app/game/sound.ts</x:v>
      </x:c>
      <x:c r="L372" s="79" t="str">
        <x:v>Signature sonore par thème (10 profils), source non cinéma</x:v>
      </x:c>
    </x:row>
    <x:row r="373" ht="29" customHeight="1">
      <x:c r="A373" s="79" t="str">
        <x:v>05_Assets</x:v>
      </x:c>
      <x:c r="B373" s="79" t="n">
        <x:v>373</x:v>
      </x:c>
      <x:c r="C373" s="79" t="str">
        <x:v>phg-valkyrie-HUD</x:v>
      </x:c>
      <x:c r="D373" s="79" t="str">
        <x:v>phg-valkyrie</x:v>
      </x:c>
      <x:c r="E373" s="79" t="str">
        <x:v>Palette / projection</x:v>
      </x:c>
      <x:c r="F373" s="79" t="str">
        <x:v>PARTIEL · prototype technique</x:v>
      </x:c>
      <x:c r="G373" s="79" t="str">
        <x:v>Tester toutes résolutions, contrôles, sous-modes et cohérence d'infos</x:v>
      </x:c>
      <x:c r="H373" s="79" t="str">
        <x:v>UI/AUDIO</x:v>
      </x:c>
      <x:c r="I373" s="79" t="str">
        <x:v>Oui, pour les contrats techniques uniquement</x:v>
      </x:c>
      <x:c r="J373" s="79" t="str">
        <x:v>P2</x:v>
      </x:c>
      <x:c r="K373" s="79" t="str">
        <x:v>https://github.com/darknigthmare/yautja-la-longue-chasse/blob/feat/v131-gauntlet-hologram-dual-view-20261030/app/game/ClanWarGauntletV131.tsx</x:v>
      </x:c>
      <x:c r="L373" s="79" t="str">
        <x:v>HUD connecté / simulation intacte ; QA visuelle restante</x:v>
      </x:c>
    </x:row>
    <x:row r="374" ht="29" customHeight="1">
      <x:c r="A374" s="79" t="str">
        <x:v>05_Assets</x:v>
      </x:c>
      <x:c r="B374" s="79" t="n">
        <x:v>374</x:v>
      </x:c>
      <x:c r="C374" s="79" t="str">
        <x:v>phg-valkyrie-QA</x:v>
      </x:c>
      <x:c r="D374" s="79" t="str">
        <x:v>phg-valkyrie</x:v>
      </x:c>
      <x:c r="E374" s="79" t="str">
        <x:v>Comparaisons + tests</x:v>
      </x:c>
      <x:c r="F374" s="79" t="str">
        <x:v>PARTIEL · prototype technique</x:v>
      </x:c>
      <x:c r="G374" s="79" t="str">
        <x:v>Réaliser contrôles visuels film/rig + E2E jeu, FPS et accessibilité</x:v>
      </x:c>
      <x:c r="H374" s="79" t="str">
        <x:v>ART+QA</x:v>
      </x:c>
      <x:c r="I374" s="79" t="str">
        <x:v>Oui, pour les contrats techniques uniquement</x:v>
      </x:c>
      <x:c r="J374" s="79" t="str">
        <x:v>P2</x:v>
      </x:c>
      <x:c r="K374" s="79" t="str">
        <x:v>https://github.com/darknigthmare/yautja-la-longue-chasse/blob/feat/v131-gauntlet-hologram-dual-view-20261030/tests/gauntlet-archive-studies-v136.test.mjs</x:v>
      </x:c>
      <x:c r="L374" s="79" t="str">
        <x:v>Tests CI source / alpha / type / navigateur autonome ; 1:1 restant</x:v>
      </x:c>
    </x:row>
    <x:row r="375" ht="29" customHeight="1">
      <x:c r="A375" s="79" t="str">
        <x:v>05_Assets</x:v>
      </x:c>
      <x:c r="B375" s="79" t="n">
        <x:v>375</x:v>
      </x:c>
      <x:c r="C375" s="79" t="str">
        <x:v>phg-cleopatra-ARM-L</x:v>
      </x:c>
      <x:c r="D375" s="79" t="str">
        <x:v>phg-cleopatra</x:v>
      </x:c>
      <x:c r="E375" s="79" t="str">
        <x:v>Bras gauche / poignet</x:v>
      </x:c>
      <x:c r="F375" s="79" t="str">
        <x:v>PARTIEL · prototype technique</x:v>
      </x:c>
      <x:c r="G375" s="79" t="str">
        <x:v>Comparer bras et poignet à plusieurs plans canoniques ; adapter au rig dans toutes poses</x:v>
      </x:c>
      <x:c r="H375" s="79" t="str">
        <x:v>ART+QA</x:v>
      </x:c>
      <x:c r="I375" s="79" t="str">
        <x:v>Oui, pour les contrats techniques uniquement</x:v>
      </x:c>
      <x:c r="J375" s="79" t="str">
        <x:v>P2</x:v>
      </x:c>
      <x:c r="K375" s="79" t="str">
        <x:v>https://github.com/darknigthmare/yautja-la-longue-chasse/blob/feat/v131-gauntlet-hologram-dual-view-20261030/public/game/assets/v136/gauntlets/phg-cleopatra/01-arm.svg</x:v>
      </x:c>
      <x:c r="L375" s="79" t="str">
        <x:v>Prototype SVG individuel + alpha PNG</x:v>
      </x:c>
    </x:row>
    <x:row r="376" ht="29" customHeight="1">
      <x:c r="A376" s="79" t="str">
        <x:v>05_Assets</x:v>
      </x:c>
      <x:c r="B376" s="79" t="n">
        <x:v>376</x:v>
      </x:c>
      <x:c r="C376" s="79" t="str">
        <x:v>phg-cleopatra-SHELL-C</x:v>
      </x:c>
      <x:c r="D376" s="79" t="str">
        <x:v>phg-cleopatra</x:v>
      </x:c>
      <x:c r="E376" s="79" t="str">
        <x:v>Coque fermée</x:v>
      </x:c>
      <x:c r="F376" s="79" t="str">
        <x:v>PARTIEL · prototype technique</x:v>
      </x:c>
      <x:c r="G376" s="79" t="str">
        <x:v>Vérifier forme/proportions/cuirasse 1:1 et textures, pas seulement SVG</x:v>
      </x:c>
      <x:c r="H376" s="79" t="str">
        <x:v>ART+QA</x:v>
      </x:c>
      <x:c r="I376" s="79" t="str">
        <x:v>Oui, pour les contrats techniques uniquement</x:v>
      </x:c>
      <x:c r="J376" s="79" t="str">
        <x:v>P2</x:v>
      </x:c>
      <x:c r="K376" s="79" t="str">
        <x:v>https://github.com/darknigthmare/yautja-la-longue-chasse/blob/feat/v131-gauntlet-hologram-dual-view-20261030/public/game/assets/v136/gauntlets/phg-cleopatra/02-shell.svg</x:v>
      </x:c>
      <x:c r="L376" s="79" t="str">
        <x:v>Coque individuelle SVG + PNG, non 1:1</x:v>
      </x:c>
    </x:row>
    <x:row r="377" ht="29" customHeight="1">
      <x:c r="A377" s="79" t="str">
        <x:v>05_Assets</x:v>
      </x:c>
      <x:c r="B377" s="79" t="n">
        <x:v>377</x:v>
      </x:c>
      <x:c r="C377" s="79" t="str">
        <x:v>phg-cleopatra-SHELL-O</x:v>
      </x:c>
      <x:c r="D377" s="79" t="str">
        <x:v>phg-cleopatra</x:v>
      </x:c>
      <x:c r="E377" s="79" t="str">
        <x:v>Coque ouverte</x:v>
      </x:c>
      <x:c r="F377" s="79" t="str">
        <x:v>PARTIEL · prototype technique</x:v>
      </x:c>
      <x:c r="G377" s="79" t="str">
        <x:v>Mesurer pivot/capots sur film et compléter les états ouvrir-fermer-ranger</x:v>
      </x:c>
      <x:c r="H377" s="79" t="str">
        <x:v>ART+QA</x:v>
      </x:c>
      <x:c r="I377" s="79" t="str">
        <x:v>Oui, pour les contrats techniques uniquement</x:v>
      </x:c>
      <x:c r="J377" s="79" t="str">
        <x:v>P2</x:v>
      </x:c>
      <x:c r="K377" s="79" t="str">
        <x:v>https://github.com/darknigthmare/yautja-la-longue-chasse/blob/feat/v131-gauntlet-hologram-dual-view-20261030/public/game/assets/v136/gauntlets/phg-cleopatra/04-lid.svg</x:v>
      </x:c>
      <x:c r="L377" s="79" t="str">
        <x:v>Capot ouvrable en React/CSS, animation partielle</x:v>
      </x:c>
    </x:row>
    <x:row r="378" ht="29" customHeight="1">
      <x:c r="A378" s="79" t="str">
        <x:v>05_Assets</x:v>
      </x:c>
      <x:c r="B378" s="79" t="n">
        <x:v>378</x:v>
      </x:c>
      <x:c r="C378" s="79" t="str">
        <x:v>phg-cleopatra-UI-RED</x:v>
      </x:c>
      <x:c r="D378" s="79" t="str">
        <x:v>phg-cleopatra</x:v>
      </x:c>
      <x:c r="E378" s="79" t="str">
        <x:v>Contrôle / glyphes</x:v>
      </x:c>
      <x:c r="F378" s="79" t="str">
        <x:v>PARTIEL · prototype technique</x:v>
      </x:c>
      <x:c r="G378" s="79" t="str">
        <x:v>Remplacer symboles conceptuels par graphismes source documentés sans inventer du canon</x:v>
      </x:c>
      <x:c r="H378" s="79" t="str">
        <x:v>ART+QA</x:v>
      </x:c>
      <x:c r="I378" s="79" t="str">
        <x:v>Oui, pour les contrats techniques uniquement</x:v>
      </x:c>
      <x:c r="J378" s="79" t="str">
        <x:v>P2</x:v>
      </x:c>
      <x:c r="K378" s="79" t="str">
        <x:v>https://github.com/darknigthmare/yautja-la-longue-chasse/blob/feat/v131-gauntlet-hologram-dual-view-20261030/public/game/assets/v136/gauntlets/phg-cleopatra/03-interface.svg</x:v>
      </x:c>
      <x:c r="L378" s="79" t="str">
        <x:v>Interface distincte en SVG / couleurs non certifiées</x:v>
      </x:c>
    </x:row>
    <x:row r="379" ht="29" customHeight="1">
      <x:c r="A379" s="79" t="str">
        <x:v>05_Assets</x:v>
      </x:c>
      <x:c r="B379" s="79" t="n">
        <x:v>379</x:v>
      </x:c>
      <x:c r="C379" s="79" t="str">
        <x:v>phg-cleopatra-RIBS</x:v>
      </x:c>
      <x:c r="D379" s="79" t="str">
        <x:v>phg-cleopatra</x:v>
      </x:c>
      <x:c r="E379" s="79" t="str">
        <x:v>Ribures et mécanique</x:v>
      </x:c>
      <x:c r="F379" s="79" t="str">
        <x:v>OUVERT · séparation des sous-pièces</x:v>
      </x:c>
      <x:c r="G379" s="79" t="str">
        <x:v>Découper les pièces mécaniques, valider attaches et reliefs individuels</x:v>
      </x:c>
      <x:c r="H379" s="79" t="str">
        <x:v>ART+QA</x:v>
      </x:c>
      <x:c r="I379" s="79" t="str">
        <x:v>Oui, pour les contrats techniques uniquement</x:v>
      </x:c>
      <x:c r="J379" s="79" t="str">
        <x:v>P2</x:v>
      </x:c>
      <x:c r="K379" s="79" t="str">
        <x:v>https://github.com/darknigthmare/yautja-la-longue-chasse/blob/feat/v131-gauntlet-hologram-dual-view-20261030/public/game/assets/v136/gauntlets/phg-cleopatra/02-shell.svg</x:v>
      </x:c>
      <x:c r="L379" s="79" t="str">
        <x:v>Détails de coque présents, sous-pièces non séparées</x:v>
      </x:c>
    </x:row>
    <x:row r="380" ht="29" customHeight="1">
      <x:c r="A380" s="79" t="str">
        <x:v>05_Assets</x:v>
      </x:c>
      <x:c r="B380" s="79" t="n">
        <x:v>380</x:v>
      </x:c>
      <x:c r="C380" s="79" t="str">
        <x:v>phg-cleopatra-BEAM</x:v>
      </x:c>
      <x:c r="D380" s="79" t="str">
        <x:v>phg-cleopatra</x:v>
      </x:c>
      <x:c r="E380" s="79" t="str">
        <x:v>Émetteur holographique</x:v>
      </x:c>
      <x:c r="F380" s="79" t="str">
        <x:v>PARTIEL · prototype technique</x:v>
      </x:c>
      <x:c r="G380" s="79" t="str">
        <x:v>Conserver fonctionnalité HUD et produire la signature holographique de chaque modèle</x:v>
      </x:c>
      <x:c r="H380" s="79" t="str">
        <x:v>ART+QA</x:v>
      </x:c>
      <x:c r="I380" s="79" t="str">
        <x:v>Oui, pour les contrats techniques uniquement</x:v>
      </x:c>
      <x:c r="J380" s="79" t="str">
        <x:v>P2</x:v>
      </x:c>
      <x:c r="K380" s="79" t="str">
        <x:v>https://github.com/darknigthmare/yautja-la-longue-chasse/blob/feat/v131-gauntlet-hologram-dual-view-20261030/app/game/ClanWarGauntletV131.tsx</x:v>
      </x:c>
      <x:c r="L380" s="79" t="str">
        <x:v>Faisceau du projet (JH dédié, autres effet commun)</x:v>
      </x:c>
    </x:row>
    <x:row r="381" ht="29" customHeight="1">
      <x:c r="A381" s="79" t="str">
        <x:v>05_Assets</x:v>
      </x:c>
      <x:c r="B381" s="79" t="n">
        <x:v>381</x:v>
      </x:c>
      <x:c r="C381" s="79" t="str">
        <x:v>phg-cleopatra-MOVE</x:v>
      </x:c>
      <x:c r="D381" s="79" t="str">
        <x:v>phg-cleopatra</x:v>
      </x:c>
      <x:c r="E381" s="79" t="str">
        <x:v>Animations 4 états</x:v>
      </x:c>
      <x:c r="F381" s="79" t="str">
        <x:v>PARTIEL · prototype technique</x:v>
      </x:c>
      <x:c r="G381" s="79" t="str">
        <x:v>Compléter lever, ouvrir, projeter, ranger ; aligner au rig et à la caméra</x:v>
      </x:c>
      <x:c r="H381" s="79" t="str">
        <x:v>ART+QA</x:v>
      </x:c>
      <x:c r="I381" s="79" t="str">
        <x:v>Oui, pour les contrats techniques uniquement</x:v>
      </x:c>
      <x:c r="J381" s="79" t="str">
        <x:v>P2</x:v>
      </x:c>
      <x:c r="K381" s="79" t="str">
        <x:v>https://github.com/darknigthmare/yautja-la-longue-chasse/blob/feat/v131-gauntlet-hologram-dual-view-20261030/public/game/assets/v136/gauntlets/phg-cleopatra/04-lid.svg</x:v>
      </x:c>
      <x:c r="L381" s="79" t="str">
        <x:v>Capot ouvert/fermé ; 3 gestes complets restent à faire</x:v>
      </x:c>
    </x:row>
    <x:row r="382" ht="29" customHeight="1">
      <x:c r="A382" s="79" t="str">
        <x:v>05_Assets</x:v>
      </x:c>
      <x:c r="B382" s="79" t="n">
        <x:v>382</x:v>
      </x:c>
      <x:c r="C382" s="79" t="str">
        <x:v>phg-cleopatra-SFX</x:v>
      </x:c>
      <x:c r="D382" s="79" t="str">
        <x:v>phg-cleopatra</x:v>
      </x:c>
      <x:c r="E382" s="79" t="str">
        <x:v>Identité sonore</x:v>
      </x:c>
      <x:c r="F382" s="79" t="str">
        <x:v>PARTIEL · prototype technique</x:v>
      </x:c>
      <x:c r="G382" s="79" t="str">
        <x:v>Distinguer signatures individualisées, écouter et calibrer mixage/mute</x:v>
      </x:c>
      <x:c r="H382" s="79" t="str">
        <x:v>UI/AUDIO</x:v>
      </x:c>
      <x:c r="I382" s="79" t="str">
        <x:v>Oui, pour les contrats techniques uniquement</x:v>
      </x:c>
      <x:c r="J382" s="79" t="str">
        <x:v>P2</x:v>
      </x:c>
      <x:c r="K382" s="79" t="str">
        <x:v>https://github.com/darknigthmare/yautja-la-longue-chasse/blob/feat/v131-gauntlet-hologram-dual-view-20261030/app/game/sound.ts</x:v>
      </x:c>
      <x:c r="L382" s="79" t="str">
        <x:v>Signature sonore par thème (10 profils), source non cinéma</x:v>
      </x:c>
    </x:row>
    <x:row r="383" ht="29" customHeight="1">
      <x:c r="A383" s="79" t="str">
        <x:v>05_Assets</x:v>
      </x:c>
      <x:c r="B383" s="79" t="n">
        <x:v>383</x:v>
      </x:c>
      <x:c r="C383" s="79" t="str">
        <x:v>phg-cleopatra-HUD</x:v>
      </x:c>
      <x:c r="D383" s="79" t="str">
        <x:v>phg-cleopatra</x:v>
      </x:c>
      <x:c r="E383" s="79" t="str">
        <x:v>Palette / projection</x:v>
      </x:c>
      <x:c r="F383" s="79" t="str">
        <x:v>PARTIEL · prototype technique</x:v>
      </x:c>
      <x:c r="G383" s="79" t="str">
        <x:v>Tester toutes résolutions, contrôles, sous-modes et cohérence d'infos</x:v>
      </x:c>
      <x:c r="H383" s="79" t="str">
        <x:v>UI/AUDIO</x:v>
      </x:c>
      <x:c r="I383" s="79" t="str">
        <x:v>Oui, pour les contrats techniques uniquement</x:v>
      </x:c>
      <x:c r="J383" s="79" t="str">
        <x:v>P2</x:v>
      </x:c>
      <x:c r="K383" s="79" t="str">
        <x:v>https://github.com/darknigthmare/yautja-la-longue-chasse/blob/feat/v131-gauntlet-hologram-dual-view-20261030/app/game/ClanWarGauntletV131.tsx</x:v>
      </x:c>
      <x:c r="L383" s="79" t="str">
        <x:v>HUD connecté / simulation intacte ; QA visuelle restante</x:v>
      </x:c>
    </x:row>
    <x:row r="384" ht="29" customHeight="1">
      <x:c r="A384" s="79" t="str">
        <x:v>05_Assets</x:v>
      </x:c>
      <x:c r="B384" s="79" t="n">
        <x:v>384</x:v>
      </x:c>
      <x:c r="C384" s="79" t="str">
        <x:v>phg-cleopatra-QA</x:v>
      </x:c>
      <x:c r="D384" s="79" t="str">
        <x:v>phg-cleopatra</x:v>
      </x:c>
      <x:c r="E384" s="79" t="str">
        <x:v>Comparaisons + tests</x:v>
      </x:c>
      <x:c r="F384" s="79" t="str">
        <x:v>PARTIEL · prototype technique</x:v>
      </x:c>
      <x:c r="G384" s="79" t="str">
        <x:v>Réaliser contrôles visuels film/rig + E2E jeu, FPS et accessibilité</x:v>
      </x:c>
      <x:c r="H384" s="79" t="str">
        <x:v>ART+QA</x:v>
      </x:c>
      <x:c r="I384" s="79" t="str">
        <x:v>Oui, pour les contrats techniques uniquement</x:v>
      </x:c>
      <x:c r="J384" s="79" t="str">
        <x:v>P2</x:v>
      </x:c>
      <x:c r="K384" s="79" t="str">
        <x:v>https://github.com/darknigthmare/yautja-la-longue-chasse/blob/feat/v131-gauntlet-hologram-dual-view-20261030/tests/gauntlet-archive-studies-v136.test.mjs</x:v>
      </x:c>
      <x:c r="L384" s="79" t="str">
        <x:v>Tests CI source / alpha / type / navigateur autonome ; 1:1 restant</x:v>
      </x:c>
    </x:row>
    <x:row r="385" ht="29" customHeight="1">
      <x:c r="A385" s="79" t="str">
        <x:v>05_Assets</x:v>
      </x:c>
      <x:c r="B385" s="79" t="n">
        <x:v>385</x:v>
      </x:c>
      <x:c r="C385" s="79" t="str">
        <x:v>phg-exiled-ARM-L</x:v>
      </x:c>
      <x:c r="D385" s="79" t="str">
        <x:v>phg-exiled</x:v>
      </x:c>
      <x:c r="E385" s="79" t="str">
        <x:v>Bras gauche / poignet</x:v>
      </x:c>
      <x:c r="F385" s="79" t="str">
        <x:v>PARTIEL · prototype technique</x:v>
      </x:c>
      <x:c r="G385" s="79" t="str">
        <x:v>Comparer bras et poignet à plusieurs plans canoniques ; adapter au rig dans toutes poses</x:v>
      </x:c>
      <x:c r="H385" s="79" t="str">
        <x:v>ART+QA</x:v>
      </x:c>
      <x:c r="I385" s="79" t="str">
        <x:v>Oui, pour les contrats techniques uniquement</x:v>
      </x:c>
      <x:c r="J385" s="79" t="str">
        <x:v>P2</x:v>
      </x:c>
      <x:c r="K385" s="79" t="str">
        <x:v>https://github.com/darknigthmare/yautja-la-longue-chasse/blob/feat/v131-gauntlet-hologram-dual-view-20261030/public/game/assets/v136/gauntlets/phg-exiled/01-arm.svg</x:v>
      </x:c>
      <x:c r="L385" s="79" t="str">
        <x:v>Prototype SVG individuel + alpha PNG</x:v>
      </x:c>
    </x:row>
    <x:row r="386" ht="29" customHeight="1">
      <x:c r="A386" s="79" t="str">
        <x:v>05_Assets</x:v>
      </x:c>
      <x:c r="B386" s="79" t="n">
        <x:v>386</x:v>
      </x:c>
      <x:c r="C386" s="79" t="str">
        <x:v>phg-exiled-SHELL-C</x:v>
      </x:c>
      <x:c r="D386" s="79" t="str">
        <x:v>phg-exiled</x:v>
      </x:c>
      <x:c r="E386" s="79" t="str">
        <x:v>Coque fermée</x:v>
      </x:c>
      <x:c r="F386" s="79" t="str">
        <x:v>PARTIEL · prototype technique</x:v>
      </x:c>
      <x:c r="G386" s="79" t="str">
        <x:v>Vérifier forme/proportions/cuirasse 1:1 et textures, pas seulement SVG</x:v>
      </x:c>
      <x:c r="H386" s="79" t="str">
        <x:v>ART+QA</x:v>
      </x:c>
      <x:c r="I386" s="79" t="str">
        <x:v>Oui, pour les contrats techniques uniquement</x:v>
      </x:c>
      <x:c r="J386" s="79" t="str">
        <x:v>P2</x:v>
      </x:c>
      <x:c r="K386" s="79" t="str">
        <x:v>https://github.com/darknigthmare/yautja-la-longue-chasse/blob/feat/v131-gauntlet-hologram-dual-view-20261030/public/game/assets/v136/gauntlets/phg-exiled/02-shell.svg</x:v>
      </x:c>
      <x:c r="L386" s="79" t="str">
        <x:v>Coque individuelle SVG + PNG, non 1:1</x:v>
      </x:c>
    </x:row>
    <x:row r="387" ht="29" customHeight="1">
      <x:c r="A387" s="79" t="str">
        <x:v>05_Assets</x:v>
      </x:c>
      <x:c r="B387" s="79" t="n">
        <x:v>387</x:v>
      </x:c>
      <x:c r="C387" s="79" t="str">
        <x:v>phg-exiled-SHELL-O</x:v>
      </x:c>
      <x:c r="D387" s="79" t="str">
        <x:v>phg-exiled</x:v>
      </x:c>
      <x:c r="E387" s="79" t="str">
        <x:v>Coque ouverte</x:v>
      </x:c>
      <x:c r="F387" s="79" t="str">
        <x:v>PARTIEL · prototype technique</x:v>
      </x:c>
      <x:c r="G387" s="79" t="str">
        <x:v>Mesurer pivot/capots sur film et compléter les états ouvrir-fermer-ranger</x:v>
      </x:c>
      <x:c r="H387" s="79" t="str">
        <x:v>ART+QA</x:v>
      </x:c>
      <x:c r="I387" s="79" t="str">
        <x:v>Oui, pour les contrats techniques uniquement</x:v>
      </x:c>
      <x:c r="J387" s="79" t="str">
        <x:v>P2</x:v>
      </x:c>
      <x:c r="K387" s="79" t="str">
        <x:v>https://github.com/darknigthmare/yautja-la-longue-chasse/blob/feat/v131-gauntlet-hologram-dual-view-20261030/public/game/assets/v136/gauntlets/phg-exiled/04-lid.svg</x:v>
      </x:c>
      <x:c r="L387" s="79" t="str">
        <x:v>Capot ouvrable en React/CSS, animation partielle</x:v>
      </x:c>
    </x:row>
    <x:row r="388" ht="29" customHeight="1">
      <x:c r="A388" s="79" t="str">
        <x:v>05_Assets</x:v>
      </x:c>
      <x:c r="B388" s="79" t="n">
        <x:v>388</x:v>
      </x:c>
      <x:c r="C388" s="79" t="str">
        <x:v>phg-exiled-UI-RED</x:v>
      </x:c>
      <x:c r="D388" s="79" t="str">
        <x:v>phg-exiled</x:v>
      </x:c>
      <x:c r="E388" s="79" t="str">
        <x:v>Contrôle / glyphes</x:v>
      </x:c>
      <x:c r="F388" s="79" t="str">
        <x:v>PARTIEL · prototype technique</x:v>
      </x:c>
      <x:c r="G388" s="79" t="str">
        <x:v>Remplacer symboles conceptuels par graphismes source documentés sans inventer du canon</x:v>
      </x:c>
      <x:c r="H388" s="79" t="str">
        <x:v>ART+QA</x:v>
      </x:c>
      <x:c r="I388" s="79" t="str">
        <x:v>Oui, pour les contrats techniques uniquement</x:v>
      </x:c>
      <x:c r="J388" s="79" t="str">
        <x:v>P2</x:v>
      </x:c>
      <x:c r="K388" s="79" t="str">
        <x:v>https://github.com/darknigthmare/yautja-la-longue-chasse/blob/feat/v131-gauntlet-hologram-dual-view-20261030/public/game/assets/v136/gauntlets/phg-exiled/03-interface.svg</x:v>
      </x:c>
      <x:c r="L388" s="79" t="str">
        <x:v>Interface distincte en SVG / couleurs non certifiées</x:v>
      </x:c>
    </x:row>
    <x:row r="389" ht="29" customHeight="1">
      <x:c r="A389" s="79" t="str">
        <x:v>05_Assets</x:v>
      </x:c>
      <x:c r="B389" s="79" t="n">
        <x:v>389</x:v>
      </x:c>
      <x:c r="C389" s="79" t="str">
        <x:v>phg-exiled-RIBS</x:v>
      </x:c>
      <x:c r="D389" s="79" t="str">
        <x:v>phg-exiled</x:v>
      </x:c>
      <x:c r="E389" s="79" t="str">
        <x:v>Ribures et mécanique</x:v>
      </x:c>
      <x:c r="F389" s="79" t="str">
        <x:v>OUVERT · séparation des sous-pièces</x:v>
      </x:c>
      <x:c r="G389" s="79" t="str">
        <x:v>Découper les pièces mécaniques, valider attaches et reliefs individuels</x:v>
      </x:c>
      <x:c r="H389" s="79" t="str">
        <x:v>ART+QA</x:v>
      </x:c>
      <x:c r="I389" s="79" t="str">
        <x:v>Oui, pour les contrats techniques uniquement</x:v>
      </x:c>
      <x:c r="J389" s="79" t="str">
        <x:v>P2</x:v>
      </x:c>
      <x:c r="K389" s="79" t="str">
        <x:v>https://github.com/darknigthmare/yautja-la-longue-chasse/blob/feat/v131-gauntlet-hologram-dual-view-20261030/public/game/assets/v136/gauntlets/phg-exiled/02-shell.svg</x:v>
      </x:c>
      <x:c r="L389" s="79" t="str">
        <x:v>Détails de coque présents, sous-pièces non séparées</x:v>
      </x:c>
    </x:row>
    <x:row r="390" ht="29" customHeight="1">
      <x:c r="A390" s="79" t="str">
        <x:v>05_Assets</x:v>
      </x:c>
      <x:c r="B390" s="79" t="n">
        <x:v>390</x:v>
      </x:c>
      <x:c r="C390" s="79" t="str">
        <x:v>phg-exiled-BEAM</x:v>
      </x:c>
      <x:c r="D390" s="79" t="str">
        <x:v>phg-exiled</x:v>
      </x:c>
      <x:c r="E390" s="79" t="str">
        <x:v>Émetteur holographique</x:v>
      </x:c>
      <x:c r="F390" s="79" t="str">
        <x:v>PARTIEL · prototype technique</x:v>
      </x:c>
      <x:c r="G390" s="79" t="str">
        <x:v>Conserver fonctionnalité HUD et produire la signature holographique de chaque modèle</x:v>
      </x:c>
      <x:c r="H390" s="79" t="str">
        <x:v>ART+QA</x:v>
      </x:c>
      <x:c r="I390" s="79" t="str">
        <x:v>Oui, pour les contrats techniques uniquement</x:v>
      </x:c>
      <x:c r="J390" s="79" t="str">
        <x:v>P2</x:v>
      </x:c>
      <x:c r="K390" s="79" t="str">
        <x:v>https://github.com/darknigthmare/yautja-la-longue-chasse/blob/feat/v131-gauntlet-hologram-dual-view-20261030/app/game/ClanWarGauntletV131.tsx</x:v>
      </x:c>
      <x:c r="L390" s="79" t="str">
        <x:v>Faisceau du projet (JH dédié, autres effet commun)</x:v>
      </x:c>
    </x:row>
    <x:row r="391" ht="29" customHeight="1">
      <x:c r="A391" s="79" t="str">
        <x:v>05_Assets</x:v>
      </x:c>
      <x:c r="B391" s="79" t="n">
        <x:v>391</x:v>
      </x:c>
      <x:c r="C391" s="79" t="str">
        <x:v>phg-exiled-MOVE</x:v>
      </x:c>
      <x:c r="D391" s="79" t="str">
        <x:v>phg-exiled</x:v>
      </x:c>
      <x:c r="E391" s="79" t="str">
        <x:v>Animations 4 états</x:v>
      </x:c>
      <x:c r="F391" s="79" t="str">
        <x:v>PARTIEL · prototype technique</x:v>
      </x:c>
      <x:c r="G391" s="79" t="str">
        <x:v>Compléter lever, ouvrir, projeter, ranger ; aligner au rig et à la caméra</x:v>
      </x:c>
      <x:c r="H391" s="79" t="str">
        <x:v>ART+QA</x:v>
      </x:c>
      <x:c r="I391" s="79" t="str">
        <x:v>Oui, pour les contrats techniques uniquement</x:v>
      </x:c>
      <x:c r="J391" s="79" t="str">
        <x:v>P2</x:v>
      </x:c>
      <x:c r="K391" s="79" t="str">
        <x:v>https://github.com/darknigthmare/yautja-la-longue-chasse/blob/feat/v131-gauntlet-hologram-dual-view-20261030/public/game/assets/v136/gauntlets/phg-exiled/04-lid.svg</x:v>
      </x:c>
      <x:c r="L391" s="79" t="str">
        <x:v>Capot ouvert/fermé ; 3 gestes complets restent à faire</x:v>
      </x:c>
    </x:row>
    <x:row r="392" ht="29" customHeight="1">
      <x:c r="A392" s="79" t="str">
        <x:v>05_Assets</x:v>
      </x:c>
      <x:c r="B392" s="79" t="n">
        <x:v>392</x:v>
      </x:c>
      <x:c r="C392" s="79" t="str">
        <x:v>phg-exiled-SFX</x:v>
      </x:c>
      <x:c r="D392" s="79" t="str">
        <x:v>phg-exiled</x:v>
      </x:c>
      <x:c r="E392" s="79" t="str">
        <x:v>Identité sonore</x:v>
      </x:c>
      <x:c r="F392" s="79" t="str">
        <x:v>PARTIEL · prototype technique</x:v>
      </x:c>
      <x:c r="G392" s="79" t="str">
        <x:v>Distinguer signatures individualisées, écouter et calibrer mixage/mute</x:v>
      </x:c>
      <x:c r="H392" s="79" t="str">
        <x:v>UI/AUDIO</x:v>
      </x:c>
      <x:c r="I392" s="79" t="str">
        <x:v>Oui, pour les contrats techniques uniquement</x:v>
      </x:c>
      <x:c r="J392" s="79" t="str">
        <x:v>P2</x:v>
      </x:c>
      <x:c r="K392" s="79" t="str">
        <x:v>https://github.com/darknigthmare/yautja-la-longue-chasse/blob/feat/v131-gauntlet-hologram-dual-view-20261030/app/game/sound.ts</x:v>
      </x:c>
      <x:c r="L392" s="79" t="str">
        <x:v>Signature sonore par thème (10 profils), source non cinéma</x:v>
      </x:c>
    </x:row>
    <x:row r="393" ht="29" customHeight="1">
      <x:c r="A393" s="79" t="str">
        <x:v>05_Assets</x:v>
      </x:c>
      <x:c r="B393" s="79" t="n">
        <x:v>393</x:v>
      </x:c>
      <x:c r="C393" s="79" t="str">
        <x:v>phg-exiled-HUD</x:v>
      </x:c>
      <x:c r="D393" s="79" t="str">
        <x:v>phg-exiled</x:v>
      </x:c>
      <x:c r="E393" s="79" t="str">
        <x:v>Palette / projection</x:v>
      </x:c>
      <x:c r="F393" s="79" t="str">
        <x:v>PARTIEL · prototype technique</x:v>
      </x:c>
      <x:c r="G393" s="79" t="str">
        <x:v>Tester toutes résolutions, contrôles, sous-modes et cohérence d'infos</x:v>
      </x:c>
      <x:c r="H393" s="79" t="str">
        <x:v>UI/AUDIO</x:v>
      </x:c>
      <x:c r="I393" s="79" t="str">
        <x:v>Oui, pour les contrats techniques uniquement</x:v>
      </x:c>
      <x:c r="J393" s="79" t="str">
        <x:v>P2</x:v>
      </x:c>
      <x:c r="K393" s="79" t="str">
        <x:v>https://github.com/darknigthmare/yautja-la-longue-chasse/blob/feat/v131-gauntlet-hologram-dual-view-20261030/app/game/ClanWarGauntletV131.tsx</x:v>
      </x:c>
      <x:c r="L393" s="79" t="str">
        <x:v>HUD connecté / simulation intacte ; QA visuelle restante</x:v>
      </x:c>
    </x:row>
    <x:row r="394" ht="29" customHeight="1">
      <x:c r="A394" s="79" t="str">
        <x:v>05_Assets</x:v>
      </x:c>
      <x:c r="B394" s="79" t="n">
        <x:v>394</x:v>
      </x:c>
      <x:c r="C394" s="79" t="str">
        <x:v>phg-exiled-QA</x:v>
      </x:c>
      <x:c r="D394" s="79" t="str">
        <x:v>phg-exiled</x:v>
      </x:c>
      <x:c r="E394" s="79" t="str">
        <x:v>Comparaisons + tests</x:v>
      </x:c>
      <x:c r="F394" s="79" t="str">
        <x:v>PARTIEL · prototype technique</x:v>
      </x:c>
      <x:c r="G394" s="79" t="str">
        <x:v>Réaliser contrôles visuels film/rig + E2E jeu, FPS et accessibilité</x:v>
      </x:c>
      <x:c r="H394" s="79" t="str">
        <x:v>ART+QA</x:v>
      </x:c>
      <x:c r="I394" s="79" t="str">
        <x:v>Oui, pour les contrats techniques uniquement</x:v>
      </x:c>
      <x:c r="J394" s="79" t="str">
        <x:v>P2</x:v>
      </x:c>
      <x:c r="K394" s="79" t="str">
        <x:v>https://github.com/darknigthmare/yautja-la-longue-chasse/blob/feat/v131-gauntlet-hologram-dual-view-20261030/tests/gauntlet-archive-studies-v136.test.mjs</x:v>
      </x:c>
      <x:c r="L394" s="79" t="str">
        <x:v>Tests CI source / alpha / type / navigateur autonome ; 1:1 restant</x:v>
      </x:c>
    </x:row>
    <x:row r="395" ht="29" customHeight="1">
      <x:c r="A395" s="79" t="str">
        <x:v>05_Assets</x:v>
      </x:c>
      <x:c r="B395" s="79" t="n">
        <x:v>395</x:v>
      </x:c>
      <x:c r="C395" s="79" t="str">
        <x:v>phg-pirate-ARM-L</x:v>
      </x:c>
      <x:c r="D395" s="79" t="str">
        <x:v>phg-pirate</x:v>
      </x:c>
      <x:c r="E395" s="79" t="str">
        <x:v>Bras gauche / poignet</x:v>
      </x:c>
      <x:c r="F395" s="79" t="str">
        <x:v>PARTIEL · prototype technique</x:v>
      </x:c>
      <x:c r="G395" s="79" t="str">
        <x:v>Comparer bras et poignet à plusieurs plans canoniques ; adapter au rig dans toutes poses</x:v>
      </x:c>
      <x:c r="H395" s="79" t="str">
        <x:v>ART+QA</x:v>
      </x:c>
      <x:c r="I395" s="79" t="str">
        <x:v>Oui, pour les contrats techniques uniquement</x:v>
      </x:c>
      <x:c r="J395" s="79" t="str">
        <x:v>P2</x:v>
      </x:c>
      <x:c r="K395" s="79" t="str">
        <x:v>https://github.com/darknigthmare/yautja-la-longue-chasse/blob/feat/v131-gauntlet-hologram-dual-view-20261030/public/game/assets/v136/gauntlets/phg-pirate/01-arm.svg</x:v>
      </x:c>
      <x:c r="L395" s="79" t="str">
        <x:v>Prototype SVG individuel + alpha PNG</x:v>
      </x:c>
    </x:row>
    <x:row r="396" ht="29" customHeight="1">
      <x:c r="A396" s="79" t="str">
        <x:v>05_Assets</x:v>
      </x:c>
      <x:c r="B396" s="79" t="n">
        <x:v>396</x:v>
      </x:c>
      <x:c r="C396" s="79" t="str">
        <x:v>phg-pirate-SHELL-C</x:v>
      </x:c>
      <x:c r="D396" s="79" t="str">
        <x:v>phg-pirate</x:v>
      </x:c>
      <x:c r="E396" s="79" t="str">
        <x:v>Coque fermée</x:v>
      </x:c>
      <x:c r="F396" s="79" t="str">
        <x:v>PARTIEL · prototype technique</x:v>
      </x:c>
      <x:c r="G396" s="79" t="str">
        <x:v>Vérifier forme/proportions/cuirasse 1:1 et textures, pas seulement SVG</x:v>
      </x:c>
      <x:c r="H396" s="79" t="str">
        <x:v>ART+QA</x:v>
      </x:c>
      <x:c r="I396" s="79" t="str">
        <x:v>Oui, pour les contrats techniques uniquement</x:v>
      </x:c>
      <x:c r="J396" s="79" t="str">
        <x:v>P2</x:v>
      </x:c>
      <x:c r="K396" s="79" t="str">
        <x:v>https://github.com/darknigthmare/yautja-la-longue-chasse/blob/feat/v131-gauntlet-hologram-dual-view-20261030/public/game/assets/v136/gauntlets/phg-pirate/02-shell.svg</x:v>
      </x:c>
      <x:c r="L396" s="79" t="str">
        <x:v>Coque individuelle SVG + PNG, non 1:1</x:v>
      </x:c>
    </x:row>
    <x:row r="397" ht="29" customHeight="1">
      <x:c r="A397" s="79" t="str">
        <x:v>05_Assets</x:v>
      </x:c>
      <x:c r="B397" s="79" t="n">
        <x:v>397</x:v>
      </x:c>
      <x:c r="C397" s="79" t="str">
        <x:v>phg-pirate-SHELL-O</x:v>
      </x:c>
      <x:c r="D397" s="79" t="str">
        <x:v>phg-pirate</x:v>
      </x:c>
      <x:c r="E397" s="79" t="str">
        <x:v>Coque ouverte</x:v>
      </x:c>
      <x:c r="F397" s="79" t="str">
        <x:v>PARTIEL · prototype technique</x:v>
      </x:c>
      <x:c r="G397" s="79" t="str">
        <x:v>Mesurer pivot/capots sur film et compléter les états ouvrir-fermer-ranger</x:v>
      </x:c>
      <x:c r="H397" s="79" t="str">
        <x:v>ART+QA</x:v>
      </x:c>
      <x:c r="I397" s="79" t="str">
        <x:v>Oui, pour les contrats techniques uniquement</x:v>
      </x:c>
      <x:c r="J397" s="79" t="str">
        <x:v>P2</x:v>
      </x:c>
      <x:c r="K397" s="79" t="str">
        <x:v>https://github.com/darknigthmare/yautja-la-longue-chasse/blob/feat/v131-gauntlet-hologram-dual-view-20261030/public/game/assets/v136/gauntlets/phg-pirate/04-lid.svg</x:v>
      </x:c>
      <x:c r="L397" s="79" t="str">
        <x:v>Capot ouvrable en React/CSS, animation partielle</x:v>
      </x:c>
    </x:row>
    <x:row r="398" ht="29" customHeight="1">
      <x:c r="A398" s="79" t="str">
        <x:v>05_Assets</x:v>
      </x:c>
      <x:c r="B398" s="79" t="n">
        <x:v>398</x:v>
      </x:c>
      <x:c r="C398" s="79" t="str">
        <x:v>phg-pirate-UI-RED</x:v>
      </x:c>
      <x:c r="D398" s="79" t="str">
        <x:v>phg-pirate</x:v>
      </x:c>
      <x:c r="E398" s="79" t="str">
        <x:v>Contrôle / glyphes</x:v>
      </x:c>
      <x:c r="F398" s="79" t="str">
        <x:v>PARTIEL · prototype technique</x:v>
      </x:c>
      <x:c r="G398" s="79" t="str">
        <x:v>Remplacer symboles conceptuels par graphismes source documentés sans inventer du canon</x:v>
      </x:c>
      <x:c r="H398" s="79" t="str">
        <x:v>ART+QA</x:v>
      </x:c>
      <x:c r="I398" s="79" t="str">
        <x:v>Oui, pour les contrats techniques uniquement</x:v>
      </x:c>
      <x:c r="J398" s="79" t="str">
        <x:v>P2</x:v>
      </x:c>
      <x:c r="K398" s="79" t="str">
        <x:v>https://github.com/darknigthmare/yautja-la-longue-chasse/blob/feat/v131-gauntlet-hologram-dual-view-20261030/public/game/assets/v136/gauntlets/phg-pirate/03-interface.svg</x:v>
      </x:c>
      <x:c r="L398" s="79" t="str">
        <x:v>Interface distincte en SVG / couleurs non certifiées</x:v>
      </x:c>
    </x:row>
    <x:row r="399" ht="29" customHeight="1">
      <x:c r="A399" s="79" t="str">
        <x:v>05_Assets</x:v>
      </x:c>
      <x:c r="B399" s="79" t="n">
        <x:v>399</x:v>
      </x:c>
      <x:c r="C399" s="79" t="str">
        <x:v>phg-pirate-RIBS</x:v>
      </x:c>
      <x:c r="D399" s="79" t="str">
        <x:v>phg-pirate</x:v>
      </x:c>
      <x:c r="E399" s="79" t="str">
        <x:v>Ribures et mécanique</x:v>
      </x:c>
      <x:c r="F399" s="79" t="str">
        <x:v>OUVERT · séparation des sous-pièces</x:v>
      </x:c>
      <x:c r="G399" s="79" t="str">
        <x:v>Découper les pièces mécaniques, valider attaches et reliefs individuels</x:v>
      </x:c>
      <x:c r="H399" s="79" t="str">
        <x:v>ART+QA</x:v>
      </x:c>
      <x:c r="I399" s="79" t="str">
        <x:v>Oui, pour les contrats techniques uniquement</x:v>
      </x:c>
      <x:c r="J399" s="79" t="str">
        <x:v>P2</x:v>
      </x:c>
      <x:c r="K399" s="79" t="str">
        <x:v>https://github.com/darknigthmare/yautja-la-longue-chasse/blob/feat/v131-gauntlet-hologram-dual-view-20261030/public/game/assets/v136/gauntlets/phg-pirate/02-shell.svg</x:v>
      </x:c>
      <x:c r="L399" s="79" t="str">
        <x:v>Détails de coque présents, sous-pièces non séparées</x:v>
      </x:c>
    </x:row>
    <x:row r="400" ht="29" customHeight="1">
      <x:c r="A400" s="79" t="str">
        <x:v>05_Assets</x:v>
      </x:c>
      <x:c r="B400" s="79" t="n">
        <x:v>400</x:v>
      </x:c>
      <x:c r="C400" s="79" t="str">
        <x:v>phg-pirate-BEAM</x:v>
      </x:c>
      <x:c r="D400" s="79" t="str">
        <x:v>phg-pirate</x:v>
      </x:c>
      <x:c r="E400" s="79" t="str">
        <x:v>Émetteur holographique</x:v>
      </x:c>
      <x:c r="F400" s="79" t="str">
        <x:v>PARTIEL · prototype technique</x:v>
      </x:c>
      <x:c r="G400" s="79" t="str">
        <x:v>Conserver fonctionnalité HUD et produire la signature holographique de chaque modèle</x:v>
      </x:c>
      <x:c r="H400" s="79" t="str">
        <x:v>ART+QA</x:v>
      </x:c>
      <x:c r="I400" s="79" t="str">
        <x:v>Oui, pour les contrats techniques uniquement</x:v>
      </x:c>
      <x:c r="J400" s="79" t="str">
        <x:v>P2</x:v>
      </x:c>
      <x:c r="K400" s="79" t="str">
        <x:v>https://github.com/darknigthmare/yautja-la-longue-chasse/blob/feat/v131-gauntlet-hologram-dual-view-20261030/app/game/ClanWarGauntletV131.tsx</x:v>
      </x:c>
      <x:c r="L400" s="79" t="str">
        <x:v>Faisceau du projet (JH dédié, autres effet commun)</x:v>
      </x:c>
    </x:row>
    <x:row r="401" ht="29" customHeight="1">
      <x:c r="A401" s="79" t="str">
        <x:v>05_Assets</x:v>
      </x:c>
      <x:c r="B401" s="79" t="n">
        <x:v>401</x:v>
      </x:c>
      <x:c r="C401" s="79" t="str">
        <x:v>phg-pirate-MOVE</x:v>
      </x:c>
      <x:c r="D401" s="79" t="str">
        <x:v>phg-pirate</x:v>
      </x:c>
      <x:c r="E401" s="79" t="str">
        <x:v>Animations 4 états</x:v>
      </x:c>
      <x:c r="F401" s="79" t="str">
        <x:v>PARTIEL · prototype technique</x:v>
      </x:c>
      <x:c r="G401" s="79" t="str">
        <x:v>Compléter lever, ouvrir, projeter, ranger ; aligner au rig et à la caméra</x:v>
      </x:c>
      <x:c r="H401" s="79" t="str">
        <x:v>ART+QA</x:v>
      </x:c>
      <x:c r="I401" s="79" t="str">
        <x:v>Oui, pour les contrats techniques uniquement</x:v>
      </x:c>
      <x:c r="J401" s="79" t="str">
        <x:v>P2</x:v>
      </x:c>
      <x:c r="K401" s="79" t="str">
        <x:v>https://github.com/darknigthmare/yautja-la-longue-chasse/blob/feat/v131-gauntlet-hologram-dual-view-20261030/public/game/assets/v136/gauntlets/phg-pirate/04-lid.svg</x:v>
      </x:c>
      <x:c r="L401" s="79" t="str">
        <x:v>Capot ouvert/fermé ; 3 gestes complets restent à faire</x:v>
      </x:c>
    </x:row>
    <x:row r="402" ht="29" customHeight="1">
      <x:c r="A402" s="79" t="str">
        <x:v>05_Assets</x:v>
      </x:c>
      <x:c r="B402" s="79" t="n">
        <x:v>402</x:v>
      </x:c>
      <x:c r="C402" s="79" t="str">
        <x:v>phg-pirate-SFX</x:v>
      </x:c>
      <x:c r="D402" s="79" t="str">
        <x:v>phg-pirate</x:v>
      </x:c>
      <x:c r="E402" s="79" t="str">
        <x:v>Identité sonore</x:v>
      </x:c>
      <x:c r="F402" s="79" t="str">
        <x:v>PARTIEL · prototype technique</x:v>
      </x:c>
      <x:c r="G402" s="79" t="str">
        <x:v>Distinguer signatures individualisées, écouter et calibrer mixage/mute</x:v>
      </x:c>
      <x:c r="H402" s="79" t="str">
        <x:v>UI/AUDIO</x:v>
      </x:c>
      <x:c r="I402" s="79" t="str">
        <x:v>Oui, pour les contrats techniques uniquement</x:v>
      </x:c>
      <x:c r="J402" s="79" t="str">
        <x:v>P2</x:v>
      </x:c>
      <x:c r="K402" s="79" t="str">
        <x:v>https://github.com/darknigthmare/yautja-la-longue-chasse/blob/feat/v131-gauntlet-hologram-dual-view-20261030/app/game/sound.ts</x:v>
      </x:c>
      <x:c r="L402" s="79" t="str">
        <x:v>Signature sonore par thème (10 profils), source non cinéma</x:v>
      </x:c>
    </x:row>
    <x:row r="403" ht="29" customHeight="1">
      <x:c r="A403" s="79" t="str">
        <x:v>05_Assets</x:v>
      </x:c>
      <x:c r="B403" s="79" t="n">
        <x:v>403</x:v>
      </x:c>
      <x:c r="C403" s="79" t="str">
        <x:v>phg-pirate-HUD</x:v>
      </x:c>
      <x:c r="D403" s="79" t="str">
        <x:v>phg-pirate</x:v>
      </x:c>
      <x:c r="E403" s="79" t="str">
        <x:v>Palette / projection</x:v>
      </x:c>
      <x:c r="F403" s="79" t="str">
        <x:v>PARTIEL · prototype technique</x:v>
      </x:c>
      <x:c r="G403" s="79" t="str">
        <x:v>Tester toutes résolutions, contrôles, sous-modes et cohérence d'infos</x:v>
      </x:c>
      <x:c r="H403" s="79" t="str">
        <x:v>UI/AUDIO</x:v>
      </x:c>
      <x:c r="I403" s="79" t="str">
        <x:v>Oui, pour les contrats techniques uniquement</x:v>
      </x:c>
      <x:c r="J403" s="79" t="str">
        <x:v>P2</x:v>
      </x:c>
      <x:c r="K403" s="79" t="str">
        <x:v>https://github.com/darknigthmare/yautja-la-longue-chasse/blob/feat/v131-gauntlet-hologram-dual-view-20261030/app/game/ClanWarGauntletV131.tsx</x:v>
      </x:c>
      <x:c r="L403" s="79" t="str">
        <x:v>HUD connecté / simulation intacte ; QA visuelle restante</x:v>
      </x:c>
    </x:row>
    <x:row r="404" ht="29" customHeight="1">
      <x:c r="A404" s="79" t="str">
        <x:v>05_Assets</x:v>
      </x:c>
      <x:c r="B404" s="79" t="n">
        <x:v>404</x:v>
      </x:c>
      <x:c r="C404" s="79" t="str">
        <x:v>phg-pirate-QA</x:v>
      </x:c>
      <x:c r="D404" s="79" t="str">
        <x:v>phg-pirate</x:v>
      </x:c>
      <x:c r="E404" s="79" t="str">
        <x:v>Comparaisons + tests</x:v>
      </x:c>
      <x:c r="F404" s="79" t="str">
        <x:v>PARTIEL · prototype technique</x:v>
      </x:c>
      <x:c r="G404" s="79" t="str">
        <x:v>Réaliser contrôles visuels film/rig + E2E jeu, FPS et accessibilité</x:v>
      </x:c>
      <x:c r="H404" s="79" t="str">
        <x:v>ART+QA</x:v>
      </x:c>
      <x:c r="I404" s="79" t="str">
        <x:v>Oui, pour les contrats techniques uniquement</x:v>
      </x:c>
      <x:c r="J404" s="79" t="str">
        <x:v>P2</x:v>
      </x:c>
      <x:c r="K404" s="79" t="str">
        <x:v>https://github.com/darknigthmare/yautja-la-longue-chasse/blob/feat/v131-gauntlet-hologram-dual-view-20261030/tests/gauntlet-archive-studies-v136.test.mjs</x:v>
      </x:c>
      <x:c r="L404" s="79" t="str">
        <x:v>Tests CI source / alpha / type / navigateur autonome ; 1:1 restant</x:v>
      </x:c>
    </x:row>
    <x:row r="405" ht="29" customHeight="1">
      <x:c r="A405" s="79" t="str">
        <x:v>05_Assets</x:v>
      </x:c>
      <x:c r="B405" s="79" t="n">
        <x:v>405</x:v>
      </x:c>
      <x:c r="C405" s="79" t="str">
        <x:v>phg-bionic-ARM-L</x:v>
      </x:c>
      <x:c r="D405" s="79" t="str">
        <x:v>phg-bionic</x:v>
      </x:c>
      <x:c r="E405" s="79" t="str">
        <x:v>Bras gauche / poignet</x:v>
      </x:c>
      <x:c r="F405" s="79" t="str">
        <x:v>PARTIEL · prototype technique</x:v>
      </x:c>
      <x:c r="G405" s="79" t="str">
        <x:v>Comparer bras et poignet à plusieurs plans canoniques ; adapter au rig dans toutes poses</x:v>
      </x:c>
      <x:c r="H405" s="79" t="str">
        <x:v>ART+QA</x:v>
      </x:c>
      <x:c r="I405" s="79" t="str">
        <x:v>Oui, pour les contrats techniques uniquement</x:v>
      </x:c>
      <x:c r="J405" s="79" t="str">
        <x:v>P2</x:v>
      </x:c>
      <x:c r="K405" s="79" t="str">
        <x:v>https://github.com/darknigthmare/yautja-la-longue-chasse/blob/feat/v131-gauntlet-hologram-dual-view-20261030/public/game/assets/v136/gauntlets/phg-bionic/01-arm.svg</x:v>
      </x:c>
      <x:c r="L405" s="79" t="str">
        <x:v>Prototype SVG individuel + alpha PNG</x:v>
      </x:c>
    </x:row>
    <x:row r="406" ht="29" customHeight="1">
      <x:c r="A406" s="79" t="str">
        <x:v>05_Assets</x:v>
      </x:c>
      <x:c r="B406" s="79" t="n">
        <x:v>406</x:v>
      </x:c>
      <x:c r="C406" s="79" t="str">
        <x:v>phg-bionic-SHELL-C</x:v>
      </x:c>
      <x:c r="D406" s="79" t="str">
        <x:v>phg-bionic</x:v>
      </x:c>
      <x:c r="E406" s="79" t="str">
        <x:v>Coque fermée</x:v>
      </x:c>
      <x:c r="F406" s="79" t="str">
        <x:v>PARTIEL · prototype technique</x:v>
      </x:c>
      <x:c r="G406" s="79" t="str">
        <x:v>Vérifier forme/proportions/cuirasse 1:1 et textures, pas seulement SVG</x:v>
      </x:c>
      <x:c r="H406" s="79" t="str">
        <x:v>ART+QA</x:v>
      </x:c>
      <x:c r="I406" s="79" t="str">
        <x:v>Oui, pour les contrats techniques uniquement</x:v>
      </x:c>
      <x:c r="J406" s="79" t="str">
        <x:v>P2</x:v>
      </x:c>
      <x:c r="K406" s="79" t="str">
        <x:v>https://github.com/darknigthmare/yautja-la-longue-chasse/blob/feat/v131-gauntlet-hologram-dual-view-20261030/public/game/assets/v136/gauntlets/phg-bionic/02-shell.svg</x:v>
      </x:c>
      <x:c r="L406" s="79" t="str">
        <x:v>Coque individuelle SVG + PNG, non 1:1</x:v>
      </x:c>
    </x:row>
    <x:row r="407" ht="29" customHeight="1">
      <x:c r="A407" s="79" t="str">
        <x:v>05_Assets</x:v>
      </x:c>
      <x:c r="B407" s="79" t="n">
        <x:v>407</x:v>
      </x:c>
      <x:c r="C407" s="79" t="str">
        <x:v>phg-bionic-SHELL-O</x:v>
      </x:c>
      <x:c r="D407" s="79" t="str">
        <x:v>phg-bionic</x:v>
      </x:c>
      <x:c r="E407" s="79" t="str">
        <x:v>Coque ouverte</x:v>
      </x:c>
      <x:c r="F407" s="79" t="str">
        <x:v>PARTIEL · prototype technique</x:v>
      </x:c>
      <x:c r="G407" s="79" t="str">
        <x:v>Mesurer pivot/capots sur film et compléter les états ouvrir-fermer-ranger</x:v>
      </x:c>
      <x:c r="H407" s="79" t="str">
        <x:v>ART+QA</x:v>
      </x:c>
      <x:c r="I407" s="79" t="str">
        <x:v>Oui, pour les contrats techniques uniquement</x:v>
      </x:c>
      <x:c r="J407" s="79" t="str">
        <x:v>P2</x:v>
      </x:c>
      <x:c r="K407" s="79" t="str">
        <x:v>https://github.com/darknigthmare/yautja-la-longue-chasse/blob/feat/v131-gauntlet-hologram-dual-view-20261030/public/game/assets/v136/gauntlets/phg-bionic/04-lid.svg</x:v>
      </x:c>
      <x:c r="L407" s="79" t="str">
        <x:v>Capot ouvrable en React/CSS, animation partielle</x:v>
      </x:c>
    </x:row>
    <x:row r="408" ht="29" customHeight="1">
      <x:c r="A408" s="79" t="str">
        <x:v>05_Assets</x:v>
      </x:c>
      <x:c r="B408" s="79" t="n">
        <x:v>408</x:v>
      </x:c>
      <x:c r="C408" s="79" t="str">
        <x:v>phg-bionic-UI-RED</x:v>
      </x:c>
      <x:c r="D408" s="79" t="str">
        <x:v>phg-bionic</x:v>
      </x:c>
      <x:c r="E408" s="79" t="str">
        <x:v>Contrôle / glyphes</x:v>
      </x:c>
      <x:c r="F408" s="79" t="str">
        <x:v>PARTIEL · prototype technique</x:v>
      </x:c>
      <x:c r="G408" s="79" t="str">
        <x:v>Remplacer symboles conceptuels par graphismes source documentés sans inventer du canon</x:v>
      </x:c>
      <x:c r="H408" s="79" t="str">
        <x:v>ART+QA</x:v>
      </x:c>
      <x:c r="I408" s="79" t="str">
        <x:v>Oui, pour les contrats techniques uniquement</x:v>
      </x:c>
      <x:c r="J408" s="79" t="str">
        <x:v>P2</x:v>
      </x:c>
      <x:c r="K408" s="79" t="str">
        <x:v>https://github.com/darknigthmare/yautja-la-longue-chasse/blob/feat/v131-gauntlet-hologram-dual-view-20261030/public/game/assets/v136/gauntlets/phg-bionic/03-interface.svg</x:v>
      </x:c>
      <x:c r="L408" s="79" t="str">
        <x:v>Interface distincte en SVG / couleurs non certifiées</x:v>
      </x:c>
    </x:row>
    <x:row r="409" ht="29" customHeight="1">
      <x:c r="A409" s="79" t="str">
        <x:v>05_Assets</x:v>
      </x:c>
      <x:c r="B409" s="79" t="n">
        <x:v>409</x:v>
      </x:c>
      <x:c r="C409" s="79" t="str">
        <x:v>phg-bionic-RIBS</x:v>
      </x:c>
      <x:c r="D409" s="79" t="str">
        <x:v>phg-bionic</x:v>
      </x:c>
      <x:c r="E409" s="79" t="str">
        <x:v>Ribures et mécanique</x:v>
      </x:c>
      <x:c r="F409" s="79" t="str">
        <x:v>OUVERT · séparation des sous-pièces</x:v>
      </x:c>
      <x:c r="G409" s="79" t="str">
        <x:v>Découper les pièces mécaniques, valider attaches et reliefs individuels</x:v>
      </x:c>
      <x:c r="H409" s="79" t="str">
        <x:v>ART+QA</x:v>
      </x:c>
      <x:c r="I409" s="79" t="str">
        <x:v>Oui, pour les contrats techniques uniquement</x:v>
      </x:c>
      <x:c r="J409" s="79" t="str">
        <x:v>P2</x:v>
      </x:c>
      <x:c r="K409" s="79" t="str">
        <x:v>https://github.com/darknigthmare/yautja-la-longue-chasse/blob/feat/v131-gauntlet-hologram-dual-view-20261030/public/game/assets/v136/gauntlets/phg-bionic/02-shell.svg</x:v>
      </x:c>
      <x:c r="L409" s="79" t="str">
        <x:v>Détails de coque présents, sous-pièces non séparées</x:v>
      </x:c>
    </x:row>
    <x:row r="410" ht="29" customHeight="1">
      <x:c r="A410" s="79" t="str">
        <x:v>05_Assets</x:v>
      </x:c>
      <x:c r="B410" s="79" t="n">
        <x:v>410</x:v>
      </x:c>
      <x:c r="C410" s="79" t="str">
        <x:v>phg-bionic-BEAM</x:v>
      </x:c>
      <x:c r="D410" s="79" t="str">
        <x:v>phg-bionic</x:v>
      </x:c>
      <x:c r="E410" s="79" t="str">
        <x:v>Émetteur holographique</x:v>
      </x:c>
      <x:c r="F410" s="79" t="str">
        <x:v>PARTIEL · prototype technique</x:v>
      </x:c>
      <x:c r="G410" s="79" t="str">
        <x:v>Conserver fonctionnalité HUD et produire la signature holographique de chaque modèle</x:v>
      </x:c>
      <x:c r="H410" s="79" t="str">
        <x:v>ART+QA</x:v>
      </x:c>
      <x:c r="I410" s="79" t="str">
        <x:v>Oui, pour les contrats techniques uniquement</x:v>
      </x:c>
      <x:c r="J410" s="79" t="str">
        <x:v>P2</x:v>
      </x:c>
      <x:c r="K410" s="79" t="str">
        <x:v>https://github.com/darknigthmare/yautja-la-longue-chasse/blob/feat/v131-gauntlet-hologram-dual-view-20261030/app/game/ClanWarGauntletV131.tsx</x:v>
      </x:c>
      <x:c r="L410" s="79" t="str">
        <x:v>Faisceau du projet (JH dédié, autres effet commun)</x:v>
      </x:c>
    </x:row>
    <x:row r="411" ht="29" customHeight="1">
      <x:c r="A411" s="79" t="str">
        <x:v>05_Assets</x:v>
      </x:c>
      <x:c r="B411" s="79" t="n">
        <x:v>411</x:v>
      </x:c>
      <x:c r="C411" s="79" t="str">
        <x:v>phg-bionic-MOVE</x:v>
      </x:c>
      <x:c r="D411" s="79" t="str">
        <x:v>phg-bionic</x:v>
      </x:c>
      <x:c r="E411" s="79" t="str">
        <x:v>Animations 4 états</x:v>
      </x:c>
      <x:c r="F411" s="79" t="str">
        <x:v>PARTIEL · prototype technique</x:v>
      </x:c>
      <x:c r="G411" s="79" t="str">
        <x:v>Compléter lever, ouvrir, projeter, ranger ; aligner au rig et à la caméra</x:v>
      </x:c>
      <x:c r="H411" s="79" t="str">
        <x:v>ART+QA</x:v>
      </x:c>
      <x:c r="I411" s="79" t="str">
        <x:v>Oui, pour les contrats techniques uniquement</x:v>
      </x:c>
      <x:c r="J411" s="79" t="str">
        <x:v>P2</x:v>
      </x:c>
      <x:c r="K411" s="79" t="str">
        <x:v>https://github.com/darknigthmare/yautja-la-longue-chasse/blob/feat/v131-gauntlet-hologram-dual-view-20261030/public/game/assets/v136/gauntlets/phg-bionic/04-lid.svg</x:v>
      </x:c>
      <x:c r="L411" s="79" t="str">
        <x:v>Capot ouvert/fermé ; 3 gestes complets restent à faire</x:v>
      </x:c>
    </x:row>
    <x:row r="412" ht="29" customHeight="1">
      <x:c r="A412" s="79" t="str">
        <x:v>05_Assets</x:v>
      </x:c>
      <x:c r="B412" s="79" t="n">
        <x:v>412</x:v>
      </x:c>
      <x:c r="C412" s="79" t="str">
        <x:v>phg-bionic-SFX</x:v>
      </x:c>
      <x:c r="D412" s="79" t="str">
        <x:v>phg-bionic</x:v>
      </x:c>
      <x:c r="E412" s="79" t="str">
        <x:v>Identité sonore</x:v>
      </x:c>
      <x:c r="F412" s="79" t="str">
        <x:v>PARTIEL · prototype technique</x:v>
      </x:c>
      <x:c r="G412" s="79" t="str">
        <x:v>Distinguer signatures individualisées, écouter et calibrer mixage/mute</x:v>
      </x:c>
      <x:c r="H412" s="79" t="str">
        <x:v>UI/AUDIO</x:v>
      </x:c>
      <x:c r="I412" s="79" t="str">
        <x:v>Oui, pour les contrats techniques uniquement</x:v>
      </x:c>
      <x:c r="J412" s="79" t="str">
        <x:v>P2</x:v>
      </x:c>
      <x:c r="K412" s="79" t="str">
        <x:v>https://github.com/darknigthmare/yautja-la-longue-chasse/blob/feat/v131-gauntlet-hologram-dual-view-20261030/app/game/sound.ts</x:v>
      </x:c>
      <x:c r="L412" s="79" t="str">
        <x:v>Signature sonore par thème (10 profils), source non cinéma</x:v>
      </x:c>
    </x:row>
    <x:row r="413" ht="29" customHeight="1">
      <x:c r="A413" s="79" t="str">
        <x:v>05_Assets</x:v>
      </x:c>
      <x:c r="B413" s="79" t="n">
        <x:v>413</x:v>
      </x:c>
      <x:c r="C413" s="79" t="str">
        <x:v>phg-bionic-HUD</x:v>
      </x:c>
      <x:c r="D413" s="79" t="str">
        <x:v>phg-bionic</x:v>
      </x:c>
      <x:c r="E413" s="79" t="str">
        <x:v>Palette / projection</x:v>
      </x:c>
      <x:c r="F413" s="79" t="str">
        <x:v>PARTIEL · prototype technique</x:v>
      </x:c>
      <x:c r="G413" s="79" t="str">
        <x:v>Tester toutes résolutions, contrôles, sous-modes et cohérence d'infos</x:v>
      </x:c>
      <x:c r="H413" s="79" t="str">
        <x:v>UI/AUDIO</x:v>
      </x:c>
      <x:c r="I413" s="79" t="str">
        <x:v>Oui, pour les contrats techniques uniquement</x:v>
      </x:c>
      <x:c r="J413" s="79" t="str">
        <x:v>P2</x:v>
      </x:c>
      <x:c r="K413" s="79" t="str">
        <x:v>https://github.com/darknigthmare/yautja-la-longue-chasse/blob/feat/v131-gauntlet-hologram-dual-view-20261030/app/game/ClanWarGauntletV131.tsx</x:v>
      </x:c>
      <x:c r="L413" s="79" t="str">
        <x:v>HUD connecté / simulation intacte ; QA visuelle restante</x:v>
      </x:c>
    </x:row>
    <x:row r="414" ht="29" customHeight="1">
      <x:c r="A414" s="79" t="str">
        <x:v>05_Assets</x:v>
      </x:c>
      <x:c r="B414" s="79" t="n">
        <x:v>414</x:v>
      </x:c>
      <x:c r="C414" s="79" t="str">
        <x:v>phg-bionic-QA</x:v>
      </x:c>
      <x:c r="D414" s="79" t="str">
        <x:v>phg-bionic</x:v>
      </x:c>
      <x:c r="E414" s="79" t="str">
        <x:v>Comparaisons + tests</x:v>
      </x:c>
      <x:c r="F414" s="79" t="str">
        <x:v>PARTIEL · prototype technique</x:v>
      </x:c>
      <x:c r="G414" s="79" t="str">
        <x:v>Réaliser contrôles visuels film/rig + E2E jeu, FPS et accessibilité</x:v>
      </x:c>
      <x:c r="H414" s="79" t="str">
        <x:v>ART+QA</x:v>
      </x:c>
      <x:c r="I414" s="79" t="str">
        <x:v>Oui, pour les contrats techniques uniquement</x:v>
      </x:c>
      <x:c r="J414" s="79" t="str">
        <x:v>P2</x:v>
      </x:c>
      <x:c r="K414" s="79" t="str">
        <x:v>https://github.com/darknigthmare/yautja-la-longue-chasse/blob/feat/v131-gauntlet-hologram-dual-view-20261030/tests/gauntlet-archive-studies-v136.test.mjs</x:v>
      </x:c>
      <x:c r="L414" s="79" t="str">
        <x:v>Tests CI source / alpha / type / navigateur autonome ; 1:1 restant</x:v>
      </x:c>
    </x:row>
    <x:row r="415" ht="29" customHeight="1">
      <x:c r="A415" s="79" t="str">
        <x:v>05_Assets</x:v>
      </x:c>
      <x:c r="B415" s="79" t="n">
        <x:v>415</x:v>
      </x:c>
      <x:c r="C415" s="79" t="str">
        <x:v>phg-emissary-ARM-L</x:v>
      </x:c>
      <x:c r="D415" s="79" t="str">
        <x:v>phg-emissary</x:v>
      </x:c>
      <x:c r="E415" s="79" t="str">
        <x:v>Bras gauche / poignet</x:v>
      </x:c>
      <x:c r="F415" s="79" t="str">
        <x:v>PARTIEL · prototype technique</x:v>
      </x:c>
      <x:c r="G415" s="79" t="str">
        <x:v>Comparer bras et poignet à plusieurs plans canoniques ; adapter au rig dans toutes poses</x:v>
      </x:c>
      <x:c r="H415" s="79" t="str">
        <x:v>ART+QA</x:v>
      </x:c>
      <x:c r="I415" s="79" t="str">
        <x:v>Oui, pour les contrats techniques uniquement</x:v>
      </x:c>
      <x:c r="J415" s="79" t="str">
        <x:v>P2</x:v>
      </x:c>
      <x:c r="K415" s="79" t="str">
        <x:v>https://github.com/darknigthmare/yautja-la-longue-chasse/blob/feat/v131-gauntlet-hologram-dual-view-20261030/public/game/assets/v136/gauntlets/phg-emissary/01-arm.svg</x:v>
      </x:c>
      <x:c r="L415" s="79" t="str">
        <x:v>Prototype SVG individuel + alpha PNG</x:v>
      </x:c>
    </x:row>
    <x:row r="416" ht="29" customHeight="1">
      <x:c r="A416" s="79" t="str">
        <x:v>05_Assets</x:v>
      </x:c>
      <x:c r="B416" s="79" t="n">
        <x:v>416</x:v>
      </x:c>
      <x:c r="C416" s="79" t="str">
        <x:v>phg-emissary-SHELL-C</x:v>
      </x:c>
      <x:c r="D416" s="79" t="str">
        <x:v>phg-emissary</x:v>
      </x:c>
      <x:c r="E416" s="79" t="str">
        <x:v>Coque fermée</x:v>
      </x:c>
      <x:c r="F416" s="79" t="str">
        <x:v>PARTIEL · prototype technique</x:v>
      </x:c>
      <x:c r="G416" s="79" t="str">
        <x:v>Vérifier forme/proportions/cuirasse 1:1 et textures, pas seulement SVG</x:v>
      </x:c>
      <x:c r="H416" s="79" t="str">
        <x:v>ART+QA</x:v>
      </x:c>
      <x:c r="I416" s="79" t="str">
        <x:v>Oui, pour les contrats techniques uniquement</x:v>
      </x:c>
      <x:c r="J416" s="79" t="str">
        <x:v>P2</x:v>
      </x:c>
      <x:c r="K416" s="79" t="str">
        <x:v>https://github.com/darknigthmare/yautja-la-longue-chasse/blob/feat/v131-gauntlet-hologram-dual-view-20261030/public/game/assets/v136/gauntlets/phg-emissary/02-shell.svg</x:v>
      </x:c>
      <x:c r="L416" s="79" t="str">
        <x:v>Coque individuelle SVG + PNG, non 1:1</x:v>
      </x:c>
    </x:row>
    <x:row r="417" ht="29" customHeight="1">
      <x:c r="A417" s="79" t="str">
        <x:v>05_Assets</x:v>
      </x:c>
      <x:c r="B417" s="79" t="n">
        <x:v>417</x:v>
      </x:c>
      <x:c r="C417" s="79" t="str">
        <x:v>phg-emissary-SHELL-O</x:v>
      </x:c>
      <x:c r="D417" s="79" t="str">
        <x:v>phg-emissary</x:v>
      </x:c>
      <x:c r="E417" s="79" t="str">
        <x:v>Coque ouverte</x:v>
      </x:c>
      <x:c r="F417" s="79" t="str">
        <x:v>PARTIEL · prototype technique</x:v>
      </x:c>
      <x:c r="G417" s="79" t="str">
        <x:v>Mesurer pivot/capots sur film et compléter les états ouvrir-fermer-ranger</x:v>
      </x:c>
      <x:c r="H417" s="79" t="str">
        <x:v>ART+QA</x:v>
      </x:c>
      <x:c r="I417" s="79" t="str">
        <x:v>Oui, pour les contrats techniques uniquement</x:v>
      </x:c>
      <x:c r="J417" s="79" t="str">
        <x:v>P2</x:v>
      </x:c>
      <x:c r="K417" s="79" t="str">
        <x:v>https://github.com/darknigthmare/yautja-la-longue-chasse/blob/feat/v131-gauntlet-hologram-dual-view-20261030/public/game/assets/v136/gauntlets/phg-emissary/04-lid.svg</x:v>
      </x:c>
      <x:c r="L417" s="79" t="str">
        <x:v>Capot ouvrable en React/CSS, animation partielle</x:v>
      </x:c>
    </x:row>
    <x:row r="418" ht="29" customHeight="1">
      <x:c r="A418" s="79" t="str">
        <x:v>05_Assets</x:v>
      </x:c>
      <x:c r="B418" s="79" t="n">
        <x:v>418</x:v>
      </x:c>
      <x:c r="C418" s="79" t="str">
        <x:v>phg-emissary-UI-RED</x:v>
      </x:c>
      <x:c r="D418" s="79" t="str">
        <x:v>phg-emissary</x:v>
      </x:c>
      <x:c r="E418" s="79" t="str">
        <x:v>Contrôle / glyphes</x:v>
      </x:c>
      <x:c r="F418" s="79" t="str">
        <x:v>PARTIEL · prototype technique</x:v>
      </x:c>
      <x:c r="G418" s="79" t="str">
        <x:v>Remplacer symboles conceptuels par graphismes source documentés sans inventer du canon</x:v>
      </x:c>
      <x:c r="H418" s="79" t="str">
        <x:v>ART+QA</x:v>
      </x:c>
      <x:c r="I418" s="79" t="str">
        <x:v>Oui, pour les contrats techniques uniquement</x:v>
      </x:c>
      <x:c r="J418" s="79" t="str">
        <x:v>P2</x:v>
      </x:c>
      <x:c r="K418" s="79" t="str">
        <x:v>https://github.com/darknigthmare/yautja-la-longue-chasse/blob/feat/v131-gauntlet-hologram-dual-view-20261030/public/game/assets/v136/gauntlets/phg-emissary/03-interface.svg</x:v>
      </x:c>
      <x:c r="L418" s="79" t="str">
        <x:v>Interface distincte en SVG / couleurs non certifiées</x:v>
      </x:c>
    </x:row>
    <x:row r="419" ht="29" customHeight="1">
      <x:c r="A419" s="79" t="str">
        <x:v>05_Assets</x:v>
      </x:c>
      <x:c r="B419" s="79" t="n">
        <x:v>419</x:v>
      </x:c>
      <x:c r="C419" s="79" t="str">
        <x:v>phg-emissary-RIBS</x:v>
      </x:c>
      <x:c r="D419" s="79" t="str">
        <x:v>phg-emissary</x:v>
      </x:c>
      <x:c r="E419" s="79" t="str">
        <x:v>Ribures et mécanique</x:v>
      </x:c>
      <x:c r="F419" s="79" t="str">
        <x:v>OUVERT · séparation des sous-pièces</x:v>
      </x:c>
      <x:c r="G419" s="79" t="str">
        <x:v>Découper les pièces mécaniques, valider attaches et reliefs individuels</x:v>
      </x:c>
      <x:c r="H419" s="79" t="str">
        <x:v>ART+QA</x:v>
      </x:c>
      <x:c r="I419" s="79" t="str">
        <x:v>Oui, pour les contrats techniques uniquement</x:v>
      </x:c>
      <x:c r="J419" s="79" t="str">
        <x:v>P2</x:v>
      </x:c>
      <x:c r="K419" s="79" t="str">
        <x:v>https://github.com/darknigthmare/yautja-la-longue-chasse/blob/feat/v131-gauntlet-hologram-dual-view-20261030/public/game/assets/v136/gauntlets/phg-emissary/02-shell.svg</x:v>
      </x:c>
      <x:c r="L419" s="79" t="str">
        <x:v>Détails de coque présents, sous-pièces non séparées</x:v>
      </x:c>
    </x:row>
    <x:row r="420" ht="29" customHeight="1">
      <x:c r="A420" s="79" t="str">
        <x:v>05_Assets</x:v>
      </x:c>
      <x:c r="B420" s="79" t="n">
        <x:v>420</x:v>
      </x:c>
      <x:c r="C420" s="79" t="str">
        <x:v>phg-emissary-BEAM</x:v>
      </x:c>
      <x:c r="D420" s="79" t="str">
        <x:v>phg-emissary</x:v>
      </x:c>
      <x:c r="E420" s="79" t="str">
        <x:v>Émetteur holographique</x:v>
      </x:c>
      <x:c r="F420" s="79" t="str">
        <x:v>PARTIEL · prototype technique</x:v>
      </x:c>
      <x:c r="G420" s="79" t="str">
        <x:v>Conserver fonctionnalité HUD et produire la signature holographique de chaque modèle</x:v>
      </x:c>
      <x:c r="H420" s="79" t="str">
        <x:v>ART+QA</x:v>
      </x:c>
      <x:c r="I420" s="79" t="str">
        <x:v>Oui, pour les contrats techniques uniquement</x:v>
      </x:c>
      <x:c r="J420" s="79" t="str">
        <x:v>P2</x:v>
      </x:c>
      <x:c r="K420" s="79" t="str">
        <x:v>https://github.com/darknigthmare/yautja-la-longue-chasse/blob/feat/v131-gauntlet-hologram-dual-view-20261030/app/game/ClanWarGauntletV131.tsx</x:v>
      </x:c>
      <x:c r="L420" s="79" t="str">
        <x:v>Faisceau du projet (JH dédié, autres effet commun)</x:v>
      </x:c>
    </x:row>
    <x:row r="421" ht="29" customHeight="1">
      <x:c r="A421" s="79" t="str">
        <x:v>05_Assets</x:v>
      </x:c>
      <x:c r="B421" s="79" t="n">
        <x:v>421</x:v>
      </x:c>
      <x:c r="C421" s="79" t="str">
        <x:v>phg-emissary-MOVE</x:v>
      </x:c>
      <x:c r="D421" s="79" t="str">
        <x:v>phg-emissary</x:v>
      </x:c>
      <x:c r="E421" s="79" t="str">
        <x:v>Animations 4 états</x:v>
      </x:c>
      <x:c r="F421" s="79" t="str">
        <x:v>PARTIEL · prototype technique</x:v>
      </x:c>
      <x:c r="G421" s="79" t="str">
        <x:v>Compléter lever, ouvrir, projeter, ranger ; aligner au rig et à la caméra</x:v>
      </x:c>
      <x:c r="H421" s="79" t="str">
        <x:v>ART+QA</x:v>
      </x:c>
      <x:c r="I421" s="79" t="str">
        <x:v>Oui, pour les contrats techniques uniquement</x:v>
      </x:c>
      <x:c r="J421" s="79" t="str">
        <x:v>P2</x:v>
      </x:c>
      <x:c r="K421" s="79" t="str">
        <x:v>https://github.com/darknigthmare/yautja-la-longue-chasse/blob/feat/v131-gauntlet-hologram-dual-view-20261030/public/game/assets/v136/gauntlets/phg-emissary/04-lid.svg</x:v>
      </x:c>
      <x:c r="L421" s="79" t="str">
        <x:v>Capot ouvert/fermé ; 3 gestes complets restent à faire</x:v>
      </x:c>
    </x:row>
    <x:row r="422" ht="29" customHeight="1">
      <x:c r="A422" s="79" t="str">
        <x:v>05_Assets</x:v>
      </x:c>
      <x:c r="B422" s="79" t="n">
        <x:v>422</x:v>
      </x:c>
      <x:c r="C422" s="79" t="str">
        <x:v>phg-emissary-SFX</x:v>
      </x:c>
      <x:c r="D422" s="79" t="str">
        <x:v>phg-emissary</x:v>
      </x:c>
      <x:c r="E422" s="79" t="str">
        <x:v>Identité sonore</x:v>
      </x:c>
      <x:c r="F422" s="79" t="str">
        <x:v>PARTIEL · prototype technique</x:v>
      </x:c>
      <x:c r="G422" s="79" t="str">
        <x:v>Distinguer signatures individualisées, écouter et calibrer mixage/mute</x:v>
      </x:c>
      <x:c r="H422" s="79" t="str">
        <x:v>UI/AUDIO</x:v>
      </x:c>
      <x:c r="I422" s="79" t="str">
        <x:v>Oui, pour les contrats techniques uniquement</x:v>
      </x:c>
      <x:c r="J422" s="79" t="str">
        <x:v>P2</x:v>
      </x:c>
      <x:c r="K422" s="79" t="str">
        <x:v>https://github.com/darknigthmare/yautja-la-longue-chasse/blob/feat/v131-gauntlet-hologram-dual-view-20261030/app/game/sound.ts</x:v>
      </x:c>
      <x:c r="L422" s="79" t="str">
        <x:v>Signature sonore par thème (10 profils), source non cinéma</x:v>
      </x:c>
    </x:row>
    <x:row r="423" ht="29" customHeight="1">
      <x:c r="A423" s="79" t="str">
        <x:v>05_Assets</x:v>
      </x:c>
      <x:c r="B423" s="79" t="n">
        <x:v>423</x:v>
      </x:c>
      <x:c r="C423" s="79" t="str">
        <x:v>phg-emissary-HUD</x:v>
      </x:c>
      <x:c r="D423" s="79" t="str">
        <x:v>phg-emissary</x:v>
      </x:c>
      <x:c r="E423" s="79" t="str">
        <x:v>Palette / projection</x:v>
      </x:c>
      <x:c r="F423" s="79" t="str">
        <x:v>PARTIEL · prototype technique</x:v>
      </x:c>
      <x:c r="G423" s="79" t="str">
        <x:v>Tester toutes résolutions, contrôles, sous-modes et cohérence d'infos</x:v>
      </x:c>
      <x:c r="H423" s="79" t="str">
        <x:v>UI/AUDIO</x:v>
      </x:c>
      <x:c r="I423" s="79" t="str">
        <x:v>Oui, pour les contrats techniques uniquement</x:v>
      </x:c>
      <x:c r="J423" s="79" t="str">
        <x:v>P2</x:v>
      </x:c>
      <x:c r="K423" s="79" t="str">
        <x:v>https://github.com/darknigthmare/yautja-la-longue-chasse/blob/feat/v131-gauntlet-hologram-dual-view-20261030/app/game/ClanWarGauntletV131.tsx</x:v>
      </x:c>
      <x:c r="L423" s="79" t="str">
        <x:v>HUD connecté / simulation intacte ; QA visuelle restante</x:v>
      </x:c>
    </x:row>
    <x:row r="424" ht="29" customHeight="1">
      <x:c r="A424" s="79" t="str">
        <x:v>05_Assets</x:v>
      </x:c>
      <x:c r="B424" s="79" t="n">
        <x:v>424</x:v>
      </x:c>
      <x:c r="C424" s="79" t="str">
        <x:v>phg-emissary-QA</x:v>
      </x:c>
      <x:c r="D424" s="79" t="str">
        <x:v>phg-emissary</x:v>
      </x:c>
      <x:c r="E424" s="79" t="str">
        <x:v>Comparaisons + tests</x:v>
      </x:c>
      <x:c r="F424" s="79" t="str">
        <x:v>PARTIEL · prototype technique</x:v>
      </x:c>
      <x:c r="G424" s="79" t="str">
        <x:v>Réaliser contrôles visuels film/rig + E2E jeu, FPS et accessibilité</x:v>
      </x:c>
      <x:c r="H424" s="79" t="str">
        <x:v>ART+QA</x:v>
      </x:c>
      <x:c r="I424" s="79" t="str">
        <x:v>Oui, pour les contrats techniques uniquement</x:v>
      </x:c>
      <x:c r="J424" s="79" t="str">
        <x:v>P2</x:v>
      </x:c>
      <x:c r="K424" s="79" t="str">
        <x:v>https://github.com/darknigthmare/yautja-la-longue-chasse/blob/feat/v131-gauntlet-hologram-dual-view-20261030/tests/gauntlet-archive-studies-v136.test.mjs</x:v>
      </x:c>
      <x:c r="L424" s="79" t="str">
        <x:v>Tests CI source / alpha / type / navigateur autonome ; 1:1 restant</x:v>
      </x:c>
    </x:row>
    <x:row r="425" ht="29" customHeight="1">
      <x:c r="A425" s="79" t="str">
        <x:v>05_Assets</x:v>
      </x:c>
      <x:c r="B425" s="79" t="n">
        <x:v>425</x:v>
      </x:c>
      <x:c r="C425" s="79" t="str">
        <x:v>phg-oni-ARM-L</x:v>
      </x:c>
      <x:c r="D425" s="79" t="str">
        <x:v>phg-oni</x:v>
      </x:c>
      <x:c r="E425" s="79" t="str">
        <x:v>Bras gauche / poignet</x:v>
      </x:c>
      <x:c r="F425" s="79" t="str">
        <x:v>PARTIEL · prototype technique</x:v>
      </x:c>
      <x:c r="G425" s="79" t="str">
        <x:v>Comparer bras et poignet à plusieurs plans canoniques ; adapter au rig dans toutes poses</x:v>
      </x:c>
      <x:c r="H425" s="79" t="str">
        <x:v>ART+QA</x:v>
      </x:c>
      <x:c r="I425" s="79" t="str">
        <x:v>Oui, pour les contrats techniques uniquement</x:v>
      </x:c>
      <x:c r="J425" s="79" t="str">
        <x:v>P2</x:v>
      </x:c>
      <x:c r="K425" s="79" t="str">
        <x:v>https://github.com/darknigthmare/yautja-la-longue-chasse/blob/feat/v131-gauntlet-hologram-dual-view-20261030/public/game/assets/v136/gauntlets/phg-oni/01-arm.svg</x:v>
      </x:c>
      <x:c r="L425" s="79" t="str">
        <x:v>Prototype SVG individuel + alpha PNG</x:v>
      </x:c>
    </x:row>
    <x:row r="426" ht="29" customHeight="1">
      <x:c r="A426" s="79" t="str">
        <x:v>05_Assets</x:v>
      </x:c>
      <x:c r="B426" s="79" t="n">
        <x:v>426</x:v>
      </x:c>
      <x:c r="C426" s="79" t="str">
        <x:v>phg-oni-SHELL-C</x:v>
      </x:c>
      <x:c r="D426" s="79" t="str">
        <x:v>phg-oni</x:v>
      </x:c>
      <x:c r="E426" s="79" t="str">
        <x:v>Coque fermée</x:v>
      </x:c>
      <x:c r="F426" s="79" t="str">
        <x:v>PARTIEL · prototype technique</x:v>
      </x:c>
      <x:c r="G426" s="79" t="str">
        <x:v>Vérifier forme/proportions/cuirasse 1:1 et textures, pas seulement SVG</x:v>
      </x:c>
      <x:c r="H426" s="79" t="str">
        <x:v>ART+QA</x:v>
      </x:c>
      <x:c r="I426" s="79" t="str">
        <x:v>Oui, pour les contrats techniques uniquement</x:v>
      </x:c>
      <x:c r="J426" s="79" t="str">
        <x:v>P2</x:v>
      </x:c>
      <x:c r="K426" s="79" t="str">
        <x:v>https://github.com/darknigthmare/yautja-la-longue-chasse/blob/feat/v131-gauntlet-hologram-dual-view-20261030/public/game/assets/v136/gauntlets/phg-oni/02-shell.svg</x:v>
      </x:c>
      <x:c r="L426" s="79" t="str">
        <x:v>Coque individuelle SVG + PNG, non 1:1</x:v>
      </x:c>
    </x:row>
    <x:row r="427" ht="29" customHeight="1">
      <x:c r="A427" s="79" t="str">
        <x:v>05_Assets</x:v>
      </x:c>
      <x:c r="B427" s="79" t="n">
        <x:v>427</x:v>
      </x:c>
      <x:c r="C427" s="79" t="str">
        <x:v>phg-oni-SHELL-O</x:v>
      </x:c>
      <x:c r="D427" s="79" t="str">
        <x:v>phg-oni</x:v>
      </x:c>
      <x:c r="E427" s="79" t="str">
        <x:v>Coque ouverte</x:v>
      </x:c>
      <x:c r="F427" s="79" t="str">
        <x:v>PARTIEL · prototype technique</x:v>
      </x:c>
      <x:c r="G427" s="79" t="str">
        <x:v>Mesurer pivot/capots sur film et compléter les états ouvrir-fermer-ranger</x:v>
      </x:c>
      <x:c r="H427" s="79" t="str">
        <x:v>ART+QA</x:v>
      </x:c>
      <x:c r="I427" s="79" t="str">
        <x:v>Oui, pour les contrats techniques uniquement</x:v>
      </x:c>
      <x:c r="J427" s="79" t="str">
        <x:v>P2</x:v>
      </x:c>
      <x:c r="K427" s="79" t="str">
        <x:v>https://github.com/darknigthmare/yautja-la-longue-chasse/blob/feat/v131-gauntlet-hologram-dual-view-20261030/public/game/assets/v136/gauntlets/phg-oni/04-lid.svg</x:v>
      </x:c>
      <x:c r="L427" s="79" t="str">
        <x:v>Capot ouvrable en React/CSS, animation partielle</x:v>
      </x:c>
    </x:row>
    <x:row r="428" ht="29" customHeight="1">
      <x:c r="A428" s="79" t="str">
        <x:v>05_Assets</x:v>
      </x:c>
      <x:c r="B428" s="79" t="n">
        <x:v>428</x:v>
      </x:c>
      <x:c r="C428" s="79" t="str">
        <x:v>phg-oni-UI-RED</x:v>
      </x:c>
      <x:c r="D428" s="79" t="str">
        <x:v>phg-oni</x:v>
      </x:c>
      <x:c r="E428" s="79" t="str">
        <x:v>Contrôle / glyphes</x:v>
      </x:c>
      <x:c r="F428" s="79" t="str">
        <x:v>PARTIEL · prototype technique</x:v>
      </x:c>
      <x:c r="G428" s="79" t="str">
        <x:v>Remplacer symboles conceptuels par graphismes source documentés sans inventer du canon</x:v>
      </x:c>
      <x:c r="H428" s="79" t="str">
        <x:v>ART+QA</x:v>
      </x:c>
      <x:c r="I428" s="79" t="str">
        <x:v>Oui, pour les contrats techniques uniquement</x:v>
      </x:c>
      <x:c r="J428" s="79" t="str">
        <x:v>P2</x:v>
      </x:c>
      <x:c r="K428" s="79" t="str">
        <x:v>https://github.com/darknigthmare/yautja-la-longue-chasse/blob/feat/v131-gauntlet-hologram-dual-view-20261030/public/game/assets/v136/gauntlets/phg-oni/03-interface.svg</x:v>
      </x:c>
      <x:c r="L428" s="79" t="str">
        <x:v>Interface distincte en SVG / couleurs non certifiées</x:v>
      </x:c>
    </x:row>
    <x:row r="429" ht="29" customHeight="1">
      <x:c r="A429" s="79" t="str">
        <x:v>05_Assets</x:v>
      </x:c>
      <x:c r="B429" s="79" t="n">
        <x:v>429</x:v>
      </x:c>
      <x:c r="C429" s="79" t="str">
        <x:v>phg-oni-RIBS</x:v>
      </x:c>
      <x:c r="D429" s="79" t="str">
        <x:v>phg-oni</x:v>
      </x:c>
      <x:c r="E429" s="79" t="str">
        <x:v>Ribures et mécanique</x:v>
      </x:c>
      <x:c r="F429" s="79" t="str">
        <x:v>OUVERT · séparation des sous-pièces</x:v>
      </x:c>
      <x:c r="G429" s="79" t="str">
        <x:v>Découper les pièces mécaniques, valider attaches et reliefs individuels</x:v>
      </x:c>
      <x:c r="H429" s="79" t="str">
        <x:v>ART+QA</x:v>
      </x:c>
      <x:c r="I429" s="79" t="str">
        <x:v>Oui, pour les contrats techniques uniquement</x:v>
      </x:c>
      <x:c r="J429" s="79" t="str">
        <x:v>P2</x:v>
      </x:c>
      <x:c r="K429" s="79" t="str">
        <x:v>https://github.com/darknigthmare/yautja-la-longue-chasse/blob/feat/v131-gauntlet-hologram-dual-view-20261030/public/game/assets/v136/gauntlets/phg-oni/02-shell.svg</x:v>
      </x:c>
      <x:c r="L429" s="79" t="str">
        <x:v>Détails de coque présents, sous-pièces non séparées</x:v>
      </x:c>
    </x:row>
    <x:row r="430" ht="29" customHeight="1">
      <x:c r="A430" s="79" t="str">
        <x:v>05_Assets</x:v>
      </x:c>
      <x:c r="B430" s="79" t="n">
        <x:v>430</x:v>
      </x:c>
      <x:c r="C430" s="79" t="str">
        <x:v>phg-oni-BEAM</x:v>
      </x:c>
      <x:c r="D430" s="79" t="str">
        <x:v>phg-oni</x:v>
      </x:c>
      <x:c r="E430" s="79" t="str">
        <x:v>Émetteur holographique</x:v>
      </x:c>
      <x:c r="F430" s="79" t="str">
        <x:v>PARTIEL · prototype technique</x:v>
      </x:c>
      <x:c r="G430" s="79" t="str">
        <x:v>Conserver fonctionnalité HUD et produire la signature holographique de chaque modèle</x:v>
      </x:c>
      <x:c r="H430" s="79" t="str">
        <x:v>ART+QA</x:v>
      </x:c>
      <x:c r="I430" s="79" t="str">
        <x:v>Oui, pour les contrats techniques uniquement</x:v>
      </x:c>
      <x:c r="J430" s="79" t="str">
        <x:v>P2</x:v>
      </x:c>
      <x:c r="K430" s="79" t="str">
        <x:v>https://github.com/darknigthmare/yautja-la-longue-chasse/blob/feat/v131-gauntlet-hologram-dual-view-20261030/app/game/ClanWarGauntletV131.tsx</x:v>
      </x:c>
      <x:c r="L430" s="79" t="str">
        <x:v>Faisceau du projet (JH dédié, autres effet commun)</x:v>
      </x:c>
    </x:row>
    <x:row r="431" ht="29" customHeight="1">
      <x:c r="A431" s="79" t="str">
        <x:v>05_Assets</x:v>
      </x:c>
      <x:c r="B431" s="79" t="n">
        <x:v>431</x:v>
      </x:c>
      <x:c r="C431" s="79" t="str">
        <x:v>phg-oni-MOVE</x:v>
      </x:c>
      <x:c r="D431" s="79" t="str">
        <x:v>phg-oni</x:v>
      </x:c>
      <x:c r="E431" s="79" t="str">
        <x:v>Animations 4 états</x:v>
      </x:c>
      <x:c r="F431" s="79" t="str">
        <x:v>PARTIEL · prototype technique</x:v>
      </x:c>
      <x:c r="G431" s="79" t="str">
        <x:v>Compléter lever, ouvrir, projeter, ranger ; aligner au rig et à la caméra</x:v>
      </x:c>
      <x:c r="H431" s="79" t="str">
        <x:v>ART+QA</x:v>
      </x:c>
      <x:c r="I431" s="79" t="str">
        <x:v>Oui, pour les contrats techniques uniquement</x:v>
      </x:c>
      <x:c r="J431" s="79" t="str">
        <x:v>P2</x:v>
      </x:c>
      <x:c r="K431" s="79" t="str">
        <x:v>https://github.com/darknigthmare/yautja-la-longue-chasse/blob/feat/v131-gauntlet-hologram-dual-view-20261030/public/game/assets/v136/gauntlets/phg-oni/04-lid.svg</x:v>
      </x:c>
      <x:c r="L431" s="79" t="str">
        <x:v>Capot ouvert/fermé ; 3 gestes complets restent à faire</x:v>
      </x:c>
    </x:row>
    <x:row r="432" ht="29" customHeight="1">
      <x:c r="A432" s="79" t="str">
        <x:v>05_Assets</x:v>
      </x:c>
      <x:c r="B432" s="79" t="n">
        <x:v>432</x:v>
      </x:c>
      <x:c r="C432" s="79" t="str">
        <x:v>phg-oni-SFX</x:v>
      </x:c>
      <x:c r="D432" s="79" t="str">
        <x:v>phg-oni</x:v>
      </x:c>
      <x:c r="E432" s="79" t="str">
        <x:v>Identité sonore</x:v>
      </x:c>
      <x:c r="F432" s="79" t="str">
        <x:v>PARTIEL · prototype technique</x:v>
      </x:c>
      <x:c r="G432" s="79" t="str">
        <x:v>Distinguer signatures individualisées, écouter et calibrer mixage/mute</x:v>
      </x:c>
      <x:c r="H432" s="79" t="str">
        <x:v>UI/AUDIO</x:v>
      </x:c>
      <x:c r="I432" s="79" t="str">
        <x:v>Oui, pour les contrats techniques uniquement</x:v>
      </x:c>
      <x:c r="J432" s="79" t="str">
        <x:v>P2</x:v>
      </x:c>
      <x:c r="K432" s="79" t="str">
        <x:v>https://github.com/darknigthmare/yautja-la-longue-chasse/blob/feat/v131-gauntlet-hologram-dual-view-20261030/app/game/sound.ts</x:v>
      </x:c>
      <x:c r="L432" s="79" t="str">
        <x:v>Signature sonore par thème (10 profils), source non cinéma</x:v>
      </x:c>
    </x:row>
    <x:row r="433" ht="29" customHeight="1">
      <x:c r="A433" s="79" t="str">
        <x:v>05_Assets</x:v>
      </x:c>
      <x:c r="B433" s="79" t="n">
        <x:v>433</x:v>
      </x:c>
      <x:c r="C433" s="79" t="str">
        <x:v>phg-oni-HUD</x:v>
      </x:c>
      <x:c r="D433" s="79" t="str">
        <x:v>phg-oni</x:v>
      </x:c>
      <x:c r="E433" s="79" t="str">
        <x:v>Palette / projection</x:v>
      </x:c>
      <x:c r="F433" s="79" t="str">
        <x:v>PARTIEL · prototype technique</x:v>
      </x:c>
      <x:c r="G433" s="79" t="str">
        <x:v>Tester toutes résolutions, contrôles, sous-modes et cohérence d'infos</x:v>
      </x:c>
      <x:c r="H433" s="79" t="str">
        <x:v>UI/AUDIO</x:v>
      </x:c>
      <x:c r="I433" s="79" t="str">
        <x:v>Oui, pour les contrats techniques uniquement</x:v>
      </x:c>
      <x:c r="J433" s="79" t="str">
        <x:v>P2</x:v>
      </x:c>
      <x:c r="K433" s="79" t="str">
        <x:v>https://github.com/darknigthmare/yautja-la-longue-chasse/blob/feat/v131-gauntlet-hologram-dual-view-20261030/app/game/ClanWarGauntletV131.tsx</x:v>
      </x:c>
      <x:c r="L433" s="79" t="str">
        <x:v>HUD connecté / simulation intacte ; QA visuelle restante</x:v>
      </x:c>
    </x:row>
    <x:row r="434" ht="29" customHeight="1">
      <x:c r="A434" s="79" t="str">
        <x:v>05_Assets</x:v>
      </x:c>
      <x:c r="B434" s="79" t="n">
        <x:v>434</x:v>
      </x:c>
      <x:c r="C434" s="79" t="str">
        <x:v>phg-oni-QA</x:v>
      </x:c>
      <x:c r="D434" s="79" t="str">
        <x:v>phg-oni</x:v>
      </x:c>
      <x:c r="E434" s="79" t="str">
        <x:v>Comparaisons + tests</x:v>
      </x:c>
      <x:c r="F434" s="79" t="str">
        <x:v>PARTIEL · prototype technique</x:v>
      </x:c>
      <x:c r="G434" s="79" t="str">
        <x:v>Réaliser contrôles visuels film/rig + E2E jeu, FPS et accessibilité</x:v>
      </x:c>
      <x:c r="H434" s="79" t="str">
        <x:v>ART+QA</x:v>
      </x:c>
      <x:c r="I434" s="79" t="str">
        <x:v>Oui, pour les contrats techniques uniquement</x:v>
      </x:c>
      <x:c r="J434" s="79" t="str">
        <x:v>P2</x:v>
      </x:c>
      <x:c r="K434" s="79" t="str">
        <x:v>https://github.com/darknigthmare/yautja-la-longue-chasse/blob/feat/v131-gauntlet-hologram-dual-view-20261030/tests/gauntlet-archive-studies-v136.test.mjs</x:v>
      </x:c>
      <x:c r="L434" s="79" t="str">
        <x:v>Tests CI source / alpha / type / navigateur autonome ; 1:1 restant</x:v>
      </x:c>
    </x:row>
    <x:row r="435" ht="29" customHeight="1">
      <x:c r="A435" s="79" t="str">
        <x:v>05_Assets</x:v>
      </x:c>
      <x:c r="B435" s="79" t="n">
        <x:v>435</x:v>
      </x:c>
      <x:c r="C435" s="79" t="str">
        <x:v>phg-witch-ARM-L</x:v>
      </x:c>
      <x:c r="D435" s="79" t="str">
        <x:v>phg-witch</x:v>
      </x:c>
      <x:c r="E435" s="79" t="str">
        <x:v>Bras gauche / poignet</x:v>
      </x:c>
      <x:c r="F435" s="79" t="str">
        <x:v>PARTIEL · prototype technique</x:v>
      </x:c>
      <x:c r="G435" s="79" t="str">
        <x:v>Comparer bras et poignet à plusieurs plans canoniques ; adapter au rig dans toutes poses</x:v>
      </x:c>
      <x:c r="H435" s="79" t="str">
        <x:v>ART+QA</x:v>
      </x:c>
      <x:c r="I435" s="79" t="str">
        <x:v>Oui, pour les contrats techniques uniquement</x:v>
      </x:c>
      <x:c r="J435" s="79" t="str">
        <x:v>P2</x:v>
      </x:c>
      <x:c r="K435" s="79" t="str">
        <x:v>https://github.com/darknigthmare/yautja-la-longue-chasse/blob/feat/v131-gauntlet-hologram-dual-view-20261030/public/game/assets/v136/gauntlets/phg-witch/01-arm.svg</x:v>
      </x:c>
      <x:c r="L435" s="79" t="str">
        <x:v>Prototype SVG individuel + alpha PNG</x:v>
      </x:c>
    </x:row>
    <x:row r="436" ht="29" customHeight="1">
      <x:c r="A436" s="79" t="str">
        <x:v>05_Assets</x:v>
      </x:c>
      <x:c r="B436" s="79" t="n">
        <x:v>436</x:v>
      </x:c>
      <x:c r="C436" s="79" t="str">
        <x:v>phg-witch-SHELL-C</x:v>
      </x:c>
      <x:c r="D436" s="79" t="str">
        <x:v>phg-witch</x:v>
      </x:c>
      <x:c r="E436" s="79" t="str">
        <x:v>Coque fermée</x:v>
      </x:c>
      <x:c r="F436" s="79" t="str">
        <x:v>PARTIEL · prototype technique</x:v>
      </x:c>
      <x:c r="G436" s="79" t="str">
        <x:v>Vérifier forme/proportions/cuirasse 1:1 et textures, pas seulement SVG</x:v>
      </x:c>
      <x:c r="H436" s="79" t="str">
        <x:v>ART+QA</x:v>
      </x:c>
      <x:c r="I436" s="79" t="str">
        <x:v>Oui, pour les contrats techniques uniquement</x:v>
      </x:c>
      <x:c r="J436" s="79" t="str">
        <x:v>P2</x:v>
      </x:c>
      <x:c r="K436" s="79" t="str">
        <x:v>https://github.com/darknigthmare/yautja-la-longue-chasse/blob/feat/v131-gauntlet-hologram-dual-view-20261030/public/game/assets/v136/gauntlets/phg-witch/02-shell.svg</x:v>
      </x:c>
      <x:c r="L436" s="79" t="str">
        <x:v>Coque individuelle SVG + PNG, non 1:1</x:v>
      </x:c>
    </x:row>
    <x:row r="437" ht="29" customHeight="1">
      <x:c r="A437" s="79" t="str">
        <x:v>05_Assets</x:v>
      </x:c>
      <x:c r="B437" s="79" t="n">
        <x:v>437</x:v>
      </x:c>
      <x:c r="C437" s="79" t="str">
        <x:v>phg-witch-SHELL-O</x:v>
      </x:c>
      <x:c r="D437" s="79" t="str">
        <x:v>phg-witch</x:v>
      </x:c>
      <x:c r="E437" s="79" t="str">
        <x:v>Coque ouverte</x:v>
      </x:c>
      <x:c r="F437" s="79" t="str">
        <x:v>PARTIEL · prototype technique</x:v>
      </x:c>
      <x:c r="G437" s="79" t="str">
        <x:v>Mesurer pivot/capots sur film et compléter les états ouvrir-fermer-ranger</x:v>
      </x:c>
      <x:c r="H437" s="79" t="str">
        <x:v>ART+QA</x:v>
      </x:c>
      <x:c r="I437" s="79" t="str">
        <x:v>Oui, pour les contrats techniques uniquement</x:v>
      </x:c>
      <x:c r="J437" s="79" t="str">
        <x:v>P2</x:v>
      </x:c>
      <x:c r="K437" s="79" t="str">
        <x:v>https://github.com/darknigthmare/yautja-la-longue-chasse/blob/feat/v131-gauntlet-hologram-dual-view-20261030/public/game/assets/v136/gauntlets/phg-witch/04-lid.svg</x:v>
      </x:c>
      <x:c r="L437" s="79" t="str">
        <x:v>Capot ouvrable en React/CSS, animation partielle</x:v>
      </x:c>
    </x:row>
    <x:row r="438" ht="29" customHeight="1">
      <x:c r="A438" s="79" t="str">
        <x:v>05_Assets</x:v>
      </x:c>
      <x:c r="B438" s="79" t="n">
        <x:v>438</x:v>
      </x:c>
      <x:c r="C438" s="79" t="str">
        <x:v>phg-witch-UI-RED</x:v>
      </x:c>
      <x:c r="D438" s="79" t="str">
        <x:v>phg-witch</x:v>
      </x:c>
      <x:c r="E438" s="79" t="str">
        <x:v>Contrôle / glyphes</x:v>
      </x:c>
      <x:c r="F438" s="79" t="str">
        <x:v>PARTIEL · prototype technique</x:v>
      </x:c>
      <x:c r="G438" s="79" t="str">
        <x:v>Remplacer symboles conceptuels par graphismes source documentés sans inventer du canon</x:v>
      </x:c>
      <x:c r="H438" s="79" t="str">
        <x:v>ART+QA</x:v>
      </x:c>
      <x:c r="I438" s="79" t="str">
        <x:v>Oui, pour les contrats techniques uniquement</x:v>
      </x:c>
      <x:c r="J438" s="79" t="str">
        <x:v>P2</x:v>
      </x:c>
      <x:c r="K438" s="79" t="str">
        <x:v>https://github.com/darknigthmare/yautja-la-longue-chasse/blob/feat/v131-gauntlet-hologram-dual-view-20261030/public/game/assets/v136/gauntlets/phg-witch/03-interface.svg</x:v>
      </x:c>
      <x:c r="L438" s="79" t="str">
        <x:v>Interface distincte en SVG / couleurs non certifiées</x:v>
      </x:c>
    </x:row>
    <x:row r="439" ht="29" customHeight="1">
      <x:c r="A439" s="79" t="str">
        <x:v>05_Assets</x:v>
      </x:c>
      <x:c r="B439" s="79" t="n">
        <x:v>439</x:v>
      </x:c>
      <x:c r="C439" s="79" t="str">
        <x:v>phg-witch-RIBS</x:v>
      </x:c>
      <x:c r="D439" s="79" t="str">
        <x:v>phg-witch</x:v>
      </x:c>
      <x:c r="E439" s="79" t="str">
        <x:v>Ribures et mécanique</x:v>
      </x:c>
      <x:c r="F439" s="79" t="str">
        <x:v>OUVERT · séparation des sous-pièces</x:v>
      </x:c>
      <x:c r="G439" s="79" t="str">
        <x:v>Découper les pièces mécaniques, valider attaches et reliefs individuels</x:v>
      </x:c>
      <x:c r="H439" s="79" t="str">
        <x:v>ART+QA</x:v>
      </x:c>
      <x:c r="I439" s="79" t="str">
        <x:v>Oui, pour les contrats techniques uniquement</x:v>
      </x:c>
      <x:c r="J439" s="79" t="str">
        <x:v>P2</x:v>
      </x:c>
      <x:c r="K439" s="79" t="str">
        <x:v>https://github.com/darknigthmare/yautja-la-longue-chasse/blob/feat/v131-gauntlet-hologram-dual-view-20261030/public/game/assets/v136/gauntlets/phg-witch/02-shell.svg</x:v>
      </x:c>
      <x:c r="L439" s="79" t="str">
        <x:v>Détails de coque présents, sous-pièces non séparées</x:v>
      </x:c>
    </x:row>
    <x:row r="440" ht="29" customHeight="1">
      <x:c r="A440" s="79" t="str">
        <x:v>05_Assets</x:v>
      </x:c>
      <x:c r="B440" s="79" t="n">
        <x:v>440</x:v>
      </x:c>
      <x:c r="C440" s="79" t="str">
        <x:v>phg-witch-BEAM</x:v>
      </x:c>
      <x:c r="D440" s="79" t="str">
        <x:v>phg-witch</x:v>
      </x:c>
      <x:c r="E440" s="79" t="str">
        <x:v>Émetteur holographique</x:v>
      </x:c>
      <x:c r="F440" s="79" t="str">
        <x:v>PARTIEL · prototype technique</x:v>
      </x:c>
      <x:c r="G440" s="79" t="str">
        <x:v>Conserver fonctionnalité HUD et produire la signature holographique de chaque modèle</x:v>
      </x:c>
      <x:c r="H440" s="79" t="str">
        <x:v>ART+QA</x:v>
      </x:c>
      <x:c r="I440" s="79" t="str">
        <x:v>Oui, pour les contrats techniques uniquement</x:v>
      </x:c>
      <x:c r="J440" s="79" t="str">
        <x:v>P2</x:v>
      </x:c>
      <x:c r="K440" s="79" t="str">
        <x:v>https://github.com/darknigthmare/yautja-la-longue-chasse/blob/feat/v131-gauntlet-hologram-dual-view-20261030/app/game/ClanWarGauntletV131.tsx</x:v>
      </x:c>
      <x:c r="L440" s="79" t="str">
        <x:v>Faisceau du projet (JH dédié, autres effet commun)</x:v>
      </x:c>
    </x:row>
    <x:row r="441" ht="29" customHeight="1">
      <x:c r="A441" s="79" t="str">
        <x:v>05_Assets</x:v>
      </x:c>
      <x:c r="B441" s="79" t="n">
        <x:v>441</x:v>
      </x:c>
      <x:c r="C441" s="79" t="str">
        <x:v>phg-witch-MOVE</x:v>
      </x:c>
      <x:c r="D441" s="79" t="str">
        <x:v>phg-witch</x:v>
      </x:c>
      <x:c r="E441" s="79" t="str">
        <x:v>Animations 4 états</x:v>
      </x:c>
      <x:c r="F441" s="79" t="str">
        <x:v>PARTIEL · prototype technique</x:v>
      </x:c>
      <x:c r="G441" s="79" t="str">
        <x:v>Compléter lever, ouvrir, projeter, ranger ; aligner au rig et à la caméra</x:v>
      </x:c>
      <x:c r="H441" s="79" t="str">
        <x:v>ART+QA</x:v>
      </x:c>
      <x:c r="I441" s="79" t="str">
        <x:v>Oui, pour les contrats techniques uniquement</x:v>
      </x:c>
      <x:c r="J441" s="79" t="str">
        <x:v>P2</x:v>
      </x:c>
      <x:c r="K441" s="79" t="str">
        <x:v>https://github.com/darknigthmare/yautja-la-longue-chasse/blob/feat/v131-gauntlet-hologram-dual-view-20261030/public/game/assets/v136/gauntlets/phg-witch/04-lid.svg</x:v>
      </x:c>
      <x:c r="L441" s="79" t="str">
        <x:v>Capot ouvert/fermé ; 3 gestes complets restent à faire</x:v>
      </x:c>
    </x:row>
    <x:row r="442" ht="29" customHeight="1">
      <x:c r="A442" s="79" t="str">
        <x:v>05_Assets</x:v>
      </x:c>
      <x:c r="B442" s="79" t="n">
        <x:v>442</x:v>
      </x:c>
      <x:c r="C442" s="79" t="str">
        <x:v>phg-witch-SFX</x:v>
      </x:c>
      <x:c r="D442" s="79" t="str">
        <x:v>phg-witch</x:v>
      </x:c>
      <x:c r="E442" s="79" t="str">
        <x:v>Identité sonore</x:v>
      </x:c>
      <x:c r="F442" s="79" t="str">
        <x:v>PARTIEL · prototype technique</x:v>
      </x:c>
      <x:c r="G442" s="79" t="str">
        <x:v>Distinguer signatures individualisées, écouter et calibrer mixage/mute</x:v>
      </x:c>
      <x:c r="H442" s="79" t="str">
        <x:v>UI/AUDIO</x:v>
      </x:c>
      <x:c r="I442" s="79" t="str">
        <x:v>Oui, pour les contrats techniques uniquement</x:v>
      </x:c>
      <x:c r="J442" s="79" t="str">
        <x:v>P2</x:v>
      </x:c>
      <x:c r="K442" s="79" t="str">
        <x:v>https://github.com/darknigthmare/yautja-la-longue-chasse/blob/feat/v131-gauntlet-hologram-dual-view-20261030/app/game/sound.ts</x:v>
      </x:c>
      <x:c r="L442" s="79" t="str">
        <x:v>Signature sonore par thème (10 profils), source non cinéma</x:v>
      </x:c>
    </x:row>
    <x:row r="443" ht="29" customHeight="1">
      <x:c r="A443" s="79" t="str">
        <x:v>05_Assets</x:v>
      </x:c>
      <x:c r="B443" s="79" t="n">
        <x:v>443</x:v>
      </x:c>
      <x:c r="C443" s="79" t="str">
        <x:v>phg-witch-HUD</x:v>
      </x:c>
      <x:c r="D443" s="79" t="str">
        <x:v>phg-witch</x:v>
      </x:c>
      <x:c r="E443" s="79" t="str">
        <x:v>Palette / projection</x:v>
      </x:c>
      <x:c r="F443" s="79" t="str">
        <x:v>PARTIEL · prototype technique</x:v>
      </x:c>
      <x:c r="G443" s="79" t="str">
        <x:v>Tester toutes résolutions, contrôles, sous-modes et cohérence d'infos</x:v>
      </x:c>
      <x:c r="H443" s="79" t="str">
        <x:v>UI/AUDIO</x:v>
      </x:c>
      <x:c r="I443" s="79" t="str">
        <x:v>Oui, pour les contrats techniques uniquement</x:v>
      </x:c>
      <x:c r="J443" s="79" t="str">
        <x:v>P2</x:v>
      </x:c>
      <x:c r="K443" s="79" t="str">
        <x:v>https://github.com/darknigthmare/yautja-la-longue-chasse/blob/feat/v131-gauntlet-hologram-dual-view-20261030/app/game/ClanWarGauntletV131.tsx</x:v>
      </x:c>
      <x:c r="L443" s="79" t="str">
        <x:v>HUD connecté / simulation intacte ; QA visuelle restante</x:v>
      </x:c>
    </x:row>
    <x:row r="444" ht="29" customHeight="1">
      <x:c r="A444" s="79" t="str">
        <x:v>05_Assets</x:v>
      </x:c>
      <x:c r="B444" s="79" t="n">
        <x:v>444</x:v>
      </x:c>
      <x:c r="C444" s="79" t="str">
        <x:v>phg-witch-QA</x:v>
      </x:c>
      <x:c r="D444" s="79" t="str">
        <x:v>phg-witch</x:v>
      </x:c>
      <x:c r="E444" s="79" t="str">
        <x:v>Comparaisons + tests</x:v>
      </x:c>
      <x:c r="F444" s="79" t="str">
        <x:v>PARTIEL · prototype technique</x:v>
      </x:c>
      <x:c r="G444" s="79" t="str">
        <x:v>Réaliser contrôles visuels film/rig + E2E jeu, FPS et accessibilité</x:v>
      </x:c>
      <x:c r="H444" s="79" t="str">
        <x:v>ART+QA</x:v>
      </x:c>
      <x:c r="I444" s="79" t="str">
        <x:v>Oui, pour les contrats techniques uniquement</x:v>
      </x:c>
      <x:c r="J444" s="79" t="str">
        <x:v>P2</x:v>
      </x:c>
      <x:c r="K444" s="79" t="str">
        <x:v>https://github.com/darknigthmare/yautja-la-longue-chasse/blob/feat/v131-gauntlet-hologram-dual-view-20261030/tests/gauntlet-archive-studies-v136.test.mjs</x:v>
      </x:c>
      <x:c r="L444" s="79" t="str">
        <x:v>Tests CI source / alpha / type / navigateur autonome ; 1:1 restant</x:v>
      </x:c>
    </x:row>
    <x:row r="445" ht="29" customHeight="1">
      <x:c r="A445" s="79" t="str">
        <x:v>05_Assets</x:v>
      </x:c>
      <x:c r="B445" s="79" t="n">
        <x:v>445</x:v>
      </x:c>
      <x:c r="C445" s="79" t="str">
        <x:v>phg-father-ARM-L</x:v>
      </x:c>
      <x:c r="D445" s="79" t="str">
        <x:v>phg-father</x:v>
      </x:c>
      <x:c r="E445" s="79" t="str">
        <x:v>Bras gauche / poignet</x:v>
      </x:c>
      <x:c r="F445" s="79" t="str">
        <x:v>PARTIEL · prototype technique</x:v>
      </x:c>
      <x:c r="G445" s="79" t="str">
        <x:v>Comparer bras et poignet à plusieurs plans canoniques ; adapter au rig dans toutes poses</x:v>
      </x:c>
      <x:c r="H445" s="79" t="str">
        <x:v>ART+QA</x:v>
      </x:c>
      <x:c r="I445" s="79" t="str">
        <x:v>Oui, pour les contrats techniques uniquement</x:v>
      </x:c>
      <x:c r="J445" s="79" t="str">
        <x:v>P2</x:v>
      </x:c>
      <x:c r="K445" s="79" t="str">
        <x:v>https://github.com/darknigthmare/yautja-la-longue-chasse/blob/feat/v131-gauntlet-hologram-dual-view-20261030/public/game/assets/v136/gauntlets/phg-father/01-arm.svg</x:v>
      </x:c>
      <x:c r="L445" s="79" t="str">
        <x:v>Prototype SVG individuel + alpha PNG</x:v>
      </x:c>
    </x:row>
    <x:row r="446" ht="29" customHeight="1">
      <x:c r="A446" s="79" t="str">
        <x:v>05_Assets</x:v>
      </x:c>
      <x:c r="B446" s="79" t="n">
        <x:v>446</x:v>
      </x:c>
      <x:c r="C446" s="79" t="str">
        <x:v>phg-father-SHELL-C</x:v>
      </x:c>
      <x:c r="D446" s="79" t="str">
        <x:v>phg-father</x:v>
      </x:c>
      <x:c r="E446" s="79" t="str">
        <x:v>Coque fermée</x:v>
      </x:c>
      <x:c r="F446" s="79" t="str">
        <x:v>PARTIEL · prototype technique</x:v>
      </x:c>
      <x:c r="G446" s="79" t="str">
        <x:v>Vérifier forme/proportions/cuirasse 1:1 et textures, pas seulement SVG</x:v>
      </x:c>
      <x:c r="H446" s="79" t="str">
        <x:v>ART+QA</x:v>
      </x:c>
      <x:c r="I446" s="79" t="str">
        <x:v>Oui, pour les contrats techniques uniquement</x:v>
      </x:c>
      <x:c r="J446" s="79" t="str">
        <x:v>P2</x:v>
      </x:c>
      <x:c r="K446" s="79" t="str">
        <x:v>https://github.com/darknigthmare/yautja-la-longue-chasse/blob/feat/v131-gauntlet-hologram-dual-view-20261030/public/game/assets/v136/gauntlets/phg-father/02-shell.svg</x:v>
      </x:c>
      <x:c r="L446" s="79" t="str">
        <x:v>Coque individuelle SVG + PNG, non 1:1</x:v>
      </x:c>
    </x:row>
    <x:row r="447" ht="29" customHeight="1">
      <x:c r="A447" s="79" t="str">
        <x:v>05_Assets</x:v>
      </x:c>
      <x:c r="B447" s="79" t="n">
        <x:v>447</x:v>
      </x:c>
      <x:c r="C447" s="79" t="str">
        <x:v>phg-father-SHELL-O</x:v>
      </x:c>
      <x:c r="D447" s="79" t="str">
        <x:v>phg-father</x:v>
      </x:c>
      <x:c r="E447" s="79" t="str">
        <x:v>Coque ouverte</x:v>
      </x:c>
      <x:c r="F447" s="79" t="str">
        <x:v>PARTIEL · prototype technique</x:v>
      </x:c>
      <x:c r="G447" s="79" t="str">
        <x:v>Mesurer pivot/capots sur film et compléter les états ouvrir-fermer-ranger</x:v>
      </x:c>
      <x:c r="H447" s="79" t="str">
        <x:v>ART+QA</x:v>
      </x:c>
      <x:c r="I447" s="79" t="str">
        <x:v>Oui, pour les contrats techniques uniquement</x:v>
      </x:c>
      <x:c r="J447" s="79" t="str">
        <x:v>P2</x:v>
      </x:c>
      <x:c r="K447" s="79" t="str">
        <x:v>https://github.com/darknigthmare/yautja-la-longue-chasse/blob/feat/v131-gauntlet-hologram-dual-view-20261030/public/game/assets/v136/gauntlets/phg-father/04-lid.svg</x:v>
      </x:c>
      <x:c r="L447" s="79" t="str">
        <x:v>Capot ouvrable en React/CSS, animation partielle</x:v>
      </x:c>
    </x:row>
    <x:row r="448" ht="29" customHeight="1">
      <x:c r="A448" s="79" t="str">
        <x:v>05_Assets</x:v>
      </x:c>
      <x:c r="B448" s="79" t="n">
        <x:v>448</x:v>
      </x:c>
      <x:c r="C448" s="79" t="str">
        <x:v>phg-father-UI-RED</x:v>
      </x:c>
      <x:c r="D448" s="79" t="str">
        <x:v>phg-father</x:v>
      </x:c>
      <x:c r="E448" s="79" t="str">
        <x:v>Contrôle / glyphes</x:v>
      </x:c>
      <x:c r="F448" s="79" t="str">
        <x:v>PARTIEL · prototype technique</x:v>
      </x:c>
      <x:c r="G448" s="79" t="str">
        <x:v>Remplacer symboles conceptuels par graphismes source documentés sans inventer du canon</x:v>
      </x:c>
      <x:c r="H448" s="79" t="str">
        <x:v>ART+QA</x:v>
      </x:c>
      <x:c r="I448" s="79" t="str">
        <x:v>Oui, pour les contrats techniques uniquement</x:v>
      </x:c>
      <x:c r="J448" s="79" t="str">
        <x:v>P2</x:v>
      </x:c>
      <x:c r="K448" s="79" t="str">
        <x:v>https://github.com/darknigthmare/yautja-la-longue-chasse/blob/feat/v131-gauntlet-hologram-dual-view-20261030/public/game/assets/v136/gauntlets/phg-father/03-interface.svg</x:v>
      </x:c>
      <x:c r="L448" s="79" t="str">
        <x:v>Interface distincte en SVG / couleurs non certifiées</x:v>
      </x:c>
    </x:row>
    <x:row r="449" ht="29" customHeight="1">
      <x:c r="A449" s="79" t="str">
        <x:v>05_Assets</x:v>
      </x:c>
      <x:c r="B449" s="79" t="n">
        <x:v>449</x:v>
      </x:c>
      <x:c r="C449" s="79" t="str">
        <x:v>phg-father-RIBS</x:v>
      </x:c>
      <x:c r="D449" s="79" t="str">
        <x:v>phg-father</x:v>
      </x:c>
      <x:c r="E449" s="79" t="str">
        <x:v>Ribures et mécanique</x:v>
      </x:c>
      <x:c r="F449" s="79" t="str">
        <x:v>OUVERT · séparation des sous-pièces</x:v>
      </x:c>
      <x:c r="G449" s="79" t="str">
        <x:v>Découper les pièces mécaniques, valider attaches et reliefs individuels</x:v>
      </x:c>
      <x:c r="H449" s="79" t="str">
        <x:v>ART+QA</x:v>
      </x:c>
      <x:c r="I449" s="79" t="str">
        <x:v>Oui, pour les contrats techniques uniquement</x:v>
      </x:c>
      <x:c r="J449" s="79" t="str">
        <x:v>P2</x:v>
      </x:c>
      <x:c r="K449" s="79" t="str">
        <x:v>https://github.com/darknigthmare/yautja-la-longue-chasse/blob/feat/v131-gauntlet-hologram-dual-view-20261030/public/game/assets/v136/gauntlets/phg-father/02-shell.svg</x:v>
      </x:c>
      <x:c r="L449" s="79" t="str">
        <x:v>Détails de coque présents, sous-pièces non séparées</x:v>
      </x:c>
    </x:row>
    <x:row r="450" ht="29" customHeight="1">
      <x:c r="A450" s="79" t="str">
        <x:v>05_Assets</x:v>
      </x:c>
      <x:c r="B450" s="79" t="n">
        <x:v>450</x:v>
      </x:c>
      <x:c r="C450" s="79" t="str">
        <x:v>phg-father-BEAM</x:v>
      </x:c>
      <x:c r="D450" s="79" t="str">
        <x:v>phg-father</x:v>
      </x:c>
      <x:c r="E450" s="79" t="str">
        <x:v>Émetteur holographique</x:v>
      </x:c>
      <x:c r="F450" s="79" t="str">
        <x:v>PARTIEL · prototype technique</x:v>
      </x:c>
      <x:c r="G450" s="79" t="str">
        <x:v>Conserver fonctionnalité HUD et produire la signature holographique de chaque modèle</x:v>
      </x:c>
      <x:c r="H450" s="79" t="str">
        <x:v>ART+QA</x:v>
      </x:c>
      <x:c r="I450" s="79" t="str">
        <x:v>Oui, pour les contrats techniques uniquement</x:v>
      </x:c>
      <x:c r="J450" s="79" t="str">
        <x:v>P2</x:v>
      </x:c>
      <x:c r="K450" s="79" t="str">
        <x:v>https://github.com/darknigthmare/yautja-la-longue-chasse/blob/feat/v131-gauntlet-hologram-dual-view-20261030/app/game/ClanWarGauntletV131.tsx</x:v>
      </x:c>
      <x:c r="L450" s="79" t="str">
        <x:v>Faisceau du projet (JH dédié, autres effet commun)</x:v>
      </x:c>
    </x:row>
    <x:row r="451" ht="29" customHeight="1">
      <x:c r="A451" s="79" t="str">
        <x:v>05_Assets</x:v>
      </x:c>
      <x:c r="B451" s="79" t="n">
        <x:v>451</x:v>
      </x:c>
      <x:c r="C451" s="79" t="str">
        <x:v>phg-father-MOVE</x:v>
      </x:c>
      <x:c r="D451" s="79" t="str">
        <x:v>phg-father</x:v>
      </x:c>
      <x:c r="E451" s="79" t="str">
        <x:v>Animations 4 états</x:v>
      </x:c>
      <x:c r="F451" s="79" t="str">
        <x:v>PARTIEL · prototype technique</x:v>
      </x:c>
      <x:c r="G451" s="79" t="str">
        <x:v>Compléter lever, ouvrir, projeter, ranger ; aligner au rig et à la caméra</x:v>
      </x:c>
      <x:c r="H451" s="79" t="str">
        <x:v>ART+QA</x:v>
      </x:c>
      <x:c r="I451" s="79" t="str">
        <x:v>Oui, pour les contrats techniques uniquement</x:v>
      </x:c>
      <x:c r="J451" s="79" t="str">
        <x:v>P2</x:v>
      </x:c>
      <x:c r="K451" s="79" t="str">
        <x:v>https://github.com/darknigthmare/yautja-la-longue-chasse/blob/feat/v131-gauntlet-hologram-dual-view-20261030/public/game/assets/v136/gauntlets/phg-father/04-lid.svg</x:v>
      </x:c>
      <x:c r="L451" s="79" t="str">
        <x:v>Capot ouvert/fermé ; 3 gestes complets restent à faire</x:v>
      </x:c>
    </x:row>
    <x:row r="452" ht="29" customHeight="1">
      <x:c r="A452" s="79" t="str">
        <x:v>05_Assets</x:v>
      </x:c>
      <x:c r="B452" s="79" t="n">
        <x:v>452</x:v>
      </x:c>
      <x:c r="C452" s="79" t="str">
        <x:v>phg-father-SFX</x:v>
      </x:c>
      <x:c r="D452" s="79" t="str">
        <x:v>phg-father</x:v>
      </x:c>
      <x:c r="E452" s="79" t="str">
        <x:v>Identité sonore</x:v>
      </x:c>
      <x:c r="F452" s="79" t="str">
        <x:v>PARTIEL · prototype technique</x:v>
      </x:c>
      <x:c r="G452" s="79" t="str">
        <x:v>Distinguer signatures individualisées, écouter et calibrer mixage/mute</x:v>
      </x:c>
      <x:c r="H452" s="79" t="str">
        <x:v>UI/AUDIO</x:v>
      </x:c>
      <x:c r="I452" s="79" t="str">
        <x:v>Oui, pour les contrats techniques uniquement</x:v>
      </x:c>
      <x:c r="J452" s="79" t="str">
        <x:v>P2</x:v>
      </x:c>
      <x:c r="K452" s="79" t="str">
        <x:v>https://github.com/darknigthmare/yautja-la-longue-chasse/blob/feat/v131-gauntlet-hologram-dual-view-20261030/app/game/sound.ts</x:v>
      </x:c>
      <x:c r="L452" s="79" t="str">
        <x:v>Signature sonore par thème (10 profils), source non cinéma</x:v>
      </x:c>
    </x:row>
    <x:row r="453" ht="29" customHeight="1">
      <x:c r="A453" s="79" t="str">
        <x:v>05_Assets</x:v>
      </x:c>
      <x:c r="B453" s="79" t="n">
        <x:v>453</x:v>
      </x:c>
      <x:c r="C453" s="79" t="str">
        <x:v>phg-father-HUD</x:v>
      </x:c>
      <x:c r="D453" s="79" t="str">
        <x:v>phg-father</x:v>
      </x:c>
      <x:c r="E453" s="79" t="str">
        <x:v>Palette / projection</x:v>
      </x:c>
      <x:c r="F453" s="79" t="str">
        <x:v>PARTIEL · prototype technique</x:v>
      </x:c>
      <x:c r="G453" s="79" t="str">
        <x:v>Tester toutes résolutions, contrôles, sous-modes et cohérence d'infos</x:v>
      </x:c>
      <x:c r="H453" s="79" t="str">
        <x:v>UI/AUDIO</x:v>
      </x:c>
      <x:c r="I453" s="79" t="str">
        <x:v>Oui, pour les contrats techniques uniquement</x:v>
      </x:c>
      <x:c r="J453" s="79" t="str">
        <x:v>P2</x:v>
      </x:c>
      <x:c r="K453" s="79" t="str">
        <x:v>https://github.com/darknigthmare/yautja-la-longue-chasse/blob/feat/v131-gauntlet-hologram-dual-view-20261030/app/game/ClanWarGauntletV131.tsx</x:v>
      </x:c>
      <x:c r="L453" s="79" t="str">
        <x:v>HUD connecté / simulation intacte ; QA visuelle restante</x:v>
      </x:c>
    </x:row>
    <x:row r="454" ht="29" customHeight="1">
      <x:c r="A454" s="79" t="str">
        <x:v>05_Assets</x:v>
      </x:c>
      <x:c r="B454" s="79" t="n">
        <x:v>454</x:v>
      </x:c>
      <x:c r="C454" s="79" t="str">
        <x:v>phg-father-QA</x:v>
      </x:c>
      <x:c r="D454" s="79" t="str">
        <x:v>phg-father</x:v>
      </x:c>
      <x:c r="E454" s="79" t="str">
        <x:v>Comparaisons + tests</x:v>
      </x:c>
      <x:c r="F454" s="79" t="str">
        <x:v>PARTIEL · prototype technique</x:v>
      </x:c>
      <x:c r="G454" s="79" t="str">
        <x:v>Réaliser contrôles visuels film/rig + E2E jeu, FPS et accessibilité</x:v>
      </x:c>
      <x:c r="H454" s="79" t="str">
        <x:v>ART+QA</x:v>
      </x:c>
      <x:c r="I454" s="79" t="str">
        <x:v>Oui, pour les contrats techniques uniquement</x:v>
      </x:c>
      <x:c r="J454" s="79" t="str">
        <x:v>P2</x:v>
      </x:c>
      <x:c r="K454" s="79" t="str">
        <x:v>https://github.com/darknigthmare/yautja-la-longue-chasse/blob/feat/v131-gauntlet-hologram-dual-view-20261030/tests/gauntlet-archive-studies-v136.test.mjs</x:v>
      </x:c>
      <x:c r="L454" s="79" t="str">
        <x:v>Tests CI source / alpha / type / navigateur autonome ; 1:1 restant</x:v>
      </x:c>
    </x:row>
    <x:row r="455" ht="29" customHeight="1">
      <x:c r="A455" s="79" t="str">
        <x:v>05_Assets</x:v>
      </x:c>
      <x:c r="B455" s="79" t="n">
        <x:v>455</x:v>
      </x:c>
      <x:c r="C455" s="79" t="str">
        <x:v>phg-jotun-ARM-L</x:v>
      </x:c>
      <x:c r="D455" s="79" t="str">
        <x:v>phg-jotun</x:v>
      </x:c>
      <x:c r="E455" s="79" t="str">
        <x:v>Bras gauche / poignet</x:v>
      </x:c>
      <x:c r="F455" s="79" t="str">
        <x:v>PARTIEL · prototype technique</x:v>
      </x:c>
      <x:c r="G455" s="79" t="str">
        <x:v>Comparer bras et poignet à plusieurs plans canoniques ; adapter au rig dans toutes poses</x:v>
      </x:c>
      <x:c r="H455" s="79" t="str">
        <x:v>ART+QA</x:v>
      </x:c>
      <x:c r="I455" s="79" t="str">
        <x:v>Oui, pour les contrats techniques uniquement</x:v>
      </x:c>
      <x:c r="J455" s="79" t="str">
        <x:v>P2</x:v>
      </x:c>
      <x:c r="K455" s="79" t="str">
        <x:v>https://github.com/darknigthmare/yautja-la-longue-chasse/blob/feat/v131-gauntlet-hologram-dual-view-20261030/public/game/assets/v136/gauntlets/phg-jotun/01-arm.svg</x:v>
      </x:c>
      <x:c r="L455" s="79" t="str">
        <x:v>Prototype SVG individuel + alpha PNG</x:v>
      </x:c>
    </x:row>
    <x:row r="456" ht="29" customHeight="1">
      <x:c r="A456" s="79" t="str">
        <x:v>05_Assets</x:v>
      </x:c>
      <x:c r="B456" s="79" t="n">
        <x:v>456</x:v>
      </x:c>
      <x:c r="C456" s="79" t="str">
        <x:v>phg-jotun-SHELL-C</x:v>
      </x:c>
      <x:c r="D456" s="79" t="str">
        <x:v>phg-jotun</x:v>
      </x:c>
      <x:c r="E456" s="79" t="str">
        <x:v>Coque fermée</x:v>
      </x:c>
      <x:c r="F456" s="79" t="str">
        <x:v>PARTIEL · prototype technique</x:v>
      </x:c>
      <x:c r="G456" s="79" t="str">
        <x:v>Vérifier forme/proportions/cuirasse 1:1 et textures, pas seulement SVG</x:v>
      </x:c>
      <x:c r="H456" s="79" t="str">
        <x:v>ART+QA</x:v>
      </x:c>
      <x:c r="I456" s="79" t="str">
        <x:v>Oui, pour les contrats techniques uniquement</x:v>
      </x:c>
      <x:c r="J456" s="79" t="str">
        <x:v>P2</x:v>
      </x:c>
      <x:c r="K456" s="79" t="str">
        <x:v>https://github.com/darknigthmare/yautja-la-longue-chasse/blob/feat/v131-gauntlet-hologram-dual-view-20261030/public/game/assets/v136/gauntlets/phg-jotun/02-shell.svg</x:v>
      </x:c>
      <x:c r="L456" s="79" t="str">
        <x:v>Coque individuelle SVG + PNG, non 1:1</x:v>
      </x:c>
    </x:row>
    <x:row r="457" ht="29" customHeight="1">
      <x:c r="A457" s="79" t="str">
        <x:v>05_Assets</x:v>
      </x:c>
      <x:c r="B457" s="79" t="n">
        <x:v>457</x:v>
      </x:c>
      <x:c r="C457" s="79" t="str">
        <x:v>phg-jotun-SHELL-O</x:v>
      </x:c>
      <x:c r="D457" s="79" t="str">
        <x:v>phg-jotun</x:v>
      </x:c>
      <x:c r="E457" s="79" t="str">
        <x:v>Coque ouverte</x:v>
      </x:c>
      <x:c r="F457" s="79" t="str">
        <x:v>PARTIEL · prototype technique</x:v>
      </x:c>
      <x:c r="G457" s="79" t="str">
        <x:v>Mesurer pivot/capots sur film et compléter les états ouvrir-fermer-ranger</x:v>
      </x:c>
      <x:c r="H457" s="79" t="str">
        <x:v>ART+QA</x:v>
      </x:c>
      <x:c r="I457" s="79" t="str">
        <x:v>Oui, pour les contrats techniques uniquement</x:v>
      </x:c>
      <x:c r="J457" s="79" t="str">
        <x:v>P2</x:v>
      </x:c>
      <x:c r="K457" s="79" t="str">
        <x:v>https://github.com/darknigthmare/yautja-la-longue-chasse/blob/feat/v131-gauntlet-hologram-dual-view-20261030/public/game/assets/v136/gauntlets/phg-jotun/04-lid.svg</x:v>
      </x:c>
      <x:c r="L457" s="79" t="str">
        <x:v>Capot ouvrable en React/CSS, animation partielle</x:v>
      </x:c>
    </x:row>
    <x:row r="458" ht="29" customHeight="1">
      <x:c r="A458" s="79" t="str">
        <x:v>05_Assets</x:v>
      </x:c>
      <x:c r="B458" s="79" t="n">
        <x:v>458</x:v>
      </x:c>
      <x:c r="C458" s="79" t="str">
        <x:v>phg-jotun-UI-RED</x:v>
      </x:c>
      <x:c r="D458" s="79" t="str">
        <x:v>phg-jotun</x:v>
      </x:c>
      <x:c r="E458" s="79" t="str">
        <x:v>Contrôle / glyphes</x:v>
      </x:c>
      <x:c r="F458" s="79" t="str">
        <x:v>PARTIEL · prototype technique</x:v>
      </x:c>
      <x:c r="G458" s="79" t="str">
        <x:v>Remplacer symboles conceptuels par graphismes source documentés sans inventer du canon</x:v>
      </x:c>
      <x:c r="H458" s="79" t="str">
        <x:v>ART+QA</x:v>
      </x:c>
      <x:c r="I458" s="79" t="str">
        <x:v>Oui, pour les contrats techniques uniquement</x:v>
      </x:c>
      <x:c r="J458" s="79" t="str">
        <x:v>P2</x:v>
      </x:c>
      <x:c r="K458" s="79" t="str">
        <x:v>https://github.com/darknigthmare/yautja-la-longue-chasse/blob/feat/v131-gauntlet-hologram-dual-view-20261030/public/game/assets/v136/gauntlets/phg-jotun/03-interface.svg</x:v>
      </x:c>
      <x:c r="L458" s="79" t="str">
        <x:v>Interface distincte en SVG / couleurs non certifiées</x:v>
      </x:c>
    </x:row>
    <x:row r="459" ht="29" customHeight="1">
      <x:c r="A459" s="79" t="str">
        <x:v>05_Assets</x:v>
      </x:c>
      <x:c r="B459" s="79" t="n">
        <x:v>459</x:v>
      </x:c>
      <x:c r="C459" s="79" t="str">
        <x:v>phg-jotun-RIBS</x:v>
      </x:c>
      <x:c r="D459" s="79" t="str">
        <x:v>phg-jotun</x:v>
      </x:c>
      <x:c r="E459" s="79" t="str">
        <x:v>Ribures et mécanique</x:v>
      </x:c>
      <x:c r="F459" s="79" t="str">
        <x:v>OUVERT · séparation des sous-pièces</x:v>
      </x:c>
      <x:c r="G459" s="79" t="str">
        <x:v>Découper les pièces mécaniques, valider attaches et reliefs individuels</x:v>
      </x:c>
      <x:c r="H459" s="79" t="str">
        <x:v>ART+QA</x:v>
      </x:c>
      <x:c r="I459" s="79" t="str">
        <x:v>Oui, pour les contrats techniques uniquement</x:v>
      </x:c>
      <x:c r="J459" s="79" t="str">
        <x:v>P2</x:v>
      </x:c>
      <x:c r="K459" s="79" t="str">
        <x:v>https://github.com/darknigthmare/yautja-la-longue-chasse/blob/feat/v131-gauntlet-hologram-dual-view-20261030/public/game/assets/v136/gauntlets/phg-jotun/02-shell.svg</x:v>
      </x:c>
      <x:c r="L459" s="79" t="str">
        <x:v>Détails de coque présents, sous-pièces non séparées</x:v>
      </x:c>
    </x:row>
    <x:row r="460" ht="29" customHeight="1">
      <x:c r="A460" s="79" t="str">
        <x:v>05_Assets</x:v>
      </x:c>
      <x:c r="B460" s="79" t="n">
        <x:v>460</x:v>
      </x:c>
      <x:c r="C460" s="79" t="str">
        <x:v>phg-jotun-BEAM</x:v>
      </x:c>
      <x:c r="D460" s="79" t="str">
        <x:v>phg-jotun</x:v>
      </x:c>
      <x:c r="E460" s="79" t="str">
        <x:v>Émetteur holographique</x:v>
      </x:c>
      <x:c r="F460" s="79" t="str">
        <x:v>PARTIEL · prototype technique</x:v>
      </x:c>
      <x:c r="G460" s="79" t="str">
        <x:v>Conserver fonctionnalité HUD et produire la signature holographique de chaque modèle</x:v>
      </x:c>
      <x:c r="H460" s="79" t="str">
        <x:v>ART+QA</x:v>
      </x:c>
      <x:c r="I460" s="79" t="str">
        <x:v>Oui, pour les contrats techniques uniquement</x:v>
      </x:c>
      <x:c r="J460" s="79" t="str">
        <x:v>P2</x:v>
      </x:c>
      <x:c r="K460" s="79" t="str">
        <x:v>https://github.com/darknigthmare/yautja-la-longue-chasse/blob/feat/v131-gauntlet-hologram-dual-view-20261030/app/game/ClanWarGauntletV131.tsx</x:v>
      </x:c>
      <x:c r="L460" s="79" t="str">
        <x:v>Faisceau du projet (JH dédié, autres effet commun)</x:v>
      </x:c>
    </x:row>
    <x:row r="461" ht="29" customHeight="1">
      <x:c r="A461" s="79" t="str">
        <x:v>05_Assets</x:v>
      </x:c>
      <x:c r="B461" s="79" t="n">
        <x:v>461</x:v>
      </x:c>
      <x:c r="C461" s="79" t="str">
        <x:v>phg-jotun-MOVE</x:v>
      </x:c>
      <x:c r="D461" s="79" t="str">
        <x:v>phg-jotun</x:v>
      </x:c>
      <x:c r="E461" s="79" t="str">
        <x:v>Animations 4 états</x:v>
      </x:c>
      <x:c r="F461" s="79" t="str">
        <x:v>PARTIEL · prototype technique</x:v>
      </x:c>
      <x:c r="G461" s="79" t="str">
        <x:v>Compléter lever, ouvrir, projeter, ranger ; aligner au rig et à la caméra</x:v>
      </x:c>
      <x:c r="H461" s="79" t="str">
        <x:v>ART+QA</x:v>
      </x:c>
      <x:c r="I461" s="79" t="str">
        <x:v>Oui, pour les contrats techniques uniquement</x:v>
      </x:c>
      <x:c r="J461" s="79" t="str">
        <x:v>P2</x:v>
      </x:c>
      <x:c r="K461" s="79" t="str">
        <x:v>https://github.com/darknigthmare/yautja-la-longue-chasse/blob/feat/v131-gauntlet-hologram-dual-view-20261030/public/game/assets/v136/gauntlets/phg-jotun/04-lid.svg</x:v>
      </x:c>
      <x:c r="L461" s="79" t="str">
        <x:v>Capot ouvert/fermé ; 3 gestes complets restent à faire</x:v>
      </x:c>
    </x:row>
    <x:row r="462" ht="29" customHeight="1">
      <x:c r="A462" s="79" t="str">
        <x:v>05_Assets</x:v>
      </x:c>
      <x:c r="B462" s="79" t="n">
        <x:v>462</x:v>
      </x:c>
      <x:c r="C462" s="79" t="str">
        <x:v>phg-jotun-SFX</x:v>
      </x:c>
      <x:c r="D462" s="79" t="str">
        <x:v>phg-jotun</x:v>
      </x:c>
      <x:c r="E462" s="79" t="str">
        <x:v>Identité sonore</x:v>
      </x:c>
      <x:c r="F462" s="79" t="str">
        <x:v>PARTIEL · prototype technique</x:v>
      </x:c>
      <x:c r="G462" s="79" t="str">
        <x:v>Distinguer signatures individualisées, écouter et calibrer mixage/mute</x:v>
      </x:c>
      <x:c r="H462" s="79" t="str">
        <x:v>UI/AUDIO</x:v>
      </x:c>
      <x:c r="I462" s="79" t="str">
        <x:v>Oui, pour les contrats techniques uniquement</x:v>
      </x:c>
      <x:c r="J462" s="79" t="str">
        <x:v>P2</x:v>
      </x:c>
      <x:c r="K462" s="79" t="str">
        <x:v>https://github.com/darknigthmare/yautja-la-longue-chasse/blob/feat/v131-gauntlet-hologram-dual-view-20261030/app/game/sound.ts</x:v>
      </x:c>
      <x:c r="L462" s="79" t="str">
        <x:v>Signature sonore par thème (10 profils), source non cinéma</x:v>
      </x:c>
    </x:row>
    <x:row r="463" ht="29" customHeight="1">
      <x:c r="A463" s="79" t="str">
        <x:v>05_Assets</x:v>
      </x:c>
      <x:c r="B463" s="79" t="n">
        <x:v>463</x:v>
      </x:c>
      <x:c r="C463" s="79" t="str">
        <x:v>phg-jotun-HUD</x:v>
      </x:c>
      <x:c r="D463" s="79" t="str">
        <x:v>phg-jotun</x:v>
      </x:c>
      <x:c r="E463" s="79" t="str">
        <x:v>Palette / projection</x:v>
      </x:c>
      <x:c r="F463" s="79" t="str">
        <x:v>PARTIEL · prototype technique</x:v>
      </x:c>
      <x:c r="G463" s="79" t="str">
        <x:v>Tester toutes résolutions, contrôles, sous-modes et cohérence d'infos</x:v>
      </x:c>
      <x:c r="H463" s="79" t="str">
        <x:v>UI/AUDIO</x:v>
      </x:c>
      <x:c r="I463" s="79" t="str">
        <x:v>Oui, pour les contrats techniques uniquement</x:v>
      </x:c>
      <x:c r="J463" s="79" t="str">
        <x:v>P2</x:v>
      </x:c>
      <x:c r="K463" s="79" t="str">
        <x:v>https://github.com/darknigthmare/yautja-la-longue-chasse/blob/feat/v131-gauntlet-hologram-dual-view-20261030/app/game/ClanWarGauntletV131.tsx</x:v>
      </x:c>
      <x:c r="L463" s="79" t="str">
        <x:v>HUD connecté / simulation intacte ; QA visuelle restante</x:v>
      </x:c>
    </x:row>
    <x:row r="464" ht="29" customHeight="1">
      <x:c r="A464" s="79" t="str">
        <x:v>05_Assets</x:v>
      </x:c>
      <x:c r="B464" s="79" t="n">
        <x:v>464</x:v>
      </x:c>
      <x:c r="C464" s="79" t="str">
        <x:v>phg-jotun-QA</x:v>
      </x:c>
      <x:c r="D464" s="79" t="str">
        <x:v>phg-jotun</x:v>
      </x:c>
      <x:c r="E464" s="79" t="str">
        <x:v>Comparaisons + tests</x:v>
      </x:c>
      <x:c r="F464" s="79" t="str">
        <x:v>PARTIEL · prototype technique</x:v>
      </x:c>
      <x:c r="G464" s="79" t="str">
        <x:v>Réaliser contrôles visuels film/rig + E2E jeu, FPS et accessibilité</x:v>
      </x:c>
      <x:c r="H464" s="79" t="str">
        <x:v>ART+QA</x:v>
      </x:c>
      <x:c r="I464" s="79" t="str">
        <x:v>Oui, pour les contrats techniques uniquement</x:v>
      </x:c>
      <x:c r="J464" s="79" t="str">
        <x:v>P2</x:v>
      </x:c>
      <x:c r="K464" s="79" t="str">
        <x:v>https://github.com/darknigthmare/yautja-la-longue-chasse/blob/feat/v131-gauntlet-hologram-dual-view-20261030/tests/gauntlet-archive-studies-v136.test.mjs</x:v>
      </x:c>
      <x:c r="L464" s="79" t="str">
        <x:v>Tests CI source / alpha / type / navigateur autonome ; 1:1 restant</x:v>
      </x:c>
    </x:row>
    <x:row r="465" ht="29" customHeight="1">
      <x:c r="A465" s="79" t="str">
        <x:v>05_Assets</x:v>
      </x:c>
      <x:c r="B465" s="79" t="n">
        <x:v>465</x:v>
      </x:c>
      <x:c r="C465" s="79" t="str">
        <x:v>phg-exalted-ARM-L</x:v>
      </x:c>
      <x:c r="D465" s="79" t="str">
        <x:v>phg-exalted</x:v>
      </x:c>
      <x:c r="E465" s="79" t="str">
        <x:v>Bras gauche / poignet</x:v>
      </x:c>
      <x:c r="F465" s="79" t="str">
        <x:v>PARTIEL · prototype technique</x:v>
      </x:c>
      <x:c r="G465" s="79" t="str">
        <x:v>Comparer bras et poignet à plusieurs plans canoniques ; adapter au rig dans toutes poses</x:v>
      </x:c>
      <x:c r="H465" s="79" t="str">
        <x:v>ART+QA</x:v>
      </x:c>
      <x:c r="I465" s="79" t="str">
        <x:v>Oui, pour les contrats techniques uniquement</x:v>
      </x:c>
      <x:c r="J465" s="79" t="str">
        <x:v>P2</x:v>
      </x:c>
      <x:c r="K465" s="79" t="str">
        <x:v>https://github.com/darknigthmare/yautja-la-longue-chasse/blob/feat/v131-gauntlet-hologram-dual-view-20261030/public/game/assets/v136/gauntlets/phg-exalted/01-arm.svg</x:v>
      </x:c>
      <x:c r="L465" s="79" t="str">
        <x:v>Prototype SVG individuel + alpha PNG</x:v>
      </x:c>
    </x:row>
    <x:row r="466" ht="29" customHeight="1">
      <x:c r="A466" s="79" t="str">
        <x:v>05_Assets</x:v>
      </x:c>
      <x:c r="B466" s="79" t="n">
        <x:v>466</x:v>
      </x:c>
      <x:c r="C466" s="79" t="str">
        <x:v>phg-exalted-SHELL-C</x:v>
      </x:c>
      <x:c r="D466" s="79" t="str">
        <x:v>phg-exalted</x:v>
      </x:c>
      <x:c r="E466" s="79" t="str">
        <x:v>Coque fermée</x:v>
      </x:c>
      <x:c r="F466" s="79" t="str">
        <x:v>PARTIEL · prototype technique</x:v>
      </x:c>
      <x:c r="G466" s="79" t="str">
        <x:v>Vérifier forme/proportions/cuirasse 1:1 et textures, pas seulement SVG</x:v>
      </x:c>
      <x:c r="H466" s="79" t="str">
        <x:v>ART+QA</x:v>
      </x:c>
      <x:c r="I466" s="79" t="str">
        <x:v>Oui, pour les contrats techniques uniquement</x:v>
      </x:c>
      <x:c r="J466" s="79" t="str">
        <x:v>P2</x:v>
      </x:c>
      <x:c r="K466" s="79" t="str">
        <x:v>https://github.com/darknigthmare/yautja-la-longue-chasse/blob/feat/v131-gauntlet-hologram-dual-view-20261030/public/game/assets/v136/gauntlets/phg-exalted/02-shell.svg</x:v>
      </x:c>
      <x:c r="L466" s="79" t="str">
        <x:v>Coque individuelle SVG + PNG, non 1:1</x:v>
      </x:c>
    </x:row>
    <x:row r="467" ht="29" customHeight="1">
      <x:c r="A467" s="79" t="str">
        <x:v>05_Assets</x:v>
      </x:c>
      <x:c r="B467" s="79" t="n">
        <x:v>467</x:v>
      </x:c>
      <x:c r="C467" s="79" t="str">
        <x:v>phg-exalted-SHELL-O</x:v>
      </x:c>
      <x:c r="D467" s="79" t="str">
        <x:v>phg-exalted</x:v>
      </x:c>
      <x:c r="E467" s="79" t="str">
        <x:v>Coque ouverte</x:v>
      </x:c>
      <x:c r="F467" s="79" t="str">
        <x:v>PARTIEL · prototype technique</x:v>
      </x:c>
      <x:c r="G467" s="79" t="str">
        <x:v>Mesurer pivot/capots sur film et compléter les états ouvrir-fermer-ranger</x:v>
      </x:c>
      <x:c r="H467" s="79" t="str">
        <x:v>ART+QA</x:v>
      </x:c>
      <x:c r="I467" s="79" t="str">
        <x:v>Oui, pour les contrats techniques uniquement</x:v>
      </x:c>
      <x:c r="J467" s="79" t="str">
        <x:v>P2</x:v>
      </x:c>
      <x:c r="K467" s="79" t="str">
        <x:v>https://github.com/darknigthmare/yautja-la-longue-chasse/blob/feat/v131-gauntlet-hologram-dual-view-20261030/public/game/assets/v136/gauntlets/phg-exalted/04-lid.svg</x:v>
      </x:c>
      <x:c r="L467" s="79" t="str">
        <x:v>Capot ouvrable en React/CSS, animation partielle</x:v>
      </x:c>
    </x:row>
    <x:row r="468" ht="29" customHeight="1">
      <x:c r="A468" s="79" t="str">
        <x:v>05_Assets</x:v>
      </x:c>
      <x:c r="B468" s="79" t="n">
        <x:v>468</x:v>
      </x:c>
      <x:c r="C468" s="79" t="str">
        <x:v>phg-exalted-UI-RED</x:v>
      </x:c>
      <x:c r="D468" s="79" t="str">
        <x:v>phg-exalted</x:v>
      </x:c>
      <x:c r="E468" s="79" t="str">
        <x:v>Contrôle / glyphes</x:v>
      </x:c>
      <x:c r="F468" s="79" t="str">
        <x:v>PARTIEL · prototype technique</x:v>
      </x:c>
      <x:c r="G468" s="79" t="str">
        <x:v>Remplacer symboles conceptuels par graphismes source documentés sans inventer du canon</x:v>
      </x:c>
      <x:c r="H468" s="79" t="str">
        <x:v>ART+QA</x:v>
      </x:c>
      <x:c r="I468" s="79" t="str">
        <x:v>Oui, pour les contrats techniques uniquement</x:v>
      </x:c>
      <x:c r="J468" s="79" t="str">
        <x:v>P2</x:v>
      </x:c>
      <x:c r="K468" s="79" t="str">
        <x:v>https://github.com/darknigthmare/yautja-la-longue-chasse/blob/feat/v131-gauntlet-hologram-dual-view-20261030/public/game/assets/v136/gauntlets/phg-exalted/03-interface.svg</x:v>
      </x:c>
      <x:c r="L468" s="79" t="str">
        <x:v>Interface distincte en SVG / couleurs non certifiées</x:v>
      </x:c>
    </x:row>
    <x:row r="469" ht="29" customHeight="1">
      <x:c r="A469" s="79" t="str">
        <x:v>05_Assets</x:v>
      </x:c>
      <x:c r="B469" s="79" t="n">
        <x:v>469</x:v>
      </x:c>
      <x:c r="C469" s="79" t="str">
        <x:v>phg-exalted-RIBS</x:v>
      </x:c>
      <x:c r="D469" s="79" t="str">
        <x:v>phg-exalted</x:v>
      </x:c>
      <x:c r="E469" s="79" t="str">
        <x:v>Ribures et mécanique</x:v>
      </x:c>
      <x:c r="F469" s="79" t="str">
        <x:v>OUVERT · séparation des sous-pièces</x:v>
      </x:c>
      <x:c r="G469" s="79" t="str">
        <x:v>Découper les pièces mécaniques, valider attaches et reliefs individuels</x:v>
      </x:c>
      <x:c r="H469" s="79" t="str">
        <x:v>ART+QA</x:v>
      </x:c>
      <x:c r="I469" s="79" t="str">
        <x:v>Oui, pour les contrats techniques uniquement</x:v>
      </x:c>
      <x:c r="J469" s="79" t="str">
        <x:v>P2</x:v>
      </x:c>
      <x:c r="K469" s="79" t="str">
        <x:v>https://github.com/darknigthmare/yautja-la-longue-chasse/blob/feat/v131-gauntlet-hologram-dual-view-20261030/public/game/assets/v136/gauntlets/phg-exalted/02-shell.svg</x:v>
      </x:c>
      <x:c r="L469" s="79" t="str">
        <x:v>Détails de coque présents, sous-pièces non séparées</x:v>
      </x:c>
    </x:row>
    <x:row r="470" ht="29" customHeight="1">
      <x:c r="A470" s="79" t="str">
        <x:v>05_Assets</x:v>
      </x:c>
      <x:c r="B470" s="79" t="n">
        <x:v>470</x:v>
      </x:c>
      <x:c r="C470" s="79" t="str">
        <x:v>phg-exalted-BEAM</x:v>
      </x:c>
      <x:c r="D470" s="79" t="str">
        <x:v>phg-exalted</x:v>
      </x:c>
      <x:c r="E470" s="79" t="str">
        <x:v>Émetteur holographique</x:v>
      </x:c>
      <x:c r="F470" s="79" t="str">
        <x:v>PARTIEL · prototype technique</x:v>
      </x:c>
      <x:c r="G470" s="79" t="str">
        <x:v>Conserver fonctionnalité HUD et produire la signature holographique de chaque modèle</x:v>
      </x:c>
      <x:c r="H470" s="79" t="str">
        <x:v>ART+QA</x:v>
      </x:c>
      <x:c r="I470" s="79" t="str">
        <x:v>Oui, pour les contrats techniques uniquement</x:v>
      </x:c>
      <x:c r="J470" s="79" t="str">
        <x:v>P2</x:v>
      </x:c>
      <x:c r="K470" s="79" t="str">
        <x:v>https://github.com/darknigthmare/yautja-la-longue-chasse/blob/feat/v131-gauntlet-hologram-dual-view-20261030/app/game/ClanWarGauntletV131.tsx</x:v>
      </x:c>
      <x:c r="L470" s="79" t="str">
        <x:v>Faisceau du projet (JH dédié, autres effet commun)</x:v>
      </x:c>
    </x:row>
    <x:row r="471" ht="29" customHeight="1">
      <x:c r="A471" s="79" t="str">
        <x:v>05_Assets</x:v>
      </x:c>
      <x:c r="B471" s="79" t="n">
        <x:v>471</x:v>
      </x:c>
      <x:c r="C471" s="79" t="str">
        <x:v>phg-exalted-MOVE</x:v>
      </x:c>
      <x:c r="D471" s="79" t="str">
        <x:v>phg-exalted</x:v>
      </x:c>
      <x:c r="E471" s="79" t="str">
        <x:v>Animations 4 états</x:v>
      </x:c>
      <x:c r="F471" s="79" t="str">
        <x:v>PARTIEL · prototype technique</x:v>
      </x:c>
      <x:c r="G471" s="79" t="str">
        <x:v>Compléter lever, ouvrir, projeter, ranger ; aligner au rig et à la caméra</x:v>
      </x:c>
      <x:c r="H471" s="79" t="str">
        <x:v>ART+QA</x:v>
      </x:c>
      <x:c r="I471" s="79" t="str">
        <x:v>Oui, pour les contrats techniques uniquement</x:v>
      </x:c>
      <x:c r="J471" s="79" t="str">
        <x:v>P2</x:v>
      </x:c>
      <x:c r="K471" s="79" t="str">
        <x:v>https://github.com/darknigthmare/yautja-la-longue-chasse/blob/feat/v131-gauntlet-hologram-dual-view-20261030/public/game/assets/v136/gauntlets/phg-exalted/04-lid.svg</x:v>
      </x:c>
      <x:c r="L471" s="79" t="str">
        <x:v>Capot ouvert/fermé ; 3 gestes complets restent à faire</x:v>
      </x:c>
    </x:row>
    <x:row r="472" ht="29" customHeight="1">
      <x:c r="A472" s="79" t="str">
        <x:v>05_Assets</x:v>
      </x:c>
      <x:c r="B472" s="79" t="n">
        <x:v>472</x:v>
      </x:c>
      <x:c r="C472" s="79" t="str">
        <x:v>phg-exalted-SFX</x:v>
      </x:c>
      <x:c r="D472" s="79" t="str">
        <x:v>phg-exalted</x:v>
      </x:c>
      <x:c r="E472" s="79" t="str">
        <x:v>Identité sonore</x:v>
      </x:c>
      <x:c r="F472" s="79" t="str">
        <x:v>PARTIEL · prototype technique</x:v>
      </x:c>
      <x:c r="G472" s="79" t="str">
        <x:v>Distinguer signatures individualisées, écouter et calibrer mixage/mute</x:v>
      </x:c>
      <x:c r="H472" s="79" t="str">
        <x:v>UI/AUDIO</x:v>
      </x:c>
      <x:c r="I472" s="79" t="str">
        <x:v>Oui, pour les contrats techniques uniquement</x:v>
      </x:c>
      <x:c r="J472" s="79" t="str">
        <x:v>P2</x:v>
      </x:c>
      <x:c r="K472" s="79" t="str">
        <x:v>https://github.com/darknigthmare/yautja-la-longue-chasse/blob/feat/v131-gauntlet-hologram-dual-view-20261030/app/game/sound.ts</x:v>
      </x:c>
      <x:c r="L472" s="79" t="str">
        <x:v>Signature sonore par thème (10 profils), source non cinéma</x:v>
      </x:c>
    </x:row>
    <x:row r="473" ht="29" customHeight="1">
      <x:c r="A473" s="79" t="str">
        <x:v>05_Assets</x:v>
      </x:c>
      <x:c r="B473" s="79" t="n">
        <x:v>473</x:v>
      </x:c>
      <x:c r="C473" s="79" t="str">
        <x:v>phg-exalted-HUD</x:v>
      </x:c>
      <x:c r="D473" s="79" t="str">
        <x:v>phg-exalted</x:v>
      </x:c>
      <x:c r="E473" s="79" t="str">
        <x:v>Palette / projection</x:v>
      </x:c>
      <x:c r="F473" s="79" t="str">
        <x:v>PARTIEL · prototype technique</x:v>
      </x:c>
      <x:c r="G473" s="79" t="str">
        <x:v>Tester toutes résolutions, contrôles, sous-modes et cohérence d'infos</x:v>
      </x:c>
      <x:c r="H473" s="79" t="str">
        <x:v>UI/AUDIO</x:v>
      </x:c>
      <x:c r="I473" s="79" t="str">
        <x:v>Oui, pour les contrats techniques uniquement</x:v>
      </x:c>
      <x:c r="J473" s="79" t="str">
        <x:v>P2</x:v>
      </x:c>
      <x:c r="K473" s="79" t="str">
        <x:v>https://github.com/darknigthmare/yautja-la-longue-chasse/blob/feat/v131-gauntlet-hologram-dual-view-20261030/app/game/ClanWarGauntletV131.tsx</x:v>
      </x:c>
      <x:c r="L473" s="79" t="str">
        <x:v>HUD connecté / simulation intacte ; QA visuelle restante</x:v>
      </x:c>
    </x:row>
    <x:row r="474" ht="29" customHeight="1">
      <x:c r="A474" s="79" t="str">
        <x:v>05_Assets</x:v>
      </x:c>
      <x:c r="B474" s="79" t="n">
        <x:v>474</x:v>
      </x:c>
      <x:c r="C474" s="79" t="str">
        <x:v>phg-exalted-QA</x:v>
      </x:c>
      <x:c r="D474" s="79" t="str">
        <x:v>phg-exalted</x:v>
      </x:c>
      <x:c r="E474" s="79" t="str">
        <x:v>Comparaisons + tests</x:v>
      </x:c>
      <x:c r="F474" s="79" t="str">
        <x:v>PARTIEL · prototype technique</x:v>
      </x:c>
      <x:c r="G474" s="79" t="str">
        <x:v>Réaliser contrôles visuels film/rig + E2E jeu, FPS et accessibilité</x:v>
      </x:c>
      <x:c r="H474" s="79" t="str">
        <x:v>ART+QA</x:v>
      </x:c>
      <x:c r="I474" s="79" t="str">
        <x:v>Oui, pour les contrats techniques uniquement</x:v>
      </x:c>
      <x:c r="J474" s="79" t="str">
        <x:v>P2</x:v>
      </x:c>
      <x:c r="K474" s="79" t="str">
        <x:v>https://github.com/darknigthmare/yautja-la-longue-chasse/blob/feat/v131-gauntlet-hologram-dual-view-20261030/tests/gauntlet-archive-studies-v136.test.mjs</x:v>
      </x:c>
      <x:c r="L474" s="79" t="str">
        <x:v>Tests CI source / alpha / type / navigateur autonome ; 1:1 restant</x:v>
      </x:c>
    </x:row>
    <x:row r="475" ht="29" customHeight="1">
      <x:c r="A475" s="79" t="str">
        <x:v>05_Assets</x:v>
      </x:c>
      <x:c r="B475" s="79" t="n">
        <x:v>475</x:v>
      </x:c>
      <x:c r="C475" s="79" t="str">
        <x:v>phg-anubis-ARM-L</x:v>
      </x:c>
      <x:c r="D475" s="79" t="str">
        <x:v>phg-anubis</x:v>
      </x:c>
      <x:c r="E475" s="79" t="str">
        <x:v>Bras gauche / poignet</x:v>
      </x:c>
      <x:c r="F475" s="79" t="str">
        <x:v>PARTIEL · prototype technique</x:v>
      </x:c>
      <x:c r="G475" s="79" t="str">
        <x:v>Comparer bras et poignet à plusieurs plans canoniques ; adapter au rig dans toutes poses</x:v>
      </x:c>
      <x:c r="H475" s="79" t="str">
        <x:v>ART+QA</x:v>
      </x:c>
      <x:c r="I475" s="79" t="str">
        <x:v>Oui, pour les contrats techniques uniquement</x:v>
      </x:c>
      <x:c r="J475" s="79" t="str">
        <x:v>P2</x:v>
      </x:c>
      <x:c r="K475" s="79" t="str">
        <x:v>https://github.com/darknigthmare/yautja-la-longue-chasse/blob/feat/v131-gauntlet-hologram-dual-view-20261030/public/game/assets/v136/gauntlets/phg-anubis/01-arm.svg</x:v>
      </x:c>
      <x:c r="L475" s="79" t="str">
        <x:v>Prototype SVG individuel + alpha PNG</x:v>
      </x:c>
    </x:row>
    <x:row r="476" ht="29" customHeight="1">
      <x:c r="A476" s="79" t="str">
        <x:v>05_Assets</x:v>
      </x:c>
      <x:c r="B476" s="79" t="n">
        <x:v>476</x:v>
      </x:c>
      <x:c r="C476" s="79" t="str">
        <x:v>phg-anubis-SHELL-C</x:v>
      </x:c>
      <x:c r="D476" s="79" t="str">
        <x:v>phg-anubis</x:v>
      </x:c>
      <x:c r="E476" s="79" t="str">
        <x:v>Coque fermée</x:v>
      </x:c>
      <x:c r="F476" s="79" t="str">
        <x:v>PARTIEL · prototype technique</x:v>
      </x:c>
      <x:c r="G476" s="79" t="str">
        <x:v>Vérifier forme/proportions/cuirasse 1:1 et textures, pas seulement SVG</x:v>
      </x:c>
      <x:c r="H476" s="79" t="str">
        <x:v>ART+QA</x:v>
      </x:c>
      <x:c r="I476" s="79" t="str">
        <x:v>Oui, pour les contrats techniques uniquement</x:v>
      </x:c>
      <x:c r="J476" s="79" t="str">
        <x:v>P2</x:v>
      </x:c>
      <x:c r="K476" s="79" t="str">
        <x:v>https://github.com/darknigthmare/yautja-la-longue-chasse/blob/feat/v131-gauntlet-hologram-dual-view-20261030/public/game/assets/v136/gauntlets/phg-anubis/02-shell.svg</x:v>
      </x:c>
      <x:c r="L476" s="79" t="str">
        <x:v>Coque individuelle SVG + PNG, non 1:1</x:v>
      </x:c>
    </x:row>
    <x:row r="477" ht="29" customHeight="1">
      <x:c r="A477" s="79" t="str">
        <x:v>05_Assets</x:v>
      </x:c>
      <x:c r="B477" s="79" t="n">
        <x:v>477</x:v>
      </x:c>
      <x:c r="C477" s="79" t="str">
        <x:v>phg-anubis-SHELL-O</x:v>
      </x:c>
      <x:c r="D477" s="79" t="str">
        <x:v>phg-anubis</x:v>
      </x:c>
      <x:c r="E477" s="79" t="str">
        <x:v>Coque ouverte</x:v>
      </x:c>
      <x:c r="F477" s="79" t="str">
        <x:v>PARTIEL · prototype technique</x:v>
      </x:c>
      <x:c r="G477" s="79" t="str">
        <x:v>Mesurer pivot/capots sur film et compléter les états ouvrir-fermer-ranger</x:v>
      </x:c>
      <x:c r="H477" s="79" t="str">
        <x:v>ART+QA</x:v>
      </x:c>
      <x:c r="I477" s="79" t="str">
        <x:v>Oui, pour les contrats techniques uniquement</x:v>
      </x:c>
      <x:c r="J477" s="79" t="str">
        <x:v>P2</x:v>
      </x:c>
      <x:c r="K477" s="79" t="str">
        <x:v>https://github.com/darknigthmare/yautja-la-longue-chasse/blob/feat/v131-gauntlet-hologram-dual-view-20261030/public/game/assets/v136/gauntlets/phg-anubis/04-lid.svg</x:v>
      </x:c>
      <x:c r="L477" s="79" t="str">
        <x:v>Capot ouvrable en React/CSS, animation partielle</x:v>
      </x:c>
    </x:row>
    <x:row r="478" ht="29" customHeight="1">
      <x:c r="A478" s="79" t="str">
        <x:v>05_Assets</x:v>
      </x:c>
      <x:c r="B478" s="79" t="n">
        <x:v>478</x:v>
      </x:c>
      <x:c r="C478" s="79" t="str">
        <x:v>phg-anubis-UI-RED</x:v>
      </x:c>
      <x:c r="D478" s="79" t="str">
        <x:v>phg-anubis</x:v>
      </x:c>
      <x:c r="E478" s="79" t="str">
        <x:v>Contrôle / glyphes</x:v>
      </x:c>
      <x:c r="F478" s="79" t="str">
        <x:v>PARTIEL · prototype technique</x:v>
      </x:c>
      <x:c r="G478" s="79" t="str">
        <x:v>Remplacer symboles conceptuels par graphismes source documentés sans inventer du canon</x:v>
      </x:c>
      <x:c r="H478" s="79" t="str">
        <x:v>ART+QA</x:v>
      </x:c>
      <x:c r="I478" s="79" t="str">
        <x:v>Oui, pour les contrats techniques uniquement</x:v>
      </x:c>
      <x:c r="J478" s="79" t="str">
        <x:v>P2</x:v>
      </x:c>
      <x:c r="K478" s="79" t="str">
        <x:v>https://github.com/darknigthmare/yautja-la-longue-chasse/blob/feat/v131-gauntlet-hologram-dual-view-20261030/public/game/assets/v136/gauntlets/phg-anubis/03-interface.svg</x:v>
      </x:c>
      <x:c r="L478" s="79" t="str">
        <x:v>Interface distincte en SVG / couleurs non certifiées</x:v>
      </x:c>
    </x:row>
    <x:row r="479" ht="29" customHeight="1">
      <x:c r="A479" s="79" t="str">
        <x:v>05_Assets</x:v>
      </x:c>
      <x:c r="B479" s="79" t="n">
        <x:v>479</x:v>
      </x:c>
      <x:c r="C479" s="79" t="str">
        <x:v>phg-anubis-RIBS</x:v>
      </x:c>
      <x:c r="D479" s="79" t="str">
        <x:v>phg-anubis</x:v>
      </x:c>
      <x:c r="E479" s="79" t="str">
        <x:v>Ribures et mécanique</x:v>
      </x:c>
      <x:c r="F479" s="79" t="str">
        <x:v>OUVERT · séparation des sous-pièces</x:v>
      </x:c>
      <x:c r="G479" s="79" t="str">
        <x:v>Découper les pièces mécaniques, valider attaches et reliefs individuels</x:v>
      </x:c>
      <x:c r="H479" s="79" t="str">
        <x:v>ART+QA</x:v>
      </x:c>
      <x:c r="I479" s="79" t="str">
        <x:v>Oui, pour les contrats techniques uniquement</x:v>
      </x:c>
      <x:c r="J479" s="79" t="str">
        <x:v>P2</x:v>
      </x:c>
      <x:c r="K479" s="79" t="str">
        <x:v>https://github.com/darknigthmare/yautja-la-longue-chasse/blob/feat/v131-gauntlet-hologram-dual-view-20261030/public/game/assets/v136/gauntlets/phg-anubis/02-shell.svg</x:v>
      </x:c>
      <x:c r="L479" s="79" t="str">
        <x:v>Détails de coque présents, sous-pièces non séparées</x:v>
      </x:c>
    </x:row>
    <x:row r="480" ht="29" customHeight="1">
      <x:c r="A480" s="79" t="str">
        <x:v>05_Assets</x:v>
      </x:c>
      <x:c r="B480" s="79" t="n">
        <x:v>480</x:v>
      </x:c>
      <x:c r="C480" s="79" t="str">
        <x:v>phg-anubis-BEAM</x:v>
      </x:c>
      <x:c r="D480" s="79" t="str">
        <x:v>phg-anubis</x:v>
      </x:c>
      <x:c r="E480" s="79" t="str">
        <x:v>Émetteur holographique</x:v>
      </x:c>
      <x:c r="F480" s="79" t="str">
        <x:v>PARTIEL · prototype technique</x:v>
      </x:c>
      <x:c r="G480" s="79" t="str">
        <x:v>Conserver fonctionnalité HUD et produire la signature holographique de chaque modèle</x:v>
      </x:c>
      <x:c r="H480" s="79" t="str">
        <x:v>ART+QA</x:v>
      </x:c>
      <x:c r="I480" s="79" t="str">
        <x:v>Oui, pour les contrats techniques uniquement</x:v>
      </x:c>
      <x:c r="J480" s="79" t="str">
        <x:v>P2</x:v>
      </x:c>
      <x:c r="K480" s="79" t="str">
        <x:v>https://github.com/darknigthmare/yautja-la-longue-chasse/blob/feat/v131-gauntlet-hologram-dual-view-20261030/app/game/ClanWarGauntletV131.tsx</x:v>
      </x:c>
      <x:c r="L480" s="79" t="str">
        <x:v>Faisceau du projet (JH dédié, autres effet commun)</x:v>
      </x:c>
    </x:row>
    <x:row r="481" ht="29" customHeight="1">
      <x:c r="A481" s="79" t="str">
        <x:v>05_Assets</x:v>
      </x:c>
      <x:c r="B481" s="79" t="n">
        <x:v>481</x:v>
      </x:c>
      <x:c r="C481" s="79" t="str">
        <x:v>phg-anubis-MOVE</x:v>
      </x:c>
      <x:c r="D481" s="79" t="str">
        <x:v>phg-anubis</x:v>
      </x:c>
      <x:c r="E481" s="79" t="str">
        <x:v>Animations 4 états</x:v>
      </x:c>
      <x:c r="F481" s="79" t="str">
        <x:v>PARTIEL · prototype technique</x:v>
      </x:c>
      <x:c r="G481" s="79" t="str">
        <x:v>Compléter lever, ouvrir, projeter, ranger ; aligner au rig et à la caméra</x:v>
      </x:c>
      <x:c r="H481" s="79" t="str">
        <x:v>ART+QA</x:v>
      </x:c>
      <x:c r="I481" s="79" t="str">
        <x:v>Oui, pour les contrats techniques uniquement</x:v>
      </x:c>
      <x:c r="J481" s="79" t="str">
        <x:v>P2</x:v>
      </x:c>
      <x:c r="K481" s="79" t="str">
        <x:v>https://github.com/darknigthmare/yautja-la-longue-chasse/blob/feat/v131-gauntlet-hologram-dual-view-20261030/public/game/assets/v136/gauntlets/phg-anubis/04-lid.svg</x:v>
      </x:c>
      <x:c r="L481" s="79" t="str">
        <x:v>Capot ouvert/fermé ; 3 gestes complets restent à faire</x:v>
      </x:c>
    </x:row>
    <x:row r="482" ht="29" customHeight="1">
      <x:c r="A482" s="79" t="str">
        <x:v>05_Assets</x:v>
      </x:c>
      <x:c r="B482" s="79" t="n">
        <x:v>482</x:v>
      </x:c>
      <x:c r="C482" s="79" t="str">
        <x:v>phg-anubis-SFX</x:v>
      </x:c>
      <x:c r="D482" s="79" t="str">
        <x:v>phg-anubis</x:v>
      </x:c>
      <x:c r="E482" s="79" t="str">
        <x:v>Identité sonore</x:v>
      </x:c>
      <x:c r="F482" s="79" t="str">
        <x:v>PARTIEL · prototype technique</x:v>
      </x:c>
      <x:c r="G482" s="79" t="str">
        <x:v>Distinguer signatures individualisées, écouter et calibrer mixage/mute</x:v>
      </x:c>
      <x:c r="H482" s="79" t="str">
        <x:v>UI/AUDIO</x:v>
      </x:c>
      <x:c r="I482" s="79" t="str">
        <x:v>Oui, pour les contrats techniques uniquement</x:v>
      </x:c>
      <x:c r="J482" s="79" t="str">
        <x:v>P2</x:v>
      </x:c>
      <x:c r="K482" s="79" t="str">
        <x:v>https://github.com/darknigthmare/yautja-la-longue-chasse/blob/feat/v131-gauntlet-hologram-dual-view-20261030/app/game/sound.ts</x:v>
      </x:c>
      <x:c r="L482" s="79" t="str">
        <x:v>Signature sonore par thème (10 profils), source non cinéma</x:v>
      </x:c>
    </x:row>
    <x:row r="483" ht="29" customHeight="1">
      <x:c r="A483" s="79" t="str">
        <x:v>05_Assets</x:v>
      </x:c>
      <x:c r="B483" s="79" t="n">
        <x:v>483</x:v>
      </x:c>
      <x:c r="C483" s="79" t="str">
        <x:v>phg-anubis-HUD</x:v>
      </x:c>
      <x:c r="D483" s="79" t="str">
        <x:v>phg-anubis</x:v>
      </x:c>
      <x:c r="E483" s="79" t="str">
        <x:v>Palette / projection</x:v>
      </x:c>
      <x:c r="F483" s="79" t="str">
        <x:v>PARTIEL · prototype technique</x:v>
      </x:c>
      <x:c r="G483" s="79" t="str">
        <x:v>Tester toutes résolutions, contrôles, sous-modes et cohérence d'infos</x:v>
      </x:c>
      <x:c r="H483" s="79" t="str">
        <x:v>UI/AUDIO</x:v>
      </x:c>
      <x:c r="I483" s="79" t="str">
        <x:v>Oui, pour les contrats techniques uniquement</x:v>
      </x:c>
      <x:c r="J483" s="79" t="str">
        <x:v>P2</x:v>
      </x:c>
      <x:c r="K483" s="79" t="str">
        <x:v>https://github.com/darknigthmare/yautja-la-longue-chasse/blob/feat/v131-gauntlet-hologram-dual-view-20261030/app/game/ClanWarGauntletV131.tsx</x:v>
      </x:c>
      <x:c r="L483" s="79" t="str">
        <x:v>HUD connecté / simulation intacte ; QA visuelle restante</x:v>
      </x:c>
    </x:row>
    <x:row r="484" ht="29" customHeight="1">
      <x:c r="A484" s="79" t="str">
        <x:v>05_Assets</x:v>
      </x:c>
      <x:c r="B484" s="79" t="n">
        <x:v>484</x:v>
      </x:c>
      <x:c r="C484" s="79" t="str">
        <x:v>phg-anubis-QA</x:v>
      </x:c>
      <x:c r="D484" s="79" t="str">
        <x:v>phg-anubis</x:v>
      </x:c>
      <x:c r="E484" s="79" t="str">
        <x:v>Comparaisons + tests</x:v>
      </x:c>
      <x:c r="F484" s="79" t="str">
        <x:v>PARTIEL · prototype technique</x:v>
      </x:c>
      <x:c r="G484" s="79" t="str">
        <x:v>Réaliser contrôles visuels film/rig + E2E jeu, FPS et accessibilité</x:v>
      </x:c>
      <x:c r="H484" s="79" t="str">
        <x:v>ART+QA</x:v>
      </x:c>
      <x:c r="I484" s="79" t="str">
        <x:v>Oui, pour les contrats techniques uniquement</x:v>
      </x:c>
      <x:c r="J484" s="79" t="str">
        <x:v>P2</x:v>
      </x:c>
      <x:c r="K484" s="79" t="str">
        <x:v>https://github.com/darknigthmare/yautja-la-longue-chasse/blob/feat/v131-gauntlet-hologram-dual-view-20261030/tests/gauntlet-archive-studies-v136.test.mjs</x:v>
      </x:c>
      <x:c r="L484" s="79" t="str">
        <x:v>Tests CI source / alpha / type / navigateur autonome ; 1:1 restant</x:v>
      </x:c>
    </x:row>
    <x:row r="485" ht="29" customHeight="1">
      <x:c r="A485" s="79" t="str">
        <x:v>05_Assets</x:v>
      </x:c>
      <x:c r="B485" s="79" t="n">
        <x:v>485</x:v>
      </x:c>
      <x:c r="C485" s="79" t="str">
        <x:v>phg-gladiator-ARM-L</x:v>
      </x:c>
      <x:c r="D485" s="79" t="str">
        <x:v>phg-gladiator</x:v>
      </x:c>
      <x:c r="E485" s="79" t="str">
        <x:v>Bras gauche / poignet</x:v>
      </x:c>
      <x:c r="F485" s="79" t="str">
        <x:v>PARTIEL · prototype technique</x:v>
      </x:c>
      <x:c r="G485" s="79" t="str">
        <x:v>Comparer bras et poignet à plusieurs plans canoniques ; adapter au rig dans toutes poses</x:v>
      </x:c>
      <x:c r="H485" s="79" t="str">
        <x:v>ART+QA</x:v>
      </x:c>
      <x:c r="I485" s="79" t="str">
        <x:v>Oui, pour les contrats techniques uniquement</x:v>
      </x:c>
      <x:c r="J485" s="79" t="str">
        <x:v>P2</x:v>
      </x:c>
      <x:c r="K485" s="79" t="str">
        <x:v>https://github.com/darknigthmare/yautja-la-longue-chasse/blob/feat/v131-gauntlet-hologram-dual-view-20261030/public/game/assets/v136/gauntlets/phg-gladiator/01-arm.svg</x:v>
      </x:c>
      <x:c r="L485" s="79" t="str">
        <x:v>Prototype SVG individuel + alpha PNG</x:v>
      </x:c>
    </x:row>
    <x:row r="486" ht="29" customHeight="1">
      <x:c r="A486" s="79" t="str">
        <x:v>05_Assets</x:v>
      </x:c>
      <x:c r="B486" s="79" t="n">
        <x:v>486</x:v>
      </x:c>
      <x:c r="C486" s="79" t="str">
        <x:v>phg-gladiator-SHELL-C</x:v>
      </x:c>
      <x:c r="D486" s="79" t="str">
        <x:v>phg-gladiator</x:v>
      </x:c>
      <x:c r="E486" s="79" t="str">
        <x:v>Coque fermée</x:v>
      </x:c>
      <x:c r="F486" s="79" t="str">
        <x:v>PARTIEL · prototype technique</x:v>
      </x:c>
      <x:c r="G486" s="79" t="str">
        <x:v>Vérifier forme/proportions/cuirasse 1:1 et textures, pas seulement SVG</x:v>
      </x:c>
      <x:c r="H486" s="79" t="str">
        <x:v>ART+QA</x:v>
      </x:c>
      <x:c r="I486" s="79" t="str">
        <x:v>Oui, pour les contrats techniques uniquement</x:v>
      </x:c>
      <x:c r="J486" s="79" t="str">
        <x:v>P2</x:v>
      </x:c>
      <x:c r="K486" s="79" t="str">
        <x:v>https://github.com/darknigthmare/yautja-la-longue-chasse/blob/feat/v131-gauntlet-hologram-dual-view-20261030/public/game/assets/v136/gauntlets/phg-gladiator/02-shell.svg</x:v>
      </x:c>
      <x:c r="L486" s="79" t="str">
        <x:v>Coque individuelle SVG + PNG, non 1:1</x:v>
      </x:c>
    </x:row>
    <x:row r="487" ht="29" customHeight="1">
      <x:c r="A487" s="79" t="str">
        <x:v>05_Assets</x:v>
      </x:c>
      <x:c r="B487" s="79" t="n">
        <x:v>487</x:v>
      </x:c>
      <x:c r="C487" s="79" t="str">
        <x:v>phg-gladiator-SHELL-O</x:v>
      </x:c>
      <x:c r="D487" s="79" t="str">
        <x:v>phg-gladiator</x:v>
      </x:c>
      <x:c r="E487" s="79" t="str">
        <x:v>Coque ouverte</x:v>
      </x:c>
      <x:c r="F487" s="79" t="str">
        <x:v>PARTIEL · prototype technique</x:v>
      </x:c>
      <x:c r="G487" s="79" t="str">
        <x:v>Mesurer pivot/capots sur film et compléter les états ouvrir-fermer-ranger</x:v>
      </x:c>
      <x:c r="H487" s="79" t="str">
        <x:v>ART+QA</x:v>
      </x:c>
      <x:c r="I487" s="79" t="str">
        <x:v>Oui, pour les contrats techniques uniquement</x:v>
      </x:c>
      <x:c r="J487" s="79" t="str">
        <x:v>P2</x:v>
      </x:c>
      <x:c r="K487" s="79" t="str">
        <x:v>https://github.com/darknigthmare/yautja-la-longue-chasse/blob/feat/v131-gauntlet-hologram-dual-view-20261030/public/game/assets/v136/gauntlets/phg-gladiator/04-lid.svg</x:v>
      </x:c>
      <x:c r="L487" s="79" t="str">
        <x:v>Capot ouvrable en React/CSS, animation partielle</x:v>
      </x:c>
    </x:row>
    <x:row r="488" ht="29" customHeight="1">
      <x:c r="A488" s="79" t="str">
        <x:v>05_Assets</x:v>
      </x:c>
      <x:c r="B488" s="79" t="n">
        <x:v>488</x:v>
      </x:c>
      <x:c r="C488" s="79" t="str">
        <x:v>phg-gladiator-UI-RED</x:v>
      </x:c>
      <x:c r="D488" s="79" t="str">
        <x:v>phg-gladiator</x:v>
      </x:c>
      <x:c r="E488" s="79" t="str">
        <x:v>Contrôle / glyphes</x:v>
      </x:c>
      <x:c r="F488" s="79" t="str">
        <x:v>PARTIEL · prototype technique</x:v>
      </x:c>
      <x:c r="G488" s="79" t="str">
        <x:v>Remplacer symboles conceptuels par graphismes source documentés sans inventer du canon</x:v>
      </x:c>
      <x:c r="H488" s="79" t="str">
        <x:v>ART+QA</x:v>
      </x:c>
      <x:c r="I488" s="79" t="str">
        <x:v>Oui, pour les contrats techniques uniquement</x:v>
      </x:c>
      <x:c r="J488" s="79" t="str">
        <x:v>P2</x:v>
      </x:c>
      <x:c r="K488" s="79" t="str">
        <x:v>https://github.com/darknigthmare/yautja-la-longue-chasse/blob/feat/v131-gauntlet-hologram-dual-view-20261030/public/game/assets/v136/gauntlets/phg-gladiator/03-interface.svg</x:v>
      </x:c>
      <x:c r="L488" s="79" t="str">
        <x:v>Interface distincte en SVG / couleurs non certifiées</x:v>
      </x:c>
    </x:row>
    <x:row r="489" ht="29" customHeight="1">
      <x:c r="A489" s="79" t="str">
        <x:v>05_Assets</x:v>
      </x:c>
      <x:c r="B489" s="79" t="n">
        <x:v>489</x:v>
      </x:c>
      <x:c r="C489" s="79" t="str">
        <x:v>phg-gladiator-RIBS</x:v>
      </x:c>
      <x:c r="D489" s="79" t="str">
        <x:v>phg-gladiator</x:v>
      </x:c>
      <x:c r="E489" s="79" t="str">
        <x:v>Ribures et mécanique</x:v>
      </x:c>
      <x:c r="F489" s="79" t="str">
        <x:v>OUVERT · séparation des sous-pièces</x:v>
      </x:c>
      <x:c r="G489" s="79" t="str">
        <x:v>Découper les pièces mécaniques, valider attaches et reliefs individuels</x:v>
      </x:c>
      <x:c r="H489" s="79" t="str">
        <x:v>ART+QA</x:v>
      </x:c>
      <x:c r="I489" s="79" t="str">
        <x:v>Oui, pour les contrats techniques uniquement</x:v>
      </x:c>
      <x:c r="J489" s="79" t="str">
        <x:v>P2</x:v>
      </x:c>
      <x:c r="K489" s="79" t="str">
        <x:v>https://github.com/darknigthmare/yautja-la-longue-chasse/blob/feat/v131-gauntlet-hologram-dual-view-20261030/public/game/assets/v136/gauntlets/phg-gladiator/02-shell.svg</x:v>
      </x:c>
      <x:c r="L489" s="79" t="str">
        <x:v>Détails de coque présents, sous-pièces non séparées</x:v>
      </x:c>
    </x:row>
    <x:row r="490" ht="29" customHeight="1">
      <x:c r="A490" s="79" t="str">
        <x:v>05_Assets</x:v>
      </x:c>
      <x:c r="B490" s="79" t="n">
        <x:v>490</x:v>
      </x:c>
      <x:c r="C490" s="79" t="str">
        <x:v>phg-gladiator-BEAM</x:v>
      </x:c>
      <x:c r="D490" s="79" t="str">
        <x:v>phg-gladiator</x:v>
      </x:c>
      <x:c r="E490" s="79" t="str">
        <x:v>Émetteur holographique</x:v>
      </x:c>
      <x:c r="F490" s="79" t="str">
        <x:v>PARTIEL · prototype technique</x:v>
      </x:c>
      <x:c r="G490" s="79" t="str">
        <x:v>Conserver fonctionnalité HUD et produire la signature holographique de chaque modèle</x:v>
      </x:c>
      <x:c r="H490" s="79" t="str">
        <x:v>ART+QA</x:v>
      </x:c>
      <x:c r="I490" s="79" t="str">
        <x:v>Oui, pour les contrats techniques uniquement</x:v>
      </x:c>
      <x:c r="J490" s="79" t="str">
        <x:v>P2</x:v>
      </x:c>
      <x:c r="K490" s="79" t="str">
        <x:v>https://github.com/darknigthmare/yautja-la-longue-chasse/blob/feat/v131-gauntlet-hologram-dual-view-20261030/app/game/ClanWarGauntletV131.tsx</x:v>
      </x:c>
      <x:c r="L490" s="79" t="str">
        <x:v>Faisceau du projet (JH dédié, autres effet commun)</x:v>
      </x:c>
    </x:row>
    <x:row r="491" ht="29" customHeight="1">
      <x:c r="A491" s="79" t="str">
        <x:v>05_Assets</x:v>
      </x:c>
      <x:c r="B491" s="79" t="n">
        <x:v>491</x:v>
      </x:c>
      <x:c r="C491" s="79" t="str">
        <x:v>phg-gladiator-MOVE</x:v>
      </x:c>
      <x:c r="D491" s="79" t="str">
        <x:v>phg-gladiator</x:v>
      </x:c>
      <x:c r="E491" s="79" t="str">
        <x:v>Animations 4 états</x:v>
      </x:c>
      <x:c r="F491" s="79" t="str">
        <x:v>PARTIEL · prototype technique</x:v>
      </x:c>
      <x:c r="G491" s="79" t="str">
        <x:v>Compléter lever, ouvrir, projeter, ranger ; aligner au rig et à la caméra</x:v>
      </x:c>
      <x:c r="H491" s="79" t="str">
        <x:v>ART+QA</x:v>
      </x:c>
      <x:c r="I491" s="79" t="str">
        <x:v>Oui, pour les contrats techniques uniquement</x:v>
      </x:c>
      <x:c r="J491" s="79" t="str">
        <x:v>P2</x:v>
      </x:c>
      <x:c r="K491" s="79" t="str">
        <x:v>https://github.com/darknigthmare/yautja-la-longue-chasse/blob/feat/v131-gauntlet-hologram-dual-view-20261030/public/game/assets/v136/gauntlets/phg-gladiator/04-lid.svg</x:v>
      </x:c>
      <x:c r="L491" s="79" t="str">
        <x:v>Capot ouvert/fermé ; 3 gestes complets restent à faire</x:v>
      </x:c>
    </x:row>
    <x:row r="492" ht="29" customHeight="1">
      <x:c r="A492" s="79" t="str">
        <x:v>05_Assets</x:v>
      </x:c>
      <x:c r="B492" s="79" t="n">
        <x:v>492</x:v>
      </x:c>
      <x:c r="C492" s="79" t="str">
        <x:v>phg-gladiator-SFX</x:v>
      </x:c>
      <x:c r="D492" s="79" t="str">
        <x:v>phg-gladiator</x:v>
      </x:c>
      <x:c r="E492" s="79" t="str">
        <x:v>Identité sonore</x:v>
      </x:c>
      <x:c r="F492" s="79" t="str">
        <x:v>PARTIEL · prototype technique</x:v>
      </x:c>
      <x:c r="G492" s="79" t="str">
        <x:v>Distinguer signatures individualisées, écouter et calibrer mixage/mute</x:v>
      </x:c>
      <x:c r="H492" s="79" t="str">
        <x:v>UI/AUDIO</x:v>
      </x:c>
      <x:c r="I492" s="79" t="str">
        <x:v>Oui, pour les contrats techniques uniquement</x:v>
      </x:c>
      <x:c r="J492" s="79" t="str">
        <x:v>P2</x:v>
      </x:c>
      <x:c r="K492" s="79" t="str">
        <x:v>https://github.com/darknigthmare/yautja-la-longue-chasse/blob/feat/v131-gauntlet-hologram-dual-view-20261030/app/game/sound.ts</x:v>
      </x:c>
      <x:c r="L492" s="79" t="str">
        <x:v>Signature sonore par thème (10 profils), source non cinéma</x:v>
      </x:c>
    </x:row>
    <x:row r="493" ht="29" customHeight="1">
      <x:c r="A493" s="79" t="str">
        <x:v>05_Assets</x:v>
      </x:c>
      <x:c r="B493" s="79" t="n">
        <x:v>493</x:v>
      </x:c>
      <x:c r="C493" s="79" t="str">
        <x:v>phg-gladiator-HUD</x:v>
      </x:c>
      <x:c r="D493" s="79" t="str">
        <x:v>phg-gladiator</x:v>
      </x:c>
      <x:c r="E493" s="79" t="str">
        <x:v>Palette / projection</x:v>
      </x:c>
      <x:c r="F493" s="79" t="str">
        <x:v>PARTIEL · prototype technique</x:v>
      </x:c>
      <x:c r="G493" s="79" t="str">
        <x:v>Tester toutes résolutions, contrôles, sous-modes et cohérence d'infos</x:v>
      </x:c>
      <x:c r="H493" s="79" t="str">
        <x:v>UI/AUDIO</x:v>
      </x:c>
      <x:c r="I493" s="79" t="str">
        <x:v>Oui, pour les contrats techniques uniquement</x:v>
      </x:c>
      <x:c r="J493" s="79" t="str">
        <x:v>P2</x:v>
      </x:c>
      <x:c r="K493" s="79" t="str">
        <x:v>https://github.com/darknigthmare/yautja-la-longue-chasse/blob/feat/v131-gauntlet-hologram-dual-view-20261030/app/game/ClanWarGauntletV131.tsx</x:v>
      </x:c>
      <x:c r="L493" s="79" t="str">
        <x:v>HUD connecté / simulation intacte ; QA visuelle restante</x:v>
      </x:c>
    </x:row>
    <x:row r="494" ht="29" customHeight="1">
      <x:c r="A494" s="79" t="str">
        <x:v>05_Assets</x:v>
      </x:c>
      <x:c r="B494" s="79" t="n">
        <x:v>494</x:v>
      </x:c>
      <x:c r="C494" s="79" t="str">
        <x:v>phg-gladiator-QA</x:v>
      </x:c>
      <x:c r="D494" s="79" t="str">
        <x:v>phg-gladiator</x:v>
      </x:c>
      <x:c r="E494" s="79" t="str">
        <x:v>Comparaisons + tests</x:v>
      </x:c>
      <x:c r="F494" s="79" t="str">
        <x:v>PARTIEL · prototype technique</x:v>
      </x:c>
      <x:c r="G494" s="79" t="str">
        <x:v>Réaliser contrôles visuels film/rig + E2E jeu, FPS et accessibilité</x:v>
      </x:c>
      <x:c r="H494" s="79" t="str">
        <x:v>ART+QA</x:v>
      </x:c>
      <x:c r="I494" s="79" t="str">
        <x:v>Oui, pour les contrats techniques uniquement</x:v>
      </x:c>
      <x:c r="J494" s="79" t="str">
        <x:v>P2</x:v>
      </x:c>
      <x:c r="K494" s="79" t="str">
        <x:v>https://github.com/darknigthmare/yautja-la-longue-chasse/blob/feat/v131-gauntlet-hologram-dual-view-20261030/tests/gauntlet-archive-studies-v136.test.mjs</x:v>
      </x:c>
      <x:c r="L494" s="79" t="str">
        <x:v>Tests CI source / alpha / type / navigateur autonome ; 1:1 restant</x:v>
      </x:c>
    </x:row>
    <x:row r="495" ht="29" customHeight="1">
      <x:c r="A495" s="79" t="str">
        <x:v>05_Assets</x:v>
      </x:c>
      <x:c r="B495" s="79" t="n">
        <x:v>495</x:v>
      </x:c>
      <x:c r="C495" s="79" t="str">
        <x:v>scarface-ARM-L</x:v>
      </x:c>
      <x:c r="D495" s="79" t="str">
        <x:v>scarface</x:v>
      </x:c>
      <x:c r="E495" s="79" t="str">
        <x:v>Bras gauche / poignet</x:v>
      </x:c>
      <x:c r="F495" s="79" t="str">
        <x:v>PARTIEL · prototype technique</x:v>
      </x:c>
      <x:c r="G495" s="79" t="str">
        <x:v>Comparer bras et poignet à plusieurs plans canoniques ; adapter au rig dans toutes poses</x:v>
      </x:c>
      <x:c r="H495" s="79" t="str">
        <x:v>ART+QA</x:v>
      </x:c>
      <x:c r="I495" s="79" t="str">
        <x:v>Oui, pour les contrats techniques uniquement</x:v>
      </x:c>
      <x:c r="J495" s="79" t="str">
        <x:v>P2</x:v>
      </x:c>
      <x:c r="K495" s="79" t="str">
        <x:v>https://github.com/darknigthmare/yautja-la-longue-chasse/blob/feat/v131-gauntlet-hologram-dual-view-20261030/public/game/assets/v136/gauntlets/scarface/01-arm.svg</x:v>
      </x:c>
      <x:c r="L495" s="79" t="str">
        <x:v>Prototype SVG individuel + alpha PNG</x:v>
      </x:c>
    </x:row>
    <x:row r="496" ht="29" customHeight="1">
      <x:c r="A496" s="79" t="str">
        <x:v>05_Assets</x:v>
      </x:c>
      <x:c r="B496" s="79" t="n">
        <x:v>496</x:v>
      </x:c>
      <x:c r="C496" s="79" t="str">
        <x:v>scarface-SHELL-C</x:v>
      </x:c>
      <x:c r="D496" s="79" t="str">
        <x:v>scarface</x:v>
      </x:c>
      <x:c r="E496" s="79" t="str">
        <x:v>Coque fermée</x:v>
      </x:c>
      <x:c r="F496" s="79" t="str">
        <x:v>PARTIEL · prototype technique</x:v>
      </x:c>
      <x:c r="G496" s="79" t="str">
        <x:v>Vérifier forme/proportions/cuirasse 1:1 et textures, pas seulement SVG</x:v>
      </x:c>
      <x:c r="H496" s="79" t="str">
        <x:v>ART+QA</x:v>
      </x:c>
      <x:c r="I496" s="79" t="str">
        <x:v>Oui, pour les contrats techniques uniquement</x:v>
      </x:c>
      <x:c r="J496" s="79" t="str">
        <x:v>P2</x:v>
      </x:c>
      <x:c r="K496" s="79" t="str">
        <x:v>https://github.com/darknigthmare/yautja-la-longue-chasse/blob/feat/v131-gauntlet-hologram-dual-view-20261030/public/game/assets/v136/gauntlets/scarface/02-shell.svg</x:v>
      </x:c>
      <x:c r="L496" s="79" t="str">
        <x:v>Coque individuelle SVG + PNG, non 1:1</x:v>
      </x:c>
    </x:row>
    <x:row r="497" ht="29" customHeight="1">
      <x:c r="A497" s="79" t="str">
        <x:v>05_Assets</x:v>
      </x:c>
      <x:c r="B497" s="79" t="n">
        <x:v>497</x:v>
      </x:c>
      <x:c r="C497" s="79" t="str">
        <x:v>scarface-SHELL-O</x:v>
      </x:c>
      <x:c r="D497" s="79" t="str">
        <x:v>scarface</x:v>
      </x:c>
      <x:c r="E497" s="79" t="str">
        <x:v>Coque ouverte</x:v>
      </x:c>
      <x:c r="F497" s="79" t="str">
        <x:v>PARTIEL · prototype technique</x:v>
      </x:c>
      <x:c r="G497" s="79" t="str">
        <x:v>Mesurer pivot/capots sur film et compléter les états ouvrir-fermer-ranger</x:v>
      </x:c>
      <x:c r="H497" s="79" t="str">
        <x:v>ART+QA</x:v>
      </x:c>
      <x:c r="I497" s="79" t="str">
        <x:v>Oui, pour les contrats techniques uniquement</x:v>
      </x:c>
      <x:c r="J497" s="79" t="str">
        <x:v>P2</x:v>
      </x:c>
      <x:c r="K497" s="79" t="str">
        <x:v>https://github.com/darknigthmare/yautja-la-longue-chasse/blob/feat/v131-gauntlet-hologram-dual-view-20261030/public/game/assets/v136/gauntlets/scarface/04-lid.svg</x:v>
      </x:c>
      <x:c r="L497" s="79" t="str">
        <x:v>Capot ouvrable en React/CSS, animation partielle</x:v>
      </x:c>
    </x:row>
    <x:row r="498" ht="29" customHeight="1">
      <x:c r="A498" s="79" t="str">
        <x:v>05_Assets</x:v>
      </x:c>
      <x:c r="B498" s="79" t="n">
        <x:v>498</x:v>
      </x:c>
      <x:c r="C498" s="79" t="str">
        <x:v>scarface-UI-RED</x:v>
      </x:c>
      <x:c r="D498" s="79" t="str">
        <x:v>scarface</x:v>
      </x:c>
      <x:c r="E498" s="79" t="str">
        <x:v>Contrôle / glyphes</x:v>
      </x:c>
      <x:c r="F498" s="79" t="str">
        <x:v>PARTIEL · prototype technique</x:v>
      </x:c>
      <x:c r="G498" s="79" t="str">
        <x:v>Remplacer symboles conceptuels par graphismes source documentés sans inventer du canon</x:v>
      </x:c>
      <x:c r="H498" s="79" t="str">
        <x:v>ART+QA</x:v>
      </x:c>
      <x:c r="I498" s="79" t="str">
        <x:v>Oui, pour les contrats techniques uniquement</x:v>
      </x:c>
      <x:c r="J498" s="79" t="str">
        <x:v>P2</x:v>
      </x:c>
      <x:c r="K498" s="79" t="str">
        <x:v>https://github.com/darknigthmare/yautja-la-longue-chasse/blob/feat/v131-gauntlet-hologram-dual-view-20261030/public/game/assets/v136/gauntlets/scarface/03-interface.svg</x:v>
      </x:c>
      <x:c r="L498" s="79" t="str">
        <x:v>Interface distincte en SVG / couleurs non certifiées</x:v>
      </x:c>
    </x:row>
    <x:row r="499" ht="29" customHeight="1">
      <x:c r="A499" s="79" t="str">
        <x:v>05_Assets</x:v>
      </x:c>
      <x:c r="B499" s="79" t="n">
        <x:v>499</x:v>
      </x:c>
      <x:c r="C499" s="79" t="str">
        <x:v>scarface-RIBS</x:v>
      </x:c>
      <x:c r="D499" s="79" t="str">
        <x:v>scarface</x:v>
      </x:c>
      <x:c r="E499" s="79" t="str">
        <x:v>Ribures et mécanique</x:v>
      </x:c>
      <x:c r="F499" s="79" t="str">
        <x:v>OUVERT · séparation des sous-pièces</x:v>
      </x:c>
      <x:c r="G499" s="79" t="str">
        <x:v>Découper les pièces mécaniques, valider attaches et reliefs individuels</x:v>
      </x:c>
      <x:c r="H499" s="79" t="str">
        <x:v>ART+QA</x:v>
      </x:c>
      <x:c r="I499" s="79" t="str">
        <x:v>Oui, pour les contrats techniques uniquement</x:v>
      </x:c>
      <x:c r="J499" s="79" t="str">
        <x:v>P2</x:v>
      </x:c>
      <x:c r="K499" s="79" t="str">
        <x:v>https://github.com/darknigthmare/yautja-la-longue-chasse/blob/feat/v131-gauntlet-hologram-dual-view-20261030/public/game/assets/v136/gauntlets/scarface/02-shell.svg</x:v>
      </x:c>
      <x:c r="L499" s="79" t="str">
        <x:v>Détails de coque présents, sous-pièces non séparées</x:v>
      </x:c>
    </x:row>
    <x:row r="500" ht="29" customHeight="1">
      <x:c r="A500" s="79" t="str">
        <x:v>05_Assets</x:v>
      </x:c>
      <x:c r="B500" s="79" t="n">
        <x:v>500</x:v>
      </x:c>
      <x:c r="C500" s="79" t="str">
        <x:v>scarface-BEAM</x:v>
      </x:c>
      <x:c r="D500" s="79" t="str">
        <x:v>scarface</x:v>
      </x:c>
      <x:c r="E500" s="79" t="str">
        <x:v>Émetteur holographique</x:v>
      </x:c>
      <x:c r="F500" s="79" t="str">
        <x:v>PARTIEL · prototype technique</x:v>
      </x:c>
      <x:c r="G500" s="79" t="str">
        <x:v>Conserver fonctionnalité HUD et produire la signature holographique de chaque modèle</x:v>
      </x:c>
      <x:c r="H500" s="79" t="str">
        <x:v>ART+QA</x:v>
      </x:c>
      <x:c r="I500" s="79" t="str">
        <x:v>Oui, pour les contrats techniques uniquement</x:v>
      </x:c>
      <x:c r="J500" s="79" t="str">
        <x:v>P2</x:v>
      </x:c>
      <x:c r="K500" s="79" t="str">
        <x:v>https://github.com/darknigthmare/yautja-la-longue-chasse/blob/feat/v131-gauntlet-hologram-dual-view-20261030/app/game/ClanWarGauntletV131.tsx</x:v>
      </x:c>
      <x:c r="L500" s="79" t="str">
        <x:v>Faisceau du projet (JH dédié, autres effet commun)</x:v>
      </x:c>
    </x:row>
    <x:row r="501" ht="29" customHeight="1">
      <x:c r="A501" s="79" t="str">
        <x:v>05_Assets</x:v>
      </x:c>
      <x:c r="B501" s="79" t="n">
        <x:v>501</x:v>
      </x:c>
      <x:c r="C501" s="79" t="str">
        <x:v>scarface-MOVE</x:v>
      </x:c>
      <x:c r="D501" s="79" t="str">
        <x:v>scarface</x:v>
      </x:c>
      <x:c r="E501" s="79" t="str">
        <x:v>Animations 4 états</x:v>
      </x:c>
      <x:c r="F501" s="79" t="str">
        <x:v>PARTIEL · prototype technique</x:v>
      </x:c>
      <x:c r="G501" s="79" t="str">
        <x:v>Compléter lever, ouvrir, projeter, ranger ; aligner au rig et à la caméra</x:v>
      </x:c>
      <x:c r="H501" s="79" t="str">
        <x:v>ART+QA</x:v>
      </x:c>
      <x:c r="I501" s="79" t="str">
        <x:v>Oui, pour les contrats techniques uniquement</x:v>
      </x:c>
      <x:c r="J501" s="79" t="str">
        <x:v>P2</x:v>
      </x:c>
      <x:c r="K501" s="79" t="str">
        <x:v>https://github.com/darknigthmare/yautja-la-longue-chasse/blob/feat/v131-gauntlet-hologram-dual-view-20261030/public/game/assets/v136/gauntlets/scarface/04-lid.svg</x:v>
      </x:c>
      <x:c r="L501" s="79" t="str">
        <x:v>Capot ouvert/fermé ; 3 gestes complets restent à faire</x:v>
      </x:c>
    </x:row>
    <x:row r="502" ht="29" customHeight="1">
      <x:c r="A502" s="79" t="str">
        <x:v>05_Assets</x:v>
      </x:c>
      <x:c r="B502" s="79" t="n">
        <x:v>502</x:v>
      </x:c>
      <x:c r="C502" s="79" t="str">
        <x:v>scarface-SFX</x:v>
      </x:c>
      <x:c r="D502" s="79" t="str">
        <x:v>scarface</x:v>
      </x:c>
      <x:c r="E502" s="79" t="str">
        <x:v>Identité sonore</x:v>
      </x:c>
      <x:c r="F502" s="79" t="str">
        <x:v>PARTIEL · prototype technique</x:v>
      </x:c>
      <x:c r="G502" s="79" t="str">
        <x:v>Distinguer signatures individualisées, écouter et calibrer mixage/mute</x:v>
      </x:c>
      <x:c r="H502" s="79" t="str">
        <x:v>UI/AUDIO</x:v>
      </x:c>
      <x:c r="I502" s="79" t="str">
        <x:v>Oui, pour les contrats techniques uniquement</x:v>
      </x:c>
      <x:c r="J502" s="79" t="str">
        <x:v>P2</x:v>
      </x:c>
      <x:c r="K502" s="79" t="str">
        <x:v>https://github.com/darknigthmare/yautja-la-longue-chasse/blob/feat/v131-gauntlet-hologram-dual-view-20261030/app/game/sound.ts</x:v>
      </x:c>
      <x:c r="L502" s="79" t="str">
        <x:v>Signature sonore par thème (10 profils), source non cinéma</x:v>
      </x:c>
    </x:row>
    <x:row r="503" ht="29" customHeight="1">
      <x:c r="A503" s="79" t="str">
        <x:v>05_Assets</x:v>
      </x:c>
      <x:c r="B503" s="79" t="n">
        <x:v>503</x:v>
      </x:c>
      <x:c r="C503" s="79" t="str">
        <x:v>scarface-HUD</x:v>
      </x:c>
      <x:c r="D503" s="79" t="str">
        <x:v>scarface</x:v>
      </x:c>
      <x:c r="E503" s="79" t="str">
        <x:v>Palette / projection</x:v>
      </x:c>
      <x:c r="F503" s="79" t="str">
        <x:v>PARTIEL · prototype technique</x:v>
      </x:c>
      <x:c r="G503" s="79" t="str">
        <x:v>Tester toutes résolutions, contrôles, sous-modes et cohérence d'infos</x:v>
      </x:c>
      <x:c r="H503" s="79" t="str">
        <x:v>UI/AUDIO</x:v>
      </x:c>
      <x:c r="I503" s="79" t="str">
        <x:v>Oui, pour les contrats techniques uniquement</x:v>
      </x:c>
      <x:c r="J503" s="79" t="str">
        <x:v>P2</x:v>
      </x:c>
      <x:c r="K503" s="79" t="str">
        <x:v>https://github.com/darknigthmare/yautja-la-longue-chasse/blob/feat/v131-gauntlet-hologram-dual-view-20261030/app/game/ClanWarGauntletV131.tsx</x:v>
      </x:c>
      <x:c r="L503" s="79" t="str">
        <x:v>HUD connecté / simulation intacte ; QA visuelle restante</x:v>
      </x:c>
    </x:row>
    <x:row r="504" ht="29" customHeight="1">
      <x:c r="A504" s="79" t="str">
        <x:v>05_Assets</x:v>
      </x:c>
      <x:c r="B504" s="79" t="n">
        <x:v>504</x:v>
      </x:c>
      <x:c r="C504" s="79" t="str">
        <x:v>scarface-QA</x:v>
      </x:c>
      <x:c r="D504" s="79" t="str">
        <x:v>scarface</x:v>
      </x:c>
      <x:c r="E504" s="79" t="str">
        <x:v>Comparaisons + tests</x:v>
      </x:c>
      <x:c r="F504" s="79" t="str">
        <x:v>PARTIEL · prototype technique</x:v>
      </x:c>
      <x:c r="G504" s="79" t="str">
        <x:v>Réaliser contrôles visuels film/rig + E2E jeu, FPS et accessibilité</x:v>
      </x:c>
      <x:c r="H504" s="79" t="str">
        <x:v>ART+QA</x:v>
      </x:c>
      <x:c r="I504" s="79" t="str">
        <x:v>Oui, pour les contrats techniques uniquement</x:v>
      </x:c>
      <x:c r="J504" s="79" t="str">
        <x:v>P2</x:v>
      </x:c>
      <x:c r="K504" s="79" t="str">
        <x:v>https://github.com/darknigthmare/yautja-la-longue-chasse/blob/feat/v131-gauntlet-hologram-dual-view-20261030/tests/gauntlet-archive-studies-v136.test.mjs</x:v>
      </x:c>
      <x:c r="L504" s="79" t="str">
        <x:v>Tests CI source / alpha / type / navigateur autonome ; 1:1 restant</x:v>
      </x:c>
    </x:row>
    <x:row r="505" ht="29" customHeight="1">
      <x:c r="A505" s="79" t="str">
        <x:v>05_Assets</x:v>
      </x:c>
      <x:c r="B505" s="79" t="n">
        <x:v>505</x:v>
      </x:c>
      <x:c r="C505" s="79" t="str">
        <x:v>stone-heart-ARM-L</x:v>
      </x:c>
      <x:c r="D505" s="79" t="str">
        <x:v>stone-heart</x:v>
      </x:c>
      <x:c r="E505" s="79" t="str">
        <x:v>Bras gauche / poignet</x:v>
      </x:c>
      <x:c r="F505" s="79" t="str">
        <x:v>PARTIEL · prototype technique</x:v>
      </x:c>
      <x:c r="G505" s="79" t="str">
        <x:v>Comparer bras et poignet à plusieurs plans canoniques ; adapter au rig dans toutes poses</x:v>
      </x:c>
      <x:c r="H505" s="79" t="str">
        <x:v>ART+QA</x:v>
      </x:c>
      <x:c r="I505" s="79" t="str">
        <x:v>Oui, pour les contrats techniques uniquement</x:v>
      </x:c>
      <x:c r="J505" s="79" t="str">
        <x:v>P2</x:v>
      </x:c>
      <x:c r="K505" s="79" t="str">
        <x:v>https://github.com/darknigthmare/yautja-la-longue-chasse/blob/feat/v131-gauntlet-hologram-dual-view-20261030/public/game/assets/v136/gauntlets/stone-heart/01-arm.svg</x:v>
      </x:c>
      <x:c r="L505" s="79" t="str">
        <x:v>Prototype SVG individuel + alpha PNG</x:v>
      </x:c>
    </x:row>
    <x:row r="506" ht="29" customHeight="1">
      <x:c r="A506" s="79" t="str">
        <x:v>05_Assets</x:v>
      </x:c>
      <x:c r="B506" s="79" t="n">
        <x:v>506</x:v>
      </x:c>
      <x:c r="C506" s="79" t="str">
        <x:v>stone-heart-SHELL-C</x:v>
      </x:c>
      <x:c r="D506" s="79" t="str">
        <x:v>stone-heart</x:v>
      </x:c>
      <x:c r="E506" s="79" t="str">
        <x:v>Coque fermée</x:v>
      </x:c>
      <x:c r="F506" s="79" t="str">
        <x:v>PARTIEL · prototype technique</x:v>
      </x:c>
      <x:c r="G506" s="79" t="str">
        <x:v>Vérifier forme/proportions/cuirasse 1:1 et textures, pas seulement SVG</x:v>
      </x:c>
      <x:c r="H506" s="79" t="str">
        <x:v>ART+QA</x:v>
      </x:c>
      <x:c r="I506" s="79" t="str">
        <x:v>Oui, pour les contrats techniques uniquement</x:v>
      </x:c>
      <x:c r="J506" s="79" t="str">
        <x:v>P2</x:v>
      </x:c>
      <x:c r="K506" s="79" t="str">
        <x:v>https://github.com/darknigthmare/yautja-la-longue-chasse/blob/feat/v131-gauntlet-hologram-dual-view-20261030/public/game/assets/v136/gauntlets/stone-heart/02-shell.svg</x:v>
      </x:c>
      <x:c r="L506" s="79" t="str">
        <x:v>Coque individuelle SVG + PNG, non 1:1</x:v>
      </x:c>
    </x:row>
    <x:row r="507" ht="29" customHeight="1">
      <x:c r="A507" s="79" t="str">
        <x:v>05_Assets</x:v>
      </x:c>
      <x:c r="B507" s="79" t="n">
        <x:v>507</x:v>
      </x:c>
      <x:c r="C507" s="79" t="str">
        <x:v>stone-heart-SHELL-O</x:v>
      </x:c>
      <x:c r="D507" s="79" t="str">
        <x:v>stone-heart</x:v>
      </x:c>
      <x:c r="E507" s="79" t="str">
        <x:v>Coque ouverte</x:v>
      </x:c>
      <x:c r="F507" s="79" t="str">
        <x:v>PARTIEL · prototype technique</x:v>
      </x:c>
      <x:c r="G507" s="79" t="str">
        <x:v>Mesurer pivot/capots sur film et compléter les états ouvrir-fermer-ranger</x:v>
      </x:c>
      <x:c r="H507" s="79" t="str">
        <x:v>ART+QA</x:v>
      </x:c>
      <x:c r="I507" s="79" t="str">
        <x:v>Oui, pour les contrats techniques uniquement</x:v>
      </x:c>
      <x:c r="J507" s="79" t="str">
        <x:v>P2</x:v>
      </x:c>
      <x:c r="K507" s="79" t="str">
        <x:v>https://github.com/darknigthmare/yautja-la-longue-chasse/blob/feat/v131-gauntlet-hologram-dual-view-20261030/public/game/assets/v136/gauntlets/stone-heart/04-lid.svg</x:v>
      </x:c>
      <x:c r="L507" s="79" t="str">
        <x:v>Capot ouvrable en React/CSS, animation partielle</x:v>
      </x:c>
    </x:row>
    <x:row r="508" ht="29" customHeight="1">
      <x:c r="A508" s="79" t="str">
        <x:v>05_Assets</x:v>
      </x:c>
      <x:c r="B508" s="79" t="n">
        <x:v>508</x:v>
      </x:c>
      <x:c r="C508" s="79" t="str">
        <x:v>stone-heart-UI-RED</x:v>
      </x:c>
      <x:c r="D508" s="79" t="str">
        <x:v>stone-heart</x:v>
      </x:c>
      <x:c r="E508" s="79" t="str">
        <x:v>Contrôle / glyphes</x:v>
      </x:c>
      <x:c r="F508" s="79" t="str">
        <x:v>PARTIEL · prototype technique</x:v>
      </x:c>
      <x:c r="G508" s="79" t="str">
        <x:v>Remplacer symboles conceptuels par graphismes source documentés sans inventer du canon</x:v>
      </x:c>
      <x:c r="H508" s="79" t="str">
        <x:v>ART+QA</x:v>
      </x:c>
      <x:c r="I508" s="79" t="str">
        <x:v>Oui, pour les contrats techniques uniquement</x:v>
      </x:c>
      <x:c r="J508" s="79" t="str">
        <x:v>P2</x:v>
      </x:c>
      <x:c r="K508" s="79" t="str">
        <x:v>https://github.com/darknigthmare/yautja-la-longue-chasse/blob/feat/v131-gauntlet-hologram-dual-view-20261030/public/game/assets/v136/gauntlets/stone-heart/03-interface.svg</x:v>
      </x:c>
      <x:c r="L508" s="79" t="str">
        <x:v>Interface distincte en SVG / couleurs non certifiées</x:v>
      </x:c>
    </x:row>
    <x:row r="509" ht="29" customHeight="1">
      <x:c r="A509" s="79" t="str">
        <x:v>05_Assets</x:v>
      </x:c>
      <x:c r="B509" s="79" t="n">
        <x:v>509</x:v>
      </x:c>
      <x:c r="C509" s="79" t="str">
        <x:v>stone-heart-RIBS</x:v>
      </x:c>
      <x:c r="D509" s="79" t="str">
        <x:v>stone-heart</x:v>
      </x:c>
      <x:c r="E509" s="79" t="str">
        <x:v>Ribures et mécanique</x:v>
      </x:c>
      <x:c r="F509" s="79" t="str">
        <x:v>OUVERT · séparation des sous-pièces</x:v>
      </x:c>
      <x:c r="G509" s="79" t="str">
        <x:v>Découper les pièces mécaniques, valider attaches et reliefs individuels</x:v>
      </x:c>
      <x:c r="H509" s="79" t="str">
        <x:v>ART+QA</x:v>
      </x:c>
      <x:c r="I509" s="79" t="str">
        <x:v>Oui, pour les contrats techniques uniquement</x:v>
      </x:c>
      <x:c r="J509" s="79" t="str">
        <x:v>P2</x:v>
      </x:c>
      <x:c r="K509" s="79" t="str">
        <x:v>https://github.com/darknigthmare/yautja-la-longue-chasse/blob/feat/v131-gauntlet-hologram-dual-view-20261030/public/game/assets/v136/gauntlets/stone-heart/02-shell.svg</x:v>
      </x:c>
      <x:c r="L509" s="79" t="str">
        <x:v>Détails de coque présents, sous-pièces non séparées</x:v>
      </x:c>
    </x:row>
    <x:row r="510" ht="29" customHeight="1">
      <x:c r="A510" s="79" t="str">
        <x:v>05_Assets</x:v>
      </x:c>
      <x:c r="B510" s="79" t="n">
        <x:v>510</x:v>
      </x:c>
      <x:c r="C510" s="79" t="str">
        <x:v>stone-heart-BEAM</x:v>
      </x:c>
      <x:c r="D510" s="79" t="str">
        <x:v>stone-heart</x:v>
      </x:c>
      <x:c r="E510" s="79" t="str">
        <x:v>Émetteur holographique</x:v>
      </x:c>
      <x:c r="F510" s="79" t="str">
        <x:v>PARTIEL · prototype technique</x:v>
      </x:c>
      <x:c r="G510" s="79" t="str">
        <x:v>Conserver fonctionnalité HUD et produire la signature holographique de chaque modèle</x:v>
      </x:c>
      <x:c r="H510" s="79" t="str">
        <x:v>ART+QA</x:v>
      </x:c>
      <x:c r="I510" s="79" t="str">
        <x:v>Oui, pour les contrats techniques uniquement</x:v>
      </x:c>
      <x:c r="J510" s="79" t="str">
        <x:v>P2</x:v>
      </x:c>
      <x:c r="K510" s="79" t="str">
        <x:v>https://github.com/darknigthmare/yautja-la-longue-chasse/blob/feat/v131-gauntlet-hologram-dual-view-20261030/app/game/ClanWarGauntletV131.tsx</x:v>
      </x:c>
      <x:c r="L510" s="79" t="str">
        <x:v>Faisceau du projet (JH dédié, autres effet commun)</x:v>
      </x:c>
    </x:row>
    <x:row r="511" ht="29" customHeight="1">
      <x:c r="A511" s="79" t="str">
        <x:v>05_Assets</x:v>
      </x:c>
      <x:c r="B511" s="79" t="n">
        <x:v>511</x:v>
      </x:c>
      <x:c r="C511" s="79" t="str">
        <x:v>stone-heart-MOVE</x:v>
      </x:c>
      <x:c r="D511" s="79" t="str">
        <x:v>stone-heart</x:v>
      </x:c>
      <x:c r="E511" s="79" t="str">
        <x:v>Animations 4 états</x:v>
      </x:c>
      <x:c r="F511" s="79" t="str">
        <x:v>PARTIEL · prototype technique</x:v>
      </x:c>
      <x:c r="G511" s="79" t="str">
        <x:v>Compléter lever, ouvrir, projeter, ranger ; aligner au rig et à la caméra</x:v>
      </x:c>
      <x:c r="H511" s="79" t="str">
        <x:v>ART+QA</x:v>
      </x:c>
      <x:c r="I511" s="79" t="str">
        <x:v>Oui, pour les contrats techniques uniquement</x:v>
      </x:c>
      <x:c r="J511" s="79" t="str">
        <x:v>P2</x:v>
      </x:c>
      <x:c r="K511" s="79" t="str">
        <x:v>https://github.com/darknigthmare/yautja-la-longue-chasse/blob/feat/v131-gauntlet-hologram-dual-view-20261030/public/game/assets/v136/gauntlets/stone-heart/04-lid.svg</x:v>
      </x:c>
      <x:c r="L511" s="79" t="str">
        <x:v>Capot ouvert/fermé ; 3 gestes complets restent à faire</x:v>
      </x:c>
    </x:row>
    <x:row r="512" ht="29" customHeight="1">
      <x:c r="A512" s="79" t="str">
        <x:v>05_Assets</x:v>
      </x:c>
      <x:c r="B512" s="79" t="n">
        <x:v>512</x:v>
      </x:c>
      <x:c r="C512" s="79" t="str">
        <x:v>stone-heart-SFX</x:v>
      </x:c>
      <x:c r="D512" s="79" t="str">
        <x:v>stone-heart</x:v>
      </x:c>
      <x:c r="E512" s="79" t="str">
        <x:v>Identité sonore</x:v>
      </x:c>
      <x:c r="F512" s="79" t="str">
        <x:v>PARTIEL · prototype technique</x:v>
      </x:c>
      <x:c r="G512" s="79" t="str">
        <x:v>Distinguer signatures individualisées, écouter et calibrer mixage/mute</x:v>
      </x:c>
      <x:c r="H512" s="79" t="str">
        <x:v>UI/AUDIO</x:v>
      </x:c>
      <x:c r="I512" s="79" t="str">
        <x:v>Oui, pour les contrats techniques uniquement</x:v>
      </x:c>
      <x:c r="J512" s="79" t="str">
        <x:v>P2</x:v>
      </x:c>
      <x:c r="K512" s="79" t="str">
        <x:v>https://github.com/darknigthmare/yautja-la-longue-chasse/blob/feat/v131-gauntlet-hologram-dual-view-20261030/app/game/sound.ts</x:v>
      </x:c>
      <x:c r="L512" s="79" t="str">
        <x:v>Signature sonore par thème (10 profils), source non cinéma</x:v>
      </x:c>
    </x:row>
    <x:row r="513" ht="29" customHeight="1">
      <x:c r="A513" s="79" t="str">
        <x:v>05_Assets</x:v>
      </x:c>
      <x:c r="B513" s="79" t="n">
        <x:v>513</x:v>
      </x:c>
      <x:c r="C513" s="79" t="str">
        <x:v>stone-heart-HUD</x:v>
      </x:c>
      <x:c r="D513" s="79" t="str">
        <x:v>stone-heart</x:v>
      </x:c>
      <x:c r="E513" s="79" t="str">
        <x:v>Palette / projection</x:v>
      </x:c>
      <x:c r="F513" s="79" t="str">
        <x:v>PARTIEL · prototype technique</x:v>
      </x:c>
      <x:c r="G513" s="79" t="str">
        <x:v>Tester toutes résolutions, contrôles, sous-modes et cohérence d'infos</x:v>
      </x:c>
      <x:c r="H513" s="79" t="str">
        <x:v>UI/AUDIO</x:v>
      </x:c>
      <x:c r="I513" s="79" t="str">
        <x:v>Oui, pour les contrats techniques uniquement</x:v>
      </x:c>
      <x:c r="J513" s="79" t="str">
        <x:v>P2</x:v>
      </x:c>
      <x:c r="K513" s="79" t="str">
        <x:v>https://github.com/darknigthmare/yautja-la-longue-chasse/blob/feat/v131-gauntlet-hologram-dual-view-20261030/app/game/ClanWarGauntletV131.tsx</x:v>
      </x:c>
      <x:c r="L513" s="79" t="str">
        <x:v>HUD connecté / simulation intacte ; QA visuelle restante</x:v>
      </x:c>
    </x:row>
    <x:row r="514" ht="29" customHeight="1">
      <x:c r="A514" s="79" t="str">
        <x:v>05_Assets</x:v>
      </x:c>
      <x:c r="B514" s="79" t="n">
        <x:v>514</x:v>
      </x:c>
      <x:c r="C514" s="79" t="str">
        <x:v>stone-heart-QA</x:v>
      </x:c>
      <x:c r="D514" s="79" t="str">
        <x:v>stone-heart</x:v>
      </x:c>
      <x:c r="E514" s="79" t="str">
        <x:v>Comparaisons + tests</x:v>
      </x:c>
      <x:c r="F514" s="79" t="str">
        <x:v>PARTIEL · prototype technique</x:v>
      </x:c>
      <x:c r="G514" s="79" t="str">
        <x:v>Réaliser contrôles visuels film/rig + E2E jeu, FPS et accessibilité</x:v>
      </x:c>
      <x:c r="H514" s="79" t="str">
        <x:v>ART+QA</x:v>
      </x:c>
      <x:c r="I514" s="79" t="str">
        <x:v>Oui, pour les contrats techniques uniquement</x:v>
      </x:c>
      <x:c r="J514" s="79" t="str">
        <x:v>P2</x:v>
      </x:c>
      <x:c r="K514" s="79" t="str">
        <x:v>https://github.com/darknigthmare/yautja-la-longue-chasse/blob/feat/v131-gauntlet-hologram-dual-view-20261030/tests/gauntlet-archive-studies-v136.test.mjs</x:v>
      </x:c>
      <x:c r="L514" s="79" t="str">
        <x:v>Tests CI source / alpha / type / navigateur autonome ; 1:1 restant</x:v>
      </x:c>
    </x:row>
    <x:row r="515" ht="29" customHeight="1">
      <x:c r="A515" s="79" t="str">
        <x:v>05_Assets</x:v>
      </x:c>
      <x:c r="B515" s="79" t="n">
        <x:v>515</x:v>
      </x:c>
      <x:c r="C515" s="79" t="str">
        <x:v>ahab-ARM-L</x:v>
      </x:c>
      <x:c r="D515" s="79" t="str">
        <x:v>ahab</x:v>
      </x:c>
      <x:c r="E515" s="79" t="str">
        <x:v>Bras gauche / poignet</x:v>
      </x:c>
      <x:c r="F515" s="79" t="str">
        <x:v>PARTIEL · prototype technique</x:v>
      </x:c>
      <x:c r="G515" s="79" t="str">
        <x:v>Comparer bras et poignet à plusieurs plans canoniques ; adapter au rig dans toutes poses</x:v>
      </x:c>
      <x:c r="H515" s="79" t="str">
        <x:v>ART+QA</x:v>
      </x:c>
      <x:c r="I515" s="79" t="str">
        <x:v>Oui, pour les contrats techniques uniquement</x:v>
      </x:c>
      <x:c r="J515" s="79" t="str">
        <x:v>P2</x:v>
      </x:c>
      <x:c r="K515" s="79" t="str">
        <x:v>https://github.com/darknigthmare/yautja-la-longue-chasse/blob/feat/v131-gauntlet-hologram-dual-view-20261030/public/game/assets/v136/gauntlets/ahab/01-arm.svg</x:v>
      </x:c>
      <x:c r="L515" s="79" t="str">
        <x:v>Prototype SVG individuel + alpha PNG</x:v>
      </x:c>
    </x:row>
    <x:row r="516" ht="29" customHeight="1">
      <x:c r="A516" s="79" t="str">
        <x:v>05_Assets</x:v>
      </x:c>
      <x:c r="B516" s="79" t="n">
        <x:v>516</x:v>
      </x:c>
      <x:c r="C516" s="79" t="str">
        <x:v>ahab-SHELL-C</x:v>
      </x:c>
      <x:c r="D516" s="79" t="str">
        <x:v>ahab</x:v>
      </x:c>
      <x:c r="E516" s="79" t="str">
        <x:v>Coque fermée</x:v>
      </x:c>
      <x:c r="F516" s="79" t="str">
        <x:v>PARTIEL · prototype technique</x:v>
      </x:c>
      <x:c r="G516" s="79" t="str">
        <x:v>Vérifier forme/proportions/cuirasse 1:1 et textures, pas seulement SVG</x:v>
      </x:c>
      <x:c r="H516" s="79" t="str">
        <x:v>ART+QA</x:v>
      </x:c>
      <x:c r="I516" s="79" t="str">
        <x:v>Oui, pour les contrats techniques uniquement</x:v>
      </x:c>
      <x:c r="J516" s="79" t="str">
        <x:v>P2</x:v>
      </x:c>
      <x:c r="K516" s="79" t="str">
        <x:v>https://github.com/darknigthmare/yautja-la-longue-chasse/blob/feat/v131-gauntlet-hologram-dual-view-20261030/public/game/assets/v136/gauntlets/ahab/02-shell.svg</x:v>
      </x:c>
      <x:c r="L516" s="79" t="str">
        <x:v>Coque individuelle SVG + PNG, non 1:1</x:v>
      </x:c>
    </x:row>
    <x:row r="517" ht="29" customHeight="1">
      <x:c r="A517" s="79" t="str">
        <x:v>05_Assets</x:v>
      </x:c>
      <x:c r="B517" s="79" t="n">
        <x:v>517</x:v>
      </x:c>
      <x:c r="C517" s="79" t="str">
        <x:v>ahab-SHELL-O</x:v>
      </x:c>
      <x:c r="D517" s="79" t="str">
        <x:v>ahab</x:v>
      </x:c>
      <x:c r="E517" s="79" t="str">
        <x:v>Coque ouverte</x:v>
      </x:c>
      <x:c r="F517" s="79" t="str">
        <x:v>PARTIEL · prototype technique</x:v>
      </x:c>
      <x:c r="G517" s="79" t="str">
        <x:v>Mesurer pivot/capots sur film et compléter les états ouvrir-fermer-ranger</x:v>
      </x:c>
      <x:c r="H517" s="79" t="str">
        <x:v>ART+QA</x:v>
      </x:c>
      <x:c r="I517" s="79" t="str">
        <x:v>Oui, pour les contrats techniques uniquement</x:v>
      </x:c>
      <x:c r="J517" s="79" t="str">
        <x:v>P2</x:v>
      </x:c>
      <x:c r="K517" s="79" t="str">
        <x:v>https://github.com/darknigthmare/yautja-la-longue-chasse/blob/feat/v131-gauntlet-hologram-dual-view-20261030/public/game/assets/v136/gauntlets/ahab/04-lid.svg</x:v>
      </x:c>
      <x:c r="L517" s="79" t="str">
        <x:v>Capot ouvrable en React/CSS, animation partielle</x:v>
      </x:c>
    </x:row>
    <x:row r="518" ht="29" customHeight="1">
      <x:c r="A518" s="79" t="str">
        <x:v>05_Assets</x:v>
      </x:c>
      <x:c r="B518" s="79" t="n">
        <x:v>518</x:v>
      </x:c>
      <x:c r="C518" s="79" t="str">
        <x:v>ahab-UI-RED</x:v>
      </x:c>
      <x:c r="D518" s="79" t="str">
        <x:v>ahab</x:v>
      </x:c>
      <x:c r="E518" s="79" t="str">
        <x:v>Contrôle / glyphes</x:v>
      </x:c>
      <x:c r="F518" s="79" t="str">
        <x:v>PARTIEL · prototype technique</x:v>
      </x:c>
      <x:c r="G518" s="79" t="str">
        <x:v>Remplacer symboles conceptuels par graphismes source documentés sans inventer du canon</x:v>
      </x:c>
      <x:c r="H518" s="79" t="str">
        <x:v>ART+QA</x:v>
      </x:c>
      <x:c r="I518" s="79" t="str">
        <x:v>Oui, pour les contrats techniques uniquement</x:v>
      </x:c>
      <x:c r="J518" s="79" t="str">
        <x:v>P2</x:v>
      </x:c>
      <x:c r="K518" s="79" t="str">
        <x:v>https://github.com/darknigthmare/yautja-la-longue-chasse/blob/feat/v131-gauntlet-hologram-dual-view-20261030/public/game/assets/v136/gauntlets/ahab/03-interface.svg</x:v>
      </x:c>
      <x:c r="L518" s="79" t="str">
        <x:v>Interface distincte en SVG / couleurs non certifiées</x:v>
      </x:c>
    </x:row>
    <x:row r="519" ht="29" customHeight="1">
      <x:c r="A519" s="79" t="str">
        <x:v>05_Assets</x:v>
      </x:c>
      <x:c r="B519" s="79" t="n">
        <x:v>519</x:v>
      </x:c>
      <x:c r="C519" s="79" t="str">
        <x:v>ahab-RIBS</x:v>
      </x:c>
      <x:c r="D519" s="79" t="str">
        <x:v>ahab</x:v>
      </x:c>
      <x:c r="E519" s="79" t="str">
        <x:v>Ribures et mécanique</x:v>
      </x:c>
      <x:c r="F519" s="79" t="str">
        <x:v>OUVERT · séparation des sous-pièces</x:v>
      </x:c>
      <x:c r="G519" s="79" t="str">
        <x:v>Découper les pièces mécaniques, valider attaches et reliefs individuels</x:v>
      </x:c>
      <x:c r="H519" s="79" t="str">
        <x:v>ART+QA</x:v>
      </x:c>
      <x:c r="I519" s="79" t="str">
        <x:v>Oui, pour les contrats techniques uniquement</x:v>
      </x:c>
      <x:c r="J519" s="79" t="str">
        <x:v>P2</x:v>
      </x:c>
      <x:c r="K519" s="79" t="str">
        <x:v>https://github.com/darknigthmare/yautja-la-longue-chasse/blob/feat/v131-gauntlet-hologram-dual-view-20261030/public/game/assets/v136/gauntlets/ahab/02-shell.svg</x:v>
      </x:c>
      <x:c r="L519" s="79" t="str">
        <x:v>Détails de coque présents, sous-pièces non séparées</x:v>
      </x:c>
    </x:row>
    <x:row r="520" ht="29" customHeight="1">
      <x:c r="A520" s="79" t="str">
        <x:v>05_Assets</x:v>
      </x:c>
      <x:c r="B520" s="79" t="n">
        <x:v>520</x:v>
      </x:c>
      <x:c r="C520" s="79" t="str">
        <x:v>ahab-BEAM</x:v>
      </x:c>
      <x:c r="D520" s="79" t="str">
        <x:v>ahab</x:v>
      </x:c>
      <x:c r="E520" s="79" t="str">
        <x:v>Émetteur holographique</x:v>
      </x:c>
      <x:c r="F520" s="79" t="str">
        <x:v>PARTIEL · prototype technique</x:v>
      </x:c>
      <x:c r="G520" s="79" t="str">
        <x:v>Conserver fonctionnalité HUD et produire la signature holographique de chaque modèle</x:v>
      </x:c>
      <x:c r="H520" s="79" t="str">
        <x:v>ART+QA</x:v>
      </x:c>
      <x:c r="I520" s="79" t="str">
        <x:v>Oui, pour les contrats techniques uniquement</x:v>
      </x:c>
      <x:c r="J520" s="79" t="str">
        <x:v>P2</x:v>
      </x:c>
      <x:c r="K520" s="79" t="str">
        <x:v>https://github.com/darknigthmare/yautja-la-longue-chasse/blob/feat/v131-gauntlet-hologram-dual-view-20261030/app/game/ClanWarGauntletV131.tsx</x:v>
      </x:c>
      <x:c r="L520" s="79" t="str">
        <x:v>Faisceau du projet (JH dédié, autres effet commun)</x:v>
      </x:c>
    </x:row>
    <x:row r="521" ht="29" customHeight="1">
      <x:c r="A521" s="79" t="str">
        <x:v>05_Assets</x:v>
      </x:c>
      <x:c r="B521" s="79" t="n">
        <x:v>521</x:v>
      </x:c>
      <x:c r="C521" s="79" t="str">
        <x:v>ahab-MOVE</x:v>
      </x:c>
      <x:c r="D521" s="79" t="str">
        <x:v>ahab</x:v>
      </x:c>
      <x:c r="E521" s="79" t="str">
        <x:v>Animations 4 états</x:v>
      </x:c>
      <x:c r="F521" s="79" t="str">
        <x:v>PARTIEL · prototype technique</x:v>
      </x:c>
      <x:c r="G521" s="79" t="str">
        <x:v>Compléter lever, ouvrir, projeter, ranger ; aligner au rig et à la caméra</x:v>
      </x:c>
      <x:c r="H521" s="79" t="str">
        <x:v>ART+QA</x:v>
      </x:c>
      <x:c r="I521" s="79" t="str">
        <x:v>Oui, pour les contrats techniques uniquement</x:v>
      </x:c>
      <x:c r="J521" s="79" t="str">
        <x:v>P2</x:v>
      </x:c>
      <x:c r="K521" s="79" t="str">
        <x:v>https://github.com/darknigthmare/yautja-la-longue-chasse/blob/feat/v131-gauntlet-hologram-dual-view-20261030/public/game/assets/v136/gauntlets/ahab/04-lid.svg</x:v>
      </x:c>
      <x:c r="L521" s="79" t="str">
        <x:v>Capot ouvert/fermé ; 3 gestes complets restent à faire</x:v>
      </x:c>
    </x:row>
    <x:row r="522" ht="29" customHeight="1">
      <x:c r="A522" s="79" t="str">
        <x:v>05_Assets</x:v>
      </x:c>
      <x:c r="B522" s="79" t="n">
        <x:v>522</x:v>
      </x:c>
      <x:c r="C522" s="79" t="str">
        <x:v>ahab-SFX</x:v>
      </x:c>
      <x:c r="D522" s="79" t="str">
        <x:v>ahab</x:v>
      </x:c>
      <x:c r="E522" s="79" t="str">
        <x:v>Identité sonore</x:v>
      </x:c>
      <x:c r="F522" s="79" t="str">
        <x:v>PARTIEL · prototype technique</x:v>
      </x:c>
      <x:c r="G522" s="79" t="str">
        <x:v>Distinguer signatures individualisées, écouter et calibrer mixage/mute</x:v>
      </x:c>
      <x:c r="H522" s="79" t="str">
        <x:v>UI/AUDIO</x:v>
      </x:c>
      <x:c r="I522" s="79" t="str">
        <x:v>Oui, pour les contrats techniques uniquement</x:v>
      </x:c>
      <x:c r="J522" s="79" t="str">
        <x:v>P2</x:v>
      </x:c>
      <x:c r="K522" s="79" t="str">
        <x:v>https://github.com/darknigthmare/yautja-la-longue-chasse/blob/feat/v131-gauntlet-hologram-dual-view-20261030/app/game/sound.ts</x:v>
      </x:c>
      <x:c r="L522" s="79" t="str">
        <x:v>Signature sonore par thème (10 profils), source non cinéma</x:v>
      </x:c>
    </x:row>
    <x:row r="523" ht="29" customHeight="1">
      <x:c r="A523" s="79" t="str">
        <x:v>05_Assets</x:v>
      </x:c>
      <x:c r="B523" s="79" t="n">
        <x:v>523</x:v>
      </x:c>
      <x:c r="C523" s="79" t="str">
        <x:v>ahab-HUD</x:v>
      </x:c>
      <x:c r="D523" s="79" t="str">
        <x:v>ahab</x:v>
      </x:c>
      <x:c r="E523" s="79" t="str">
        <x:v>Palette / projection</x:v>
      </x:c>
      <x:c r="F523" s="79" t="str">
        <x:v>PARTIEL · prototype technique</x:v>
      </x:c>
      <x:c r="G523" s="79" t="str">
        <x:v>Tester toutes résolutions, contrôles, sous-modes et cohérence d'infos</x:v>
      </x:c>
      <x:c r="H523" s="79" t="str">
        <x:v>UI/AUDIO</x:v>
      </x:c>
      <x:c r="I523" s="79" t="str">
        <x:v>Oui, pour les contrats techniques uniquement</x:v>
      </x:c>
      <x:c r="J523" s="79" t="str">
        <x:v>P2</x:v>
      </x:c>
      <x:c r="K523" s="79" t="str">
        <x:v>https://github.com/darknigthmare/yautja-la-longue-chasse/blob/feat/v131-gauntlet-hologram-dual-view-20261030/app/game/ClanWarGauntletV131.tsx</x:v>
      </x:c>
      <x:c r="L523" s="79" t="str">
        <x:v>HUD connecté / simulation intacte ; QA visuelle restante</x:v>
      </x:c>
    </x:row>
    <x:row r="524" ht="29" customHeight="1">
      <x:c r="A524" s="79" t="str">
        <x:v>05_Assets</x:v>
      </x:c>
      <x:c r="B524" s="79" t="n">
        <x:v>524</x:v>
      </x:c>
      <x:c r="C524" s="79" t="str">
        <x:v>ahab-QA</x:v>
      </x:c>
      <x:c r="D524" s="79" t="str">
        <x:v>ahab</x:v>
      </x:c>
      <x:c r="E524" s="79" t="str">
        <x:v>Comparaisons + tests</x:v>
      </x:c>
      <x:c r="F524" s="79" t="str">
        <x:v>PARTIEL · prototype technique</x:v>
      </x:c>
      <x:c r="G524" s="79" t="str">
        <x:v>Réaliser contrôles visuels film/rig + E2E jeu, FPS et accessibilité</x:v>
      </x:c>
      <x:c r="H524" s="79" t="str">
        <x:v>ART+QA</x:v>
      </x:c>
      <x:c r="I524" s="79" t="str">
        <x:v>Oui, pour les contrats techniques uniquement</x:v>
      </x:c>
      <x:c r="J524" s="79" t="str">
        <x:v>P2</x:v>
      </x:c>
      <x:c r="K524" s="79" t="str">
        <x:v>https://github.com/darknigthmare/yautja-la-longue-chasse/blob/feat/v131-gauntlet-hologram-dual-view-20261030/tests/gauntlet-archive-studies-v136.test.mjs</x:v>
      </x:c>
      <x:c r="L524" s="79" t="str">
        <x:v>Tests CI source / alpha / type / navigateur autonome ; 1:1 restant</x:v>
      </x:c>
    </x:row>
    <x:row r="525" ht="29" customHeight="1">
      <x:c r="A525" s="79" t="str">
        <x:v>05_Assets</x:v>
      </x:c>
      <x:c r="B525" s="79" t="n">
        <x:v>525</x:v>
      </x:c>
      <x:c r="C525" s="79" t="str">
        <x:v>dark-2010-ARM-L</x:v>
      </x:c>
      <x:c r="D525" s="79" t="str">
        <x:v>dark-2010</x:v>
      </x:c>
      <x:c r="E525" s="79" t="str">
        <x:v>Bras gauche / poignet</x:v>
      </x:c>
      <x:c r="F525" s="79" t="str">
        <x:v>PARTIEL · prototype technique</x:v>
      </x:c>
      <x:c r="G525" s="79" t="str">
        <x:v>Comparer bras et poignet à plusieurs plans canoniques ; adapter au rig dans toutes poses</x:v>
      </x:c>
      <x:c r="H525" s="79" t="str">
        <x:v>ART+QA</x:v>
      </x:c>
      <x:c r="I525" s="79" t="str">
        <x:v>Oui, pour les contrats techniques uniquement</x:v>
      </x:c>
      <x:c r="J525" s="79" t="str">
        <x:v>P2</x:v>
      </x:c>
      <x:c r="K525" s="79" t="str">
        <x:v>https://github.com/darknigthmare/yautja-la-longue-chasse/blob/feat/v131-gauntlet-hologram-dual-view-20261030/public/game/assets/v136/gauntlets/dark-2010/01-arm.svg</x:v>
      </x:c>
      <x:c r="L525" s="79" t="str">
        <x:v>Prototype SVG individuel + alpha PNG</x:v>
      </x:c>
    </x:row>
    <x:row r="526" ht="29" customHeight="1">
      <x:c r="A526" s="79" t="str">
        <x:v>05_Assets</x:v>
      </x:c>
      <x:c r="B526" s="79" t="n">
        <x:v>526</x:v>
      </x:c>
      <x:c r="C526" s="79" t="str">
        <x:v>dark-2010-SHELL-C</x:v>
      </x:c>
      <x:c r="D526" s="79" t="str">
        <x:v>dark-2010</x:v>
      </x:c>
      <x:c r="E526" s="79" t="str">
        <x:v>Coque fermée</x:v>
      </x:c>
      <x:c r="F526" s="79" t="str">
        <x:v>PARTIEL · prototype technique</x:v>
      </x:c>
      <x:c r="G526" s="79" t="str">
        <x:v>Vérifier forme/proportions/cuirasse 1:1 et textures, pas seulement SVG</x:v>
      </x:c>
      <x:c r="H526" s="79" t="str">
        <x:v>ART+QA</x:v>
      </x:c>
      <x:c r="I526" s="79" t="str">
        <x:v>Oui, pour les contrats techniques uniquement</x:v>
      </x:c>
      <x:c r="J526" s="79" t="str">
        <x:v>P2</x:v>
      </x:c>
      <x:c r="K526" s="79" t="str">
        <x:v>https://github.com/darknigthmare/yautja-la-longue-chasse/blob/feat/v131-gauntlet-hologram-dual-view-20261030/public/game/assets/v136/gauntlets/dark-2010/02-shell.svg</x:v>
      </x:c>
      <x:c r="L526" s="79" t="str">
        <x:v>Coque individuelle SVG + PNG, non 1:1</x:v>
      </x:c>
    </x:row>
    <x:row r="527" ht="29" customHeight="1">
      <x:c r="A527" s="79" t="str">
        <x:v>05_Assets</x:v>
      </x:c>
      <x:c r="B527" s="79" t="n">
        <x:v>527</x:v>
      </x:c>
      <x:c r="C527" s="79" t="str">
        <x:v>dark-2010-SHELL-O</x:v>
      </x:c>
      <x:c r="D527" s="79" t="str">
        <x:v>dark-2010</x:v>
      </x:c>
      <x:c r="E527" s="79" t="str">
        <x:v>Coque ouverte</x:v>
      </x:c>
      <x:c r="F527" s="79" t="str">
        <x:v>PARTIEL · prototype technique</x:v>
      </x:c>
      <x:c r="G527" s="79" t="str">
        <x:v>Mesurer pivot/capots sur film et compléter les états ouvrir-fermer-ranger</x:v>
      </x:c>
      <x:c r="H527" s="79" t="str">
        <x:v>ART+QA</x:v>
      </x:c>
      <x:c r="I527" s="79" t="str">
        <x:v>Oui, pour les contrats techniques uniquement</x:v>
      </x:c>
      <x:c r="J527" s="79" t="str">
        <x:v>P2</x:v>
      </x:c>
      <x:c r="K527" s="79" t="str">
        <x:v>https://github.com/darknigthmare/yautja-la-longue-chasse/blob/feat/v131-gauntlet-hologram-dual-view-20261030/public/game/assets/v136/gauntlets/dark-2010/04-lid.svg</x:v>
      </x:c>
      <x:c r="L527" s="79" t="str">
        <x:v>Capot ouvrable en React/CSS, animation partielle</x:v>
      </x:c>
    </x:row>
    <x:row r="528" ht="29" customHeight="1">
      <x:c r="A528" s="79" t="str">
        <x:v>05_Assets</x:v>
      </x:c>
      <x:c r="B528" s="79" t="n">
        <x:v>528</x:v>
      </x:c>
      <x:c r="C528" s="79" t="str">
        <x:v>dark-2010-UI-RED</x:v>
      </x:c>
      <x:c r="D528" s="79" t="str">
        <x:v>dark-2010</x:v>
      </x:c>
      <x:c r="E528" s="79" t="str">
        <x:v>Contrôle / glyphes</x:v>
      </x:c>
      <x:c r="F528" s="79" t="str">
        <x:v>PARTIEL · prototype technique</x:v>
      </x:c>
      <x:c r="G528" s="79" t="str">
        <x:v>Remplacer symboles conceptuels par graphismes source documentés sans inventer du canon</x:v>
      </x:c>
      <x:c r="H528" s="79" t="str">
        <x:v>ART+QA</x:v>
      </x:c>
      <x:c r="I528" s="79" t="str">
        <x:v>Oui, pour les contrats techniques uniquement</x:v>
      </x:c>
      <x:c r="J528" s="79" t="str">
        <x:v>P2</x:v>
      </x:c>
      <x:c r="K528" s="79" t="str">
        <x:v>https://github.com/darknigthmare/yautja-la-longue-chasse/blob/feat/v131-gauntlet-hologram-dual-view-20261030/public/game/assets/v136/gauntlets/dark-2010/03-interface.svg</x:v>
      </x:c>
      <x:c r="L528" s="79" t="str">
        <x:v>Interface distincte en SVG / couleurs non certifiées</x:v>
      </x:c>
    </x:row>
    <x:row r="529" ht="29" customHeight="1">
      <x:c r="A529" s="79" t="str">
        <x:v>05_Assets</x:v>
      </x:c>
      <x:c r="B529" s="79" t="n">
        <x:v>529</x:v>
      </x:c>
      <x:c r="C529" s="79" t="str">
        <x:v>dark-2010-RIBS</x:v>
      </x:c>
      <x:c r="D529" s="79" t="str">
        <x:v>dark-2010</x:v>
      </x:c>
      <x:c r="E529" s="79" t="str">
        <x:v>Ribures et mécanique</x:v>
      </x:c>
      <x:c r="F529" s="79" t="str">
        <x:v>OUVERT · séparation des sous-pièces</x:v>
      </x:c>
      <x:c r="G529" s="79" t="str">
        <x:v>Découper les pièces mécaniques, valider attaches et reliefs individuels</x:v>
      </x:c>
      <x:c r="H529" s="79" t="str">
        <x:v>ART+QA</x:v>
      </x:c>
      <x:c r="I529" s="79" t="str">
        <x:v>Oui, pour les contrats techniques uniquement</x:v>
      </x:c>
      <x:c r="J529" s="79" t="str">
        <x:v>P2</x:v>
      </x:c>
      <x:c r="K529" s="79" t="str">
        <x:v>https://github.com/darknigthmare/yautja-la-longue-chasse/blob/feat/v131-gauntlet-hologram-dual-view-20261030/public/game/assets/v136/gauntlets/dark-2010/02-shell.svg</x:v>
      </x:c>
      <x:c r="L529" s="79" t="str">
        <x:v>Détails de coque présents, sous-pièces non séparées</x:v>
      </x:c>
    </x:row>
    <x:row r="530" ht="29" customHeight="1">
      <x:c r="A530" s="79" t="str">
        <x:v>05_Assets</x:v>
      </x:c>
      <x:c r="B530" s="79" t="n">
        <x:v>530</x:v>
      </x:c>
      <x:c r="C530" s="79" t="str">
        <x:v>dark-2010-BEAM</x:v>
      </x:c>
      <x:c r="D530" s="79" t="str">
        <x:v>dark-2010</x:v>
      </x:c>
      <x:c r="E530" s="79" t="str">
        <x:v>Émetteur holographique</x:v>
      </x:c>
      <x:c r="F530" s="79" t="str">
        <x:v>PARTIEL · prototype technique</x:v>
      </x:c>
      <x:c r="G530" s="79" t="str">
        <x:v>Conserver fonctionnalité HUD et produire la signature holographique de chaque modèle</x:v>
      </x:c>
      <x:c r="H530" s="79" t="str">
        <x:v>ART+QA</x:v>
      </x:c>
      <x:c r="I530" s="79" t="str">
        <x:v>Oui, pour les contrats techniques uniquement</x:v>
      </x:c>
      <x:c r="J530" s="79" t="str">
        <x:v>P2</x:v>
      </x:c>
      <x:c r="K530" s="79" t="str">
        <x:v>https://github.com/darknigthmare/yautja-la-longue-chasse/blob/feat/v131-gauntlet-hologram-dual-view-20261030/app/game/ClanWarGauntletV131.tsx</x:v>
      </x:c>
      <x:c r="L530" s="79" t="str">
        <x:v>Faisceau du projet (JH dédié, autres effet commun)</x:v>
      </x:c>
    </x:row>
    <x:row r="531" ht="29" customHeight="1">
      <x:c r="A531" s="79" t="str">
        <x:v>05_Assets</x:v>
      </x:c>
      <x:c r="B531" s="79" t="n">
        <x:v>531</x:v>
      </x:c>
      <x:c r="C531" s="79" t="str">
        <x:v>dark-2010-MOVE</x:v>
      </x:c>
      <x:c r="D531" s="79" t="str">
        <x:v>dark-2010</x:v>
      </x:c>
      <x:c r="E531" s="79" t="str">
        <x:v>Animations 4 états</x:v>
      </x:c>
      <x:c r="F531" s="79" t="str">
        <x:v>PARTIEL · prototype technique</x:v>
      </x:c>
      <x:c r="G531" s="79" t="str">
        <x:v>Compléter lever, ouvrir, projeter, ranger ; aligner au rig et à la caméra</x:v>
      </x:c>
      <x:c r="H531" s="79" t="str">
        <x:v>ART+QA</x:v>
      </x:c>
      <x:c r="I531" s="79" t="str">
        <x:v>Oui, pour les contrats techniques uniquement</x:v>
      </x:c>
      <x:c r="J531" s="79" t="str">
        <x:v>P2</x:v>
      </x:c>
      <x:c r="K531" s="79" t="str">
        <x:v>https://github.com/darknigthmare/yautja-la-longue-chasse/blob/feat/v131-gauntlet-hologram-dual-view-20261030/public/game/assets/v136/gauntlets/dark-2010/04-lid.svg</x:v>
      </x:c>
      <x:c r="L531" s="79" t="str">
        <x:v>Capot ouvert/fermé ; 3 gestes complets restent à faire</x:v>
      </x:c>
    </x:row>
    <x:row r="532" ht="29" customHeight="1">
      <x:c r="A532" s="79" t="str">
        <x:v>05_Assets</x:v>
      </x:c>
      <x:c r="B532" s="79" t="n">
        <x:v>532</x:v>
      </x:c>
      <x:c r="C532" s="79" t="str">
        <x:v>dark-2010-SFX</x:v>
      </x:c>
      <x:c r="D532" s="79" t="str">
        <x:v>dark-2010</x:v>
      </x:c>
      <x:c r="E532" s="79" t="str">
        <x:v>Identité sonore</x:v>
      </x:c>
      <x:c r="F532" s="79" t="str">
        <x:v>PARTIEL · prototype technique</x:v>
      </x:c>
      <x:c r="G532" s="79" t="str">
        <x:v>Distinguer signatures individualisées, écouter et calibrer mixage/mute</x:v>
      </x:c>
      <x:c r="H532" s="79" t="str">
        <x:v>UI/AUDIO</x:v>
      </x:c>
      <x:c r="I532" s="79" t="str">
        <x:v>Oui, pour les contrats techniques uniquement</x:v>
      </x:c>
      <x:c r="J532" s="79" t="str">
        <x:v>P2</x:v>
      </x:c>
      <x:c r="K532" s="79" t="str">
        <x:v>https://github.com/darknigthmare/yautja-la-longue-chasse/blob/feat/v131-gauntlet-hologram-dual-view-20261030/app/game/sound.ts</x:v>
      </x:c>
      <x:c r="L532" s="79" t="str">
        <x:v>Signature sonore par thème (10 profils), source non cinéma</x:v>
      </x:c>
    </x:row>
    <x:row r="533" ht="29" customHeight="1">
      <x:c r="A533" s="79" t="str">
        <x:v>05_Assets</x:v>
      </x:c>
      <x:c r="B533" s="79" t="n">
        <x:v>533</x:v>
      </x:c>
      <x:c r="C533" s="79" t="str">
        <x:v>dark-2010-HUD</x:v>
      </x:c>
      <x:c r="D533" s="79" t="str">
        <x:v>dark-2010</x:v>
      </x:c>
      <x:c r="E533" s="79" t="str">
        <x:v>Palette / projection</x:v>
      </x:c>
      <x:c r="F533" s="79" t="str">
        <x:v>PARTIEL · prototype technique</x:v>
      </x:c>
      <x:c r="G533" s="79" t="str">
        <x:v>Tester toutes résolutions, contrôles, sous-modes et cohérence d'infos</x:v>
      </x:c>
      <x:c r="H533" s="79" t="str">
        <x:v>UI/AUDIO</x:v>
      </x:c>
      <x:c r="I533" s="79" t="str">
        <x:v>Oui, pour les contrats techniques uniquement</x:v>
      </x:c>
      <x:c r="J533" s="79" t="str">
        <x:v>P2</x:v>
      </x:c>
      <x:c r="K533" s="79" t="str">
        <x:v>https://github.com/darknigthmare/yautja-la-longue-chasse/blob/feat/v131-gauntlet-hologram-dual-view-20261030/app/game/ClanWarGauntletV131.tsx</x:v>
      </x:c>
      <x:c r="L533" s="79" t="str">
        <x:v>HUD connecté / simulation intacte ; QA visuelle restante</x:v>
      </x:c>
    </x:row>
    <x:row r="534" ht="29" customHeight="1">
      <x:c r="A534" s="79" t="str">
        <x:v>05_Assets</x:v>
      </x:c>
      <x:c r="B534" s="79" t="n">
        <x:v>534</x:v>
      </x:c>
      <x:c r="C534" s="79" t="str">
        <x:v>dark-2010-QA</x:v>
      </x:c>
      <x:c r="D534" s="79" t="str">
        <x:v>dark-2010</x:v>
      </x:c>
      <x:c r="E534" s="79" t="str">
        <x:v>Comparaisons + tests</x:v>
      </x:c>
      <x:c r="F534" s="79" t="str">
        <x:v>PARTIEL · prototype technique</x:v>
      </x:c>
      <x:c r="G534" s="79" t="str">
        <x:v>Réaliser contrôles visuels film/rig + E2E jeu, FPS et accessibilité</x:v>
      </x:c>
      <x:c r="H534" s="79" t="str">
        <x:v>ART+QA</x:v>
      </x:c>
      <x:c r="I534" s="79" t="str">
        <x:v>Oui, pour les contrats techniques uniquement</x:v>
      </x:c>
      <x:c r="J534" s="79" t="str">
        <x:v>P2</x:v>
      </x:c>
      <x:c r="K534" s="79" t="str">
        <x:v>https://github.com/darknigthmare/yautja-la-longue-chasse/blob/feat/v131-gauntlet-hologram-dual-view-20261030/tests/gauntlet-archive-studies-v136.test.mjs</x:v>
      </x:c>
      <x:c r="L534" s="79" t="str">
        <x:v>Tests CI source / alpha / type / navigateur autonome ; 1:1 restant</x:v>
      </x:c>
    </x:row>
    <x:row r="535" ht="29" customHeight="1">
      <x:c r="A535" s="79" t="str">
        <x:v>05_Assets</x:v>
      </x:c>
      <x:c r="B535" s="79" t="n">
        <x:v>535</x:v>
      </x:c>
      <x:c r="C535" s="79" t="str">
        <x:v>phg-captured-ARM-L</x:v>
      </x:c>
      <x:c r="D535" s="79" t="str">
        <x:v>phg-captured</x:v>
      </x:c>
      <x:c r="E535" s="79" t="str">
        <x:v>Bras gauche / poignet</x:v>
      </x:c>
      <x:c r="F535" s="79" t="str">
        <x:v>PARTIEL · prototype technique</x:v>
      </x:c>
      <x:c r="G535" s="79" t="str">
        <x:v>Comparer bras et poignet à plusieurs plans canoniques ; adapter au rig dans toutes poses</x:v>
      </x:c>
      <x:c r="H535" s="79" t="str">
        <x:v>ART+QA</x:v>
      </x:c>
      <x:c r="I535" s="79" t="str">
        <x:v>Oui, pour les contrats techniques uniquement</x:v>
      </x:c>
      <x:c r="J535" s="79" t="str">
        <x:v>P2</x:v>
      </x:c>
      <x:c r="K535" s="79" t="str">
        <x:v>https://github.com/darknigthmare/yautja-la-longue-chasse/blob/feat/v131-gauntlet-hologram-dual-view-20261030/public/game/assets/v136/gauntlets/phg-captured/01-arm.svg</x:v>
      </x:c>
      <x:c r="L535" s="79" t="str">
        <x:v>Prototype SVG individuel + alpha PNG</x:v>
      </x:c>
    </x:row>
    <x:row r="536" ht="29" customHeight="1">
      <x:c r="A536" s="79" t="str">
        <x:v>05_Assets</x:v>
      </x:c>
      <x:c r="B536" s="79" t="n">
        <x:v>536</x:v>
      </x:c>
      <x:c r="C536" s="79" t="str">
        <x:v>phg-captured-SHELL-C</x:v>
      </x:c>
      <x:c r="D536" s="79" t="str">
        <x:v>phg-captured</x:v>
      </x:c>
      <x:c r="E536" s="79" t="str">
        <x:v>Coque fermée</x:v>
      </x:c>
      <x:c r="F536" s="79" t="str">
        <x:v>PARTIEL · prototype technique</x:v>
      </x:c>
      <x:c r="G536" s="79" t="str">
        <x:v>Vérifier forme/proportions/cuirasse 1:1 et textures, pas seulement SVG</x:v>
      </x:c>
      <x:c r="H536" s="79" t="str">
        <x:v>ART+QA</x:v>
      </x:c>
      <x:c r="I536" s="79" t="str">
        <x:v>Oui, pour les contrats techniques uniquement</x:v>
      </x:c>
      <x:c r="J536" s="79" t="str">
        <x:v>P2</x:v>
      </x:c>
      <x:c r="K536" s="79" t="str">
        <x:v>https://github.com/darknigthmare/yautja-la-longue-chasse/blob/feat/v131-gauntlet-hologram-dual-view-20261030/public/game/assets/v136/gauntlets/phg-captured/02-shell.svg</x:v>
      </x:c>
      <x:c r="L536" s="79" t="str">
        <x:v>Coque individuelle SVG + PNG, non 1:1</x:v>
      </x:c>
    </x:row>
    <x:row r="537" ht="29" customHeight="1">
      <x:c r="A537" s="79" t="str">
        <x:v>05_Assets</x:v>
      </x:c>
      <x:c r="B537" s="79" t="n">
        <x:v>537</x:v>
      </x:c>
      <x:c r="C537" s="79" t="str">
        <x:v>phg-captured-SHELL-O</x:v>
      </x:c>
      <x:c r="D537" s="79" t="str">
        <x:v>phg-captured</x:v>
      </x:c>
      <x:c r="E537" s="79" t="str">
        <x:v>Coque ouverte</x:v>
      </x:c>
      <x:c r="F537" s="79" t="str">
        <x:v>PARTIEL · prototype technique</x:v>
      </x:c>
      <x:c r="G537" s="79" t="str">
        <x:v>Mesurer pivot/capots sur film et compléter les états ouvrir-fermer-ranger</x:v>
      </x:c>
      <x:c r="H537" s="79" t="str">
        <x:v>ART+QA</x:v>
      </x:c>
      <x:c r="I537" s="79" t="str">
        <x:v>Oui, pour les contrats techniques uniquement</x:v>
      </x:c>
      <x:c r="J537" s="79" t="str">
        <x:v>P2</x:v>
      </x:c>
      <x:c r="K537" s="79" t="str">
        <x:v>https://github.com/darknigthmare/yautja-la-longue-chasse/blob/feat/v131-gauntlet-hologram-dual-view-20261030/public/game/assets/v136/gauntlets/phg-captured/04-lid.svg</x:v>
      </x:c>
      <x:c r="L537" s="79" t="str">
        <x:v>Capot ouvrable en React/CSS, animation partielle</x:v>
      </x:c>
    </x:row>
    <x:row r="538" ht="29" customHeight="1">
      <x:c r="A538" s="79" t="str">
        <x:v>05_Assets</x:v>
      </x:c>
      <x:c r="B538" s="79" t="n">
        <x:v>538</x:v>
      </x:c>
      <x:c r="C538" s="79" t="str">
        <x:v>phg-captured-UI-RED</x:v>
      </x:c>
      <x:c r="D538" s="79" t="str">
        <x:v>phg-captured</x:v>
      </x:c>
      <x:c r="E538" s="79" t="str">
        <x:v>Contrôle / glyphes</x:v>
      </x:c>
      <x:c r="F538" s="79" t="str">
        <x:v>PARTIEL · prototype technique</x:v>
      </x:c>
      <x:c r="G538" s="79" t="str">
        <x:v>Remplacer symboles conceptuels par graphismes source documentés sans inventer du canon</x:v>
      </x:c>
      <x:c r="H538" s="79" t="str">
        <x:v>ART+QA</x:v>
      </x:c>
      <x:c r="I538" s="79" t="str">
        <x:v>Oui, pour les contrats techniques uniquement</x:v>
      </x:c>
      <x:c r="J538" s="79" t="str">
        <x:v>P2</x:v>
      </x:c>
      <x:c r="K538" s="79" t="str">
        <x:v>https://github.com/darknigthmare/yautja-la-longue-chasse/blob/feat/v131-gauntlet-hologram-dual-view-20261030/public/game/assets/v136/gauntlets/phg-captured/03-interface.svg</x:v>
      </x:c>
      <x:c r="L538" s="79" t="str">
        <x:v>Interface distincte en SVG / couleurs non certifiées</x:v>
      </x:c>
    </x:row>
    <x:row r="539" ht="29" customHeight="1">
      <x:c r="A539" s="79" t="str">
        <x:v>05_Assets</x:v>
      </x:c>
      <x:c r="B539" s="79" t="n">
        <x:v>539</x:v>
      </x:c>
      <x:c r="C539" s="79" t="str">
        <x:v>phg-captured-RIBS</x:v>
      </x:c>
      <x:c r="D539" s="79" t="str">
        <x:v>phg-captured</x:v>
      </x:c>
      <x:c r="E539" s="79" t="str">
        <x:v>Ribures et mécanique</x:v>
      </x:c>
      <x:c r="F539" s="79" t="str">
        <x:v>OUVERT · séparation des sous-pièces</x:v>
      </x:c>
      <x:c r="G539" s="79" t="str">
        <x:v>Découper les pièces mécaniques, valider attaches et reliefs individuels</x:v>
      </x:c>
      <x:c r="H539" s="79" t="str">
        <x:v>ART+QA</x:v>
      </x:c>
      <x:c r="I539" s="79" t="str">
        <x:v>Oui, pour les contrats techniques uniquement</x:v>
      </x:c>
      <x:c r="J539" s="79" t="str">
        <x:v>P2</x:v>
      </x:c>
      <x:c r="K539" s="79" t="str">
        <x:v>https://github.com/darknigthmare/yautja-la-longue-chasse/blob/feat/v131-gauntlet-hologram-dual-view-20261030/public/game/assets/v136/gauntlets/phg-captured/02-shell.svg</x:v>
      </x:c>
      <x:c r="L539" s="79" t="str">
        <x:v>Détails de coque présents, sous-pièces non séparées</x:v>
      </x:c>
    </x:row>
    <x:row r="540" ht="29" customHeight="1">
      <x:c r="A540" s="79" t="str">
        <x:v>05_Assets</x:v>
      </x:c>
      <x:c r="B540" s="79" t="n">
        <x:v>540</x:v>
      </x:c>
      <x:c r="C540" s="79" t="str">
        <x:v>phg-captured-BEAM</x:v>
      </x:c>
      <x:c r="D540" s="79" t="str">
        <x:v>phg-captured</x:v>
      </x:c>
      <x:c r="E540" s="79" t="str">
        <x:v>Émetteur holographique</x:v>
      </x:c>
      <x:c r="F540" s="79" t="str">
        <x:v>PARTIEL · prototype technique</x:v>
      </x:c>
      <x:c r="G540" s="79" t="str">
        <x:v>Conserver fonctionnalité HUD et produire la signature holographique de chaque modèle</x:v>
      </x:c>
      <x:c r="H540" s="79" t="str">
        <x:v>ART+QA</x:v>
      </x:c>
      <x:c r="I540" s="79" t="str">
        <x:v>Oui, pour les contrats techniques uniquement</x:v>
      </x:c>
      <x:c r="J540" s="79" t="str">
        <x:v>P2</x:v>
      </x:c>
      <x:c r="K540" s="79" t="str">
        <x:v>https://github.com/darknigthmare/yautja-la-longue-chasse/blob/feat/v131-gauntlet-hologram-dual-view-20261030/app/game/ClanWarGauntletV131.tsx</x:v>
      </x:c>
      <x:c r="L540" s="79" t="str">
        <x:v>Faisceau du projet (JH dédié, autres effet commun)</x:v>
      </x:c>
    </x:row>
    <x:row r="541" ht="29" customHeight="1">
      <x:c r="A541" s="79" t="str">
        <x:v>05_Assets</x:v>
      </x:c>
      <x:c r="B541" s="79" t="n">
        <x:v>541</x:v>
      </x:c>
      <x:c r="C541" s="79" t="str">
        <x:v>phg-captured-MOVE</x:v>
      </x:c>
      <x:c r="D541" s="79" t="str">
        <x:v>phg-captured</x:v>
      </x:c>
      <x:c r="E541" s="79" t="str">
        <x:v>Animations 4 états</x:v>
      </x:c>
      <x:c r="F541" s="79" t="str">
        <x:v>PARTIEL · prototype technique</x:v>
      </x:c>
      <x:c r="G541" s="79" t="str">
        <x:v>Compléter lever, ouvrir, projeter, ranger ; aligner au rig et à la caméra</x:v>
      </x:c>
      <x:c r="H541" s="79" t="str">
        <x:v>ART+QA</x:v>
      </x:c>
      <x:c r="I541" s="79" t="str">
        <x:v>Oui, pour les contrats techniques uniquement</x:v>
      </x:c>
      <x:c r="J541" s="79" t="str">
        <x:v>P2</x:v>
      </x:c>
      <x:c r="K541" s="79" t="str">
        <x:v>https://github.com/darknigthmare/yautja-la-longue-chasse/blob/feat/v131-gauntlet-hologram-dual-view-20261030/public/game/assets/v136/gauntlets/phg-captured/04-lid.svg</x:v>
      </x:c>
      <x:c r="L541" s="79" t="str">
        <x:v>Capot ouvert/fermé ; 3 gestes complets restent à faire</x:v>
      </x:c>
    </x:row>
    <x:row r="542" ht="29" customHeight="1">
      <x:c r="A542" s="79" t="str">
        <x:v>05_Assets</x:v>
      </x:c>
      <x:c r="B542" s="79" t="n">
        <x:v>542</x:v>
      </x:c>
      <x:c r="C542" s="79" t="str">
        <x:v>phg-captured-SFX</x:v>
      </x:c>
      <x:c r="D542" s="79" t="str">
        <x:v>phg-captured</x:v>
      </x:c>
      <x:c r="E542" s="79" t="str">
        <x:v>Identité sonore</x:v>
      </x:c>
      <x:c r="F542" s="79" t="str">
        <x:v>PARTIEL · prototype technique</x:v>
      </x:c>
      <x:c r="G542" s="79" t="str">
        <x:v>Distinguer signatures individualisées, écouter et calibrer mixage/mute</x:v>
      </x:c>
      <x:c r="H542" s="79" t="str">
        <x:v>UI/AUDIO</x:v>
      </x:c>
      <x:c r="I542" s="79" t="str">
        <x:v>Oui, pour les contrats techniques uniquement</x:v>
      </x:c>
      <x:c r="J542" s="79" t="str">
        <x:v>P2</x:v>
      </x:c>
      <x:c r="K542" s="79" t="str">
        <x:v>https://github.com/darknigthmare/yautja-la-longue-chasse/blob/feat/v131-gauntlet-hologram-dual-view-20261030/app/game/sound.ts</x:v>
      </x:c>
      <x:c r="L542" s="79" t="str">
        <x:v>Signature sonore par thème (10 profils), source non cinéma</x:v>
      </x:c>
    </x:row>
    <x:row r="543" ht="29" customHeight="1">
      <x:c r="A543" s="79" t="str">
        <x:v>05_Assets</x:v>
      </x:c>
      <x:c r="B543" s="79" t="n">
        <x:v>543</x:v>
      </x:c>
      <x:c r="C543" s="79" t="str">
        <x:v>phg-captured-HUD</x:v>
      </x:c>
      <x:c r="D543" s="79" t="str">
        <x:v>phg-captured</x:v>
      </x:c>
      <x:c r="E543" s="79" t="str">
        <x:v>Palette / projection</x:v>
      </x:c>
      <x:c r="F543" s="79" t="str">
        <x:v>PARTIEL · prototype technique</x:v>
      </x:c>
      <x:c r="G543" s="79" t="str">
        <x:v>Tester toutes résolutions, contrôles, sous-modes et cohérence d'infos</x:v>
      </x:c>
      <x:c r="H543" s="79" t="str">
        <x:v>UI/AUDIO</x:v>
      </x:c>
      <x:c r="I543" s="79" t="str">
        <x:v>Oui, pour les contrats techniques uniquement</x:v>
      </x:c>
      <x:c r="J543" s="79" t="str">
        <x:v>P2</x:v>
      </x:c>
      <x:c r="K543" s="79" t="str">
        <x:v>https://github.com/darknigthmare/yautja-la-longue-chasse/blob/feat/v131-gauntlet-hologram-dual-view-20261030/app/game/ClanWarGauntletV131.tsx</x:v>
      </x:c>
      <x:c r="L543" s="79" t="str">
        <x:v>HUD connecté / simulation intacte ; QA visuelle restante</x:v>
      </x:c>
    </x:row>
    <x:row r="544" ht="29" customHeight="1">
      <x:c r="A544" s="79" t="str">
        <x:v>05_Assets</x:v>
      </x:c>
      <x:c r="B544" s="79" t="n">
        <x:v>544</x:v>
      </x:c>
      <x:c r="C544" s="79" t="str">
        <x:v>phg-captured-QA</x:v>
      </x:c>
      <x:c r="D544" s="79" t="str">
        <x:v>phg-captured</x:v>
      </x:c>
      <x:c r="E544" s="79" t="str">
        <x:v>Comparaisons + tests</x:v>
      </x:c>
      <x:c r="F544" s="79" t="str">
        <x:v>PARTIEL · prototype technique</x:v>
      </x:c>
      <x:c r="G544" s="79" t="str">
        <x:v>Réaliser contrôles visuels film/rig + E2E jeu, FPS et accessibilité</x:v>
      </x:c>
      <x:c r="H544" s="79" t="str">
        <x:v>ART+QA</x:v>
      </x:c>
      <x:c r="I544" s="79" t="str">
        <x:v>Oui, pour les contrats techniques uniquement</x:v>
      </x:c>
      <x:c r="J544" s="79" t="str">
        <x:v>P2</x:v>
      </x:c>
      <x:c r="K544" s="79" t="str">
        <x:v>https://github.com/darknigthmare/yautja-la-longue-chasse/blob/feat/v131-gauntlet-hologram-dual-view-20261030/tests/gauntlet-archive-studies-v136.test.mjs</x:v>
      </x:c>
      <x:c r="L544" s="79" t="str">
        <x:v>Tests CI source / alpha / type / navigateur autonome ; 1:1 restant</x:v>
      </x:c>
    </x:row>
    <x:row r="545" ht="29" customHeight="1">
      <x:c r="A545" s="79" t="str">
        <x:v>06_Roadmap</x:v>
      </x:c>
      <x:c r="B545" s="79" t="n">
        <x:v>5</x:v>
      </x:c>
      <x:c r="C545" s="79" t="str">
        <x:v>R01</x:v>
      </x:c>
      <x:c r="D545" s="79" t="str">
        <x:v>Références</x:v>
      </x:c>
      <x:c r="E545" s="79" t="str">
        <x:v>Comparer 1987 prop + film + NECA</x:v>
      </x:c>
      <x:c r="F545" s="79" t="str">
        <x:v>Ouvert · références ou contenu canonique manquants</x:v>
      </x:c>
      <x:c r="G545" s="79" t="str">
        <x:v>Retenir captures dossier avec 3 angles</x:v>
      </x:c>
      <x:c r="H545" s="79" t="str">
        <x:v>ART/LORE</x:v>
      </x:c>
      <x:c r="I545" s="79" t="str">
        <x:v>Partiellement selon tests</x:v>
      </x:c>
      <x:c r="J545" s="79" t="str">
        <x:v>P0</x:v>
      </x:c>
      <x:c r="K545" s="79" t="str">
        <x:v>https://github.com/darknigthmare/yautja-la-longue-chasse/pull/42</x:v>
      </x:c>
      <x:c r="L545" s="79" t="str">
        <x:v>Non</x:v>
      </x:c>
    </x:row>
    <x:row r="546" ht="29" customHeight="1">
      <x:c r="A546" s="79" t="str">
        <x:v>06_Roadmap</x:v>
      </x:c>
      <x:c r="B546" s="79" t="n">
        <x:v>6</x:v>
      </x:c>
      <x:c r="C546" s="79" t="str">
        <x:v>R02</x:v>
      </x:c>
      <x:c r="D546" s="79" t="str">
        <x:v>Références</x:v>
      </x:c>
      <x:c r="E546" s="79" t="str">
        <x:v>Inventorier 1990 City Hunter + Greyback</x:v>
      </x:c>
      <x:c r="F546" s="79" t="str">
        <x:v>Partiel · prototype / preuve technique, finition ouverte</x:v>
      </x:c>
      <x:c r="G546" s="79" t="str">
        <x:v>Établir les vues utilisables des ordinateurs de poignet</x:v>
      </x:c>
      <x:c r="H546" s="79" t="str">
        <x:v>ART/LORE</x:v>
      </x:c>
      <x:c r="I546" s="79" t="str">
        <x:v>Partiellement selon tests</x:v>
      </x:c>
      <x:c r="J546" s="79" t="str">
        <x:v>P1</x:v>
      </x:c>
      <x:c r="K546" s="79" t="str">
        <x:v>https://github.com/darknigthmare/yautja-la-longue-chasse/pull/42</x:v>
      </x:c>
      <x:c r="L546" s="79" t="str">
        <x:v>Partiellement · consulter backlog et rapport V137</x:v>
      </x:c>
    </x:row>
    <x:row r="547" ht="29" customHeight="1">
      <x:c r="A547" s="79" t="str">
        <x:v>06_Roadmap</x:v>
      </x:c>
      <x:c r="B547" s="79" t="n">
        <x:v>7</x:v>
      </x:c>
      <x:c r="C547" s="79" t="str">
        <x:v>R03</x:v>
      </x:c>
      <x:c r="D547" s="79" t="str">
        <x:v>Références</x:v>
      </x:c>
      <x:c r="E547" s="79" t="str">
        <x:v>Séparer ordinateur de poignet et wristblades</x:v>
      </x:c>
      <x:c r="F547" s="79" t="str">
        <x:v>Partiel · prototype / preuve technique, finition ouverte</x:v>
      </x:c>
      <x:c r="G547" s="79" t="str">
        <x:v>Étiquettes et pièces indépendantes sans confusion</x:v>
      </x:c>
      <x:c r="H547" s="79" t="str">
        <x:v>ART/LORE</x:v>
      </x:c>
      <x:c r="I547" s="79" t="str">
        <x:v>Partiellement selon tests</x:v>
      </x:c>
      <x:c r="J547" s="79" t="str">
        <x:v>P0</x:v>
      </x:c>
      <x:c r="K547" s="79" t="str">
        <x:v>https://github.com/darknigthmare/yautja-la-longue-chasse/pull/42</x:v>
      </x:c>
      <x:c r="L547" s="79" t="str">
        <x:v>Partiellement · consulter backlog et rapport V137</x:v>
      </x:c>
    </x:row>
    <x:row r="548" ht="29" customHeight="1">
      <x:c r="A548" s="79" t="str">
        <x:v>06_Roadmap</x:v>
      </x:c>
      <x:c r="B548" s="79" t="n">
        <x:v>8</x:v>
      </x:c>
      <x:c r="C548" s="79" t="str">
        <x:v>R04</x:v>
      </x:c>
      <x:c r="D548" s="79" t="str">
        <x:v>Références</x:v>
      </x:c>
      <x:c r="E548" s="79" t="str">
        <x:v>Relever Scar / Celtic / Chopper</x:v>
      </x:c>
      <x:c r="F548" s="79" t="str">
        <x:v>Ouvert · références ou contenu canonique manquants</x:v>
      </x:c>
      <x:c r="G548" s="79" t="str">
        <x:v>Au moins deux vues par propriétaire avant 1:1</x:v>
      </x:c>
      <x:c r="H548" s="79" t="str">
        <x:v>ART/LORE</x:v>
      </x:c>
      <x:c r="I548" s="79" t="str">
        <x:v>Partiellement selon tests</x:v>
      </x:c>
      <x:c r="J548" s="79" t="str">
        <x:v>P1</x:v>
      </x:c>
      <x:c r="K548" s="79" t="str">
        <x:v>https://github.com/darknigthmare/yautja-la-longue-chasse/pull/42</x:v>
      </x:c>
      <x:c r="L548" s="79" t="str">
        <x:v>Non</x:v>
      </x:c>
    </x:row>
    <x:row r="549" ht="29" customHeight="1">
      <x:c r="A549" s="79" t="str">
        <x:v>06_Roadmap</x:v>
      </x:c>
      <x:c r="B549" s="79" t="n">
        <x:v>9</x:v>
      </x:c>
      <x:c r="C549" s="79" t="str">
        <x:v>R05</x:v>
      </x:c>
      <x:c r="D549" s="79" t="str">
        <x:v>Références</x:v>
      </x:c>
      <x:c r="E549" s="79" t="str">
        <x:v>Relever Wolf 2007</x:v>
      </x:c>
      <x:c r="F549" s="79" t="str">
        <x:v>Partiel · prototype / preuve technique, finition ouverte</x:v>
      </x:c>
      <x:c r="G549" s="79" t="str">
        <x:v>Identifier bras gauche et emplacements réels</x:v>
      </x:c>
      <x:c r="H549" s="79" t="str">
        <x:v>ART/LORE</x:v>
      </x:c>
      <x:c r="I549" s="79" t="str">
        <x:v>Partiellement selon tests</x:v>
      </x:c>
      <x:c r="J549" s="79" t="str">
        <x:v>P1</x:v>
      </x:c>
      <x:c r="K549" s="79" t="str">
        <x:v>https://github.com/darknigthmare/yautja-la-longue-chasse/pull/42</x:v>
      </x:c>
      <x:c r="L549" s="79" t="str">
        <x:v>Partiellement · consulter backlog et rapport V137</x:v>
      </x:c>
    </x:row>
    <x:row r="550" ht="29" customHeight="1">
      <x:c r="A550" s="79" t="str">
        <x:v>06_Roadmap</x:v>
      </x:c>
      <x:c r="B550" s="79" t="n">
        <x:v>10</x:v>
      </x:c>
      <x:c r="C550" s="79" t="str">
        <x:v>R06</x:v>
      </x:c>
      <x:c r="D550" s="79" t="str">
        <x:v>Références</x:v>
      </x:c>
      <x:c r="E550" s="79" t="str">
        <x:v>Relever Predators 2010 (4 modèles)</x:v>
      </x:c>
      <x:c r="F550" s="79" t="str">
        <x:v>Ouvert · références ou contenu canonique manquants</x:v>
      </x:c>
      <x:c r="G550" s="79" t="str">
        <x:v>Ne pas dupliquer sans preuves de géométrie</x:v>
      </x:c>
      <x:c r="H550" s="79" t="str">
        <x:v>ART/LORE</x:v>
      </x:c>
      <x:c r="I550" s="79" t="str">
        <x:v>Partiellement selon tests</x:v>
      </x:c>
      <x:c r="J550" s="79" t="str">
        <x:v>P1</x:v>
      </x:c>
      <x:c r="K550" s="79" t="str">
        <x:v>https://github.com/darknigthmare/yautja-la-longue-chasse/pull/42</x:v>
      </x:c>
      <x:c r="L550" s="79" t="str">
        <x:v>Non</x:v>
      </x:c>
    </x:row>
    <x:row r="551" ht="29" customHeight="1">
      <x:c r="A551" s="79" t="str">
        <x:v>06_Roadmap</x:v>
      </x:c>
      <x:c r="B551" s="79" t="n">
        <x:v>11</x:v>
      </x:c>
      <x:c r="C551" s="79" t="str">
        <x:v>R07</x:v>
      </x:c>
      <x:c r="D551" s="79" t="str">
        <x:v>Références</x:v>
      </x:c>
      <x:c r="E551" s="79" t="str">
        <x:v>Relever Fugitive / Assassin</x:v>
      </x:c>
      <x:c r="F551" s="79" t="str">
        <x:v>Ouvert · références ou contenu canonique manquants</x:v>
      </x:c>
      <x:c r="G551" s="79" t="str">
        <x:v>Établir fiches distinctes des films 2018</x:v>
      </x:c>
      <x:c r="H551" s="79" t="str">
        <x:v>ART/LORE</x:v>
      </x:c>
      <x:c r="I551" s="79" t="str">
        <x:v>Partiellement selon tests</x:v>
      </x:c>
      <x:c r="J551" s="79" t="str">
        <x:v>P2</x:v>
      </x:c>
      <x:c r="K551" s="79" t="str">
        <x:v>https://github.com/darknigthmare/yautja-la-longue-chasse/pull/42</x:v>
      </x:c>
      <x:c r="L551" s="79" t="str">
        <x:v>Non</x:v>
      </x:c>
    </x:row>
    <x:row r="552" ht="29" customHeight="1">
      <x:c r="A552" s="79" t="str">
        <x:v>06_Roadmap</x:v>
      </x:c>
      <x:c r="B552" s="79" t="n">
        <x:v>12</x:v>
      </x:c>
      <x:c r="C552" s="79" t="str">
        <x:v>R08</x:v>
      </x:c>
      <x:c r="D552" s="79" t="str">
        <x:v>Références</x:v>
      </x:c>
      <x:c r="E552" s="79" t="str">
        <x:v>Relever Feral Prey</x:v>
      </x:c>
      <x:c r="F552" s="79" t="str">
        <x:v>Partiel · prototype / preuve technique, finition ouverte</x:v>
      </x:c>
      <x:c r="G552" s="79" t="str">
        <x:v>Os/métal ; distinguer affichage et arme</x:v>
      </x:c>
      <x:c r="H552" s="79" t="str">
        <x:v>ART/LORE</x:v>
      </x:c>
      <x:c r="I552" s="79" t="str">
        <x:v>Partiellement selon tests</x:v>
      </x:c>
      <x:c r="J552" s="79" t="str">
        <x:v>P1</x:v>
      </x:c>
      <x:c r="K552" s="79" t="str">
        <x:v>https://github.com/darknigthmare/yautja-la-longue-chasse/pull/42</x:v>
      </x:c>
      <x:c r="L552" s="79" t="str">
        <x:v>Partiellement · consulter backlog et rapport V137</x:v>
      </x:c>
    </x:row>
    <x:row r="553" ht="29" customHeight="1">
      <x:c r="A553" s="79" t="str">
        <x:v>06_Roadmap</x:v>
      </x:c>
      <x:c r="B553" s="79" t="n">
        <x:v>13</x:v>
      </x:c>
      <x:c r="C553" s="79" t="str">
        <x:v>R09</x:v>
      </x:c>
      <x:c r="D553" s="79" t="str">
        <x:v>Références</x:v>
      </x:c>
      <x:c r="E553" s="79" t="str">
        <x:v>Comparer Wētā Dek/Kwei/Njohrr</x:v>
      </x:c>
      <x:c r="F553" s="79" t="str">
        <x:v>Partiel · prototype / preuve technique, finition ouverte</x:v>
      </x:c>
      <x:c r="G553" s="79" t="str">
        <x:v>Séparer art de studio, costume final et hypothèse</x:v>
      </x:c>
      <x:c r="H553" s="79" t="str">
        <x:v>ART/LORE</x:v>
      </x:c>
      <x:c r="I553" s="79" t="str">
        <x:v>Partiellement selon tests</x:v>
      </x:c>
      <x:c r="J553" s="79" t="str">
        <x:v>P1</x:v>
      </x:c>
      <x:c r="K553" s="79" t="str">
        <x:v>https://github.com/darknigthmare/yautja-la-longue-chasse/pull/42</x:v>
      </x:c>
      <x:c r="L553" s="79" t="str">
        <x:v>Partiellement · consulter backlog et rapport V137</x:v>
      </x:c>
    </x:row>
    <x:row r="554" ht="29" customHeight="1">
      <x:c r="A554" s="79" t="str">
        <x:v>06_Roadmap</x:v>
      </x:c>
      <x:c r="B554" s="79" t="n">
        <x:v>14</x:v>
      </x:c>
      <x:c r="C554" s="79" t="str">
        <x:v>R10</x:v>
      </x:c>
      <x:c r="D554" s="79" t="str">
        <x:v>Références</x:v>
      </x:c>
      <x:c r="E554" s="79" t="str">
        <x:v>Référencer Killer of Killers</x:v>
      </x:c>
      <x:c r="F554" s="79" t="str">
        <x:v>Ouvert · références ou contenu canonique manquants</x:v>
      </x:c>
      <x:c r="G554" s="79" t="str">
        <x:v>Ne pas confondre ses Vikings/Ninjas avec PHG</x:v>
      </x:c>
      <x:c r="H554" s="79" t="str">
        <x:v>ART/LORE</x:v>
      </x:c>
      <x:c r="I554" s="79" t="str">
        <x:v>Partiellement selon tests</x:v>
      </x:c>
      <x:c r="J554" s="79" t="str">
        <x:v>P2</x:v>
      </x:c>
      <x:c r="K554" s="79" t="str">
        <x:v>https://github.com/darknigthmare/yautja-la-longue-chasse/pull/42</x:v>
      </x:c>
      <x:c r="L554" s="79" t="str">
        <x:v>Non</x:v>
      </x:c>
    </x:row>
    <x:row r="555" ht="29" customHeight="1">
      <x:c r="A555" s="79" t="str">
        <x:v>06_Roadmap</x:v>
      </x:c>
      <x:c r="B555" s="79" t="n">
        <x:v>15</x:v>
      </x:c>
      <x:c r="C555" s="79" t="str">
        <x:v>R11</x:v>
      </x:c>
      <x:c r="D555" s="79" t="str">
        <x:v>Références</x:v>
      </x:c>
      <x:c r="E555" s="79" t="str">
        <x:v>Référencer PHG base/DLC/MAJ</x:v>
      </x:c>
      <x:c r="F555" s="79" t="str">
        <x:v>Ouvert · références ou contenu canonique manquants</x:v>
      </x:c>
      <x:c r="G555" s="79" t="str">
        <x:v>Nom et apparence des 20 classes vérifiés</x:v>
      </x:c>
      <x:c r="H555" s="79" t="str">
        <x:v>ART/LORE</x:v>
      </x:c>
      <x:c r="I555" s="79" t="str">
        <x:v>Partiellement selon tests</x:v>
      </x:c>
      <x:c r="J555" s="79" t="str">
        <x:v>P1</x:v>
      </x:c>
      <x:c r="K555" s="79" t="str">
        <x:v>https://github.com/darknigthmare/yautja-la-longue-chasse/pull/42</x:v>
      </x:c>
      <x:c r="L555" s="79" t="str">
        <x:v>Non</x:v>
      </x:c>
    </x:row>
    <x:row r="556" ht="29" customHeight="1">
      <x:c r="A556" s="79" t="str">
        <x:v>06_Roadmap</x:v>
      </x:c>
      <x:c r="B556" s="79" t="n">
        <x:v>16</x:v>
      </x:c>
      <x:c r="C556" s="79" t="str">
        <x:v>R12</x:v>
      </x:c>
      <x:c r="D556" s="79" t="str">
        <x:v>Références</x:v>
      </x:c>
      <x:c r="E556" s="79" t="str">
        <x:v>Identifier grands noms comics/jeux</x:v>
      </x:c>
      <x:c r="F556" s="79" t="str">
        <x:v>Ouvert · références ou contenu canonique manquants</x:v>
      </x:c>
      <x:c r="G556" s="79" t="str">
        <x:v>Aucun personnage présenté comme gauntlet certifié</x:v>
      </x:c>
      <x:c r="H556" s="79" t="str">
        <x:v>ART/LORE</x:v>
      </x:c>
      <x:c r="I556" s="79" t="str">
        <x:v>Partiellement selon tests</x:v>
      </x:c>
      <x:c r="J556" s="79" t="str">
        <x:v>P2</x:v>
      </x:c>
      <x:c r="K556" s="79" t="str">
        <x:v>https://github.com/darknigthmare/yautja-la-longue-chasse/pull/42</x:v>
      </x:c>
      <x:c r="L556" s="79" t="str">
        <x:v>Non</x:v>
      </x:c>
    </x:row>
    <x:row r="557" ht="29" customHeight="1">
      <x:c r="A557" s="79" t="str">
        <x:v>06_Roadmap</x:v>
      </x:c>
      <x:c r="B557" s="79" t="n">
        <x:v>25</x:v>
      </x:c>
      <x:c r="C557" s="79" t="str">
        <x:v>I09</x:v>
      </x:c>
      <x:c r="D557" s="79" t="str">
        <x:v>Moteur UI</x:v>
      </x:c>
      <x:c r="E557" s="79" t="str">
        <x:v>Produire animation d'ouverture propre</x:v>
      </x:c>
      <x:c r="F557" s="79" t="str">
        <x:v>Partiel · prototype / preuve technique, finition ouverte</x:v>
      </x:c>
      <x:c r="G557" s="79" t="str">
        <x:v>Pose/charnière alignées au gauntlet</x:v>
      </x:c>
      <x:c r="H557" s="79" t="str">
        <x:v>QUALITÉ/JEU</x:v>
      </x:c>
      <x:c r="I557" s="79" t="str">
        <x:v>Partiellement selon tests</x:v>
      </x:c>
      <x:c r="J557" s="79" t="str">
        <x:v>P1</x:v>
      </x:c>
      <x:c r="K557" s="79" t="str">
        <x:v>https://github.com/darknigthmare/yautja-la-longue-chasse/pull/42</x:v>
      </x:c>
      <x:c r="L557" s="79" t="str">
        <x:v>Partiellement · consulter backlog et rapport V137</x:v>
      </x:c>
    </x:row>
    <x:row r="558" ht="29" customHeight="1">
      <x:c r="A558" s="79" t="str">
        <x:v>06_Roadmap</x:v>
      </x:c>
      <x:c r="B558" s="79" t="n">
        <x:v>26</x:v>
      </x:c>
      <x:c r="C558" s="79" t="str">
        <x:v>I10</x:v>
      </x:c>
      <x:c r="D558" s="79" t="str">
        <x:v>Moteur UI</x:v>
      </x:c>
      <x:c r="E558" s="79" t="str">
        <x:v>Produire animation de fermeture propre</x:v>
      </x:c>
      <x:c r="F558" s="79" t="str">
        <x:v>Partiel · prototype / preuve technique, finition ouverte</x:v>
      </x:c>
      <x:c r="G558" s="79" t="str">
        <x:v>Transitions réversibles</x:v>
      </x:c>
      <x:c r="H558" s="79" t="str">
        <x:v>QUALITÉ/JEU</x:v>
      </x:c>
      <x:c r="I558" s="79" t="str">
        <x:v>Partiellement selon tests</x:v>
      </x:c>
      <x:c r="J558" s="79" t="str">
        <x:v>P1</x:v>
      </x:c>
      <x:c r="K558" s="79" t="str">
        <x:v>https://github.com/darknigthmare/yautja-la-longue-chasse/pull/42</x:v>
      </x:c>
      <x:c r="L558" s="79" t="str">
        <x:v>Partiellement · consulter backlog et rapport V137</x:v>
      </x:c>
    </x:row>
    <x:row r="559" ht="29" customHeight="1">
      <x:c r="A559" s="79" t="str">
        <x:v>06_Roadmap</x:v>
      </x:c>
      <x:c r="B559" s="79" t="n">
        <x:v>27</x:v>
      </x:c>
      <x:c r="C559" s="79" t="str">
        <x:v>I11</x:v>
      </x:c>
      <x:c r="D559" s="79" t="str">
        <x:v>Moteur UI</x:v>
      </x:c>
      <x:c r="E559" s="79" t="str">
        <x:v>Rendu globo / atlas sous faisceau</x:v>
      </x:c>
      <x:c r="F559" s="79" t="str">
        <x:v>Partiel · prototype / preuve technique, finition ouverte</x:v>
      </x:c>
      <x:c r="G559" s="79" t="str">
        <x:v>Carte provenant de la même simulation</x:v>
      </x:c>
      <x:c r="H559" s="79" t="str">
        <x:v>QUALITÉ/JEU</x:v>
      </x:c>
      <x:c r="I559" s="79" t="str">
        <x:v>Partiellement selon tests</x:v>
      </x:c>
      <x:c r="J559" s="79" t="str">
        <x:v>P0</x:v>
      </x:c>
      <x:c r="K559" s="79" t="str">
        <x:v>https://github.com/darknigthmare/yautja-la-longue-chasse/pull/42</x:v>
      </x:c>
      <x:c r="L559" s="79" t="str">
        <x:v>Partiellement · consulter backlog et rapport V137</x:v>
      </x:c>
    </x:row>
    <x:row r="560" ht="29" customHeight="1">
      <x:c r="A560" s="79" t="str">
        <x:v>06_Roadmap</x:v>
      </x:c>
      <x:c r="B560" s="79" t="n">
        <x:v>28</x:v>
      </x:c>
      <x:c r="C560" s="79" t="str">
        <x:v>I12</x:v>
      </x:c>
      <x:c r="D560" s="79" t="str">
        <x:v>Moteur UI</x:v>
      </x:c>
      <x:c r="E560" s="79" t="str">
        <x:v>Distinguer caméra personnage et écran de guerre</x:v>
      </x:c>
      <x:c r="F560" s="79" t="str">
        <x:v>Partiel · prototype / preuve technique, finition ouverte</x:v>
      </x:c>
      <x:c r="G560" s="79" t="str">
        <x:v>Ouverture depuis Homeworld/chasse sans retcon</x:v>
      </x:c>
      <x:c r="H560" s="79" t="str">
        <x:v>QUALITÉ/JEU</x:v>
      </x:c>
      <x:c r="I560" s="79" t="str">
        <x:v>Partiellement selon tests</x:v>
      </x:c>
      <x:c r="J560" s="79" t="str">
        <x:v>P1</x:v>
      </x:c>
      <x:c r="K560" s="79" t="str">
        <x:v>https://github.com/darknigthmare/yautja-la-longue-chasse/pull/42</x:v>
      </x:c>
      <x:c r="L560" s="79" t="str">
        <x:v>Partiellement · consulter backlog et rapport V137</x:v>
      </x:c>
    </x:row>
    <x:row r="561" ht="29" customHeight="1">
      <x:c r="A561" s="79" t="str">
        <x:v>06_Roadmap</x:v>
      </x:c>
      <x:c r="B561" s="79" t="n">
        <x:v>30</x:v>
      </x:c>
      <x:c r="C561" s="79" t="str">
        <x:v>I14</x:v>
      </x:c>
      <x:c r="D561" s="79" t="str">
        <x:v>Moteur UI</x:v>
      </x:c>
      <x:c r="E561" s="79" t="str">
        <x:v>Prévoir modèle facialement différent</x:v>
      </x:c>
      <x:c r="F561" s="79" t="str">
        <x:v>Partiel · prototype / preuve technique, finition ouverte</x:v>
      </x:c>
      <x:c r="G561" s="79" t="str">
        <x:v>Assets spécifiques, pas simple recoloration</x:v>
      </x:c>
      <x:c r="H561" s="79" t="str">
        <x:v>QUALITÉ/JEU</x:v>
      </x:c>
      <x:c r="I561" s="79" t="str">
        <x:v>Partiellement selon tests</x:v>
      </x:c>
      <x:c r="J561" s="79" t="str">
        <x:v>P1</x:v>
      </x:c>
      <x:c r="K561" s="79" t="str">
        <x:v>https://github.com/darknigthmare/yautja-la-longue-chasse/pull/42</x:v>
      </x:c>
      <x:c r="L561" s="79" t="str">
        <x:v>Partiellement · consulter backlog et rapport V137</x:v>
      </x:c>
    </x:row>
    <x:row r="562" ht="29" customHeight="1">
      <x:c r="A562" s="79" t="str">
        <x:v>06_Roadmap</x:v>
      </x:c>
      <x:c r="B562" s="79" t="n">
        <x:v>37</x:v>
      </x:c>
      <x:c r="C562" s="79" t="str">
        <x:v>S07</x:v>
      </x:c>
      <x:c r="D562" s="79" t="str">
        <x:v>Sauvegarde</x:v>
      </x:c>
      <x:c r="E562" s="79" t="str">
        <x:v>Import/export et cloud sync</x:v>
      </x:c>
      <x:c r="F562" s="79" t="str">
        <x:v>Partiel · prototype / preuve technique, finition ouverte</x:v>
      </x:c>
      <x:c r="G562" s="79" t="str">
        <x:v>Conditions des archives et conflit vérifiés</x:v>
      </x:c>
      <x:c r="H562" s="79" t="str">
        <x:v>QUALITÉ/JEU</x:v>
      </x:c>
      <x:c r="I562" s="79" t="str">
        <x:v>Partiellement selon tests</x:v>
      </x:c>
      <x:c r="J562" s="79" t="str">
        <x:v>P2</x:v>
      </x:c>
      <x:c r="K562" s="79" t="str">
        <x:v>https://github.com/darknigthmare/yautja-la-longue-chasse/pull/42</x:v>
      </x:c>
      <x:c r="L562" s="79" t="str">
        <x:v>Partiellement · consulter backlog et rapport V137</x:v>
      </x:c>
    </x:row>
    <x:row r="563" ht="29" customHeight="1">
      <x:c r="A563" s="79" t="str">
        <x:v>06_Roadmap</x:v>
      </x:c>
      <x:c r="B563" s="79" t="n">
        <x:v>38</x:v>
      </x:c>
      <x:c r="C563" s="79" t="str">
        <x:v>S08</x:v>
      </x:c>
      <x:c r="D563" s="79" t="str">
        <x:v>Sauvegarde</x:v>
      </x:c>
      <x:c r="E563" s="79" t="str">
        <x:v>Multi-onglets et changements de rang</x:v>
      </x:c>
      <x:c r="F563" s="79" t="str">
        <x:v>Partiel · prototype / preuve technique, finition ouverte</x:v>
      </x:c>
      <x:c r="G563" s="79" t="str">
        <x:v>Lire sans écraser un profil d'un autre joueur</x:v>
      </x:c>
      <x:c r="H563" s="79" t="str">
        <x:v>QUALITÉ/JEU</x:v>
      </x:c>
      <x:c r="I563" s="79" t="str">
        <x:v>Partiellement selon tests</x:v>
      </x:c>
      <x:c r="J563" s="79" t="str">
        <x:v>P0</x:v>
      </x:c>
      <x:c r="K563" s="79" t="str">
        <x:v>https://github.com/darknigthmare/yautja-la-longue-chasse/pull/42</x:v>
      </x:c>
      <x:c r="L563" s="79" t="str">
        <x:v>Partiellement · consulter backlog et rapport V137</x:v>
      </x:c>
    </x:row>
    <x:row r="564" ht="29" customHeight="1">
      <x:c r="A564" s="79" t="str">
        <x:v>06_Roadmap</x:v>
      </x:c>
      <x:c r="B564" s="79" t="n">
        <x:v>45</x:v>
      </x:c>
      <x:c r="C564" s="79" t="str">
        <x:v>U07</x:v>
      </x:c>
      <x:c r="D564" s="79" t="str">
        <x:v>Déblocage</x:v>
      </x:c>
      <x:c r="E564" s="79" t="str">
        <x:v>Créer atelier/réliquaire Homeworld</x:v>
      </x:c>
      <x:c r="F564" s="79" t="str">
        <x:v>Partiel · prototype / preuve technique, finition ouverte</x:v>
      </x:c>
      <x:c r="G564" s="79" t="str">
        <x:v>Lieu spatial cohérent, pas bouton magique</x:v>
      </x:c>
      <x:c r="H564" s="79" t="str">
        <x:v>QUALITÉ/JEU</x:v>
      </x:c>
      <x:c r="I564" s="79" t="str">
        <x:v>Partiellement selon tests</x:v>
      </x:c>
      <x:c r="J564" s="79" t="str">
        <x:v>P1</x:v>
      </x:c>
      <x:c r="K564" s="79" t="str">
        <x:v>https://github.com/darknigthmare/yautja-la-longue-chasse/pull/42</x:v>
      </x:c>
      <x:c r="L564" s="79" t="str">
        <x:v>Partiellement · consulter backlog et rapport V137</x:v>
      </x:c>
    </x:row>
    <x:row r="565" ht="29" customHeight="1">
      <x:c r="A565" s="79" t="str">
        <x:v>06_Roadmap</x:v>
      </x:c>
      <x:c r="B565" s="79" t="n">
        <x:v>48</x:v>
      </x:c>
      <x:c r="C565" s="79" t="str">
        <x:v>U10</x:v>
      </x:c>
      <x:c r="D565" s="79" t="str">
        <x:v>Déblocage</x:v>
      </x:c>
      <x:c r="E565" s="79" t="str">
        <x:v>Progresser sur Badlands / KoK</x:v>
      </x:c>
      <x:c r="F565" s="79" t="str">
        <x:v>Partiel · prototype / preuve technique, finition ouverte</x:v>
      </x:c>
      <x:c r="G565" s="79" t="str">
        <x:v>Arcs narratifs séparés, DLC si nécessaire</x:v>
      </x:c>
      <x:c r="H565" s="79" t="str">
        <x:v>QUALITÉ/JEU</x:v>
      </x:c>
      <x:c r="I565" s="79" t="str">
        <x:v>Partiellement selon tests</x:v>
      </x:c>
      <x:c r="J565" s="79" t="str">
        <x:v>P2</x:v>
      </x:c>
      <x:c r="K565" s="79" t="str">
        <x:v>https://github.com/darknigthmare/yautja-la-longue-chasse/pull/42</x:v>
      </x:c>
      <x:c r="L565" s="79" t="str">
        <x:v>Partiellement · consulter backlog et rapport V137</x:v>
      </x:c>
    </x:row>
    <x:row r="566" ht="29" customHeight="1">
      <x:c r="A566" s="79" t="str">
        <x:v>06_Roadmap</x:v>
      </x:c>
      <x:c r="B566" s="79" t="n">
        <x:v>49</x:v>
      </x:c>
      <x:c r="C566" s="79" t="str">
        <x:v>A01</x:v>
      </x:c>
      <x:c r="D566" s="79" t="str">
        <x:v>Art</x:v>
      </x:c>
      <x:c r="E566" s="79" t="str">
        <x:v>Reconstruction Jungle Hunter 3 vues</x:v>
      </x:c>
      <x:c r="F566" s="79" t="str">
        <x:v>Ouvert · références ou contenu canonique manquants</x:v>
      </x:c>
      <x:c r="G566" s="79" t="str">
        <x:v>Image de face / profil / dessus contrôlées</x:v>
      </x:c>
      <x:c r="H566" s="79" t="str">
        <x:v>ART/LORE</x:v>
      </x:c>
      <x:c r="I566" s="79" t="str">
        <x:v>Partiellement selon tests</x:v>
      </x:c>
      <x:c r="J566" s="79" t="str">
        <x:v>P0</x:v>
      </x:c>
      <x:c r="K566" s="79" t="str">
        <x:v>https://github.com/darknigthmare/yautja-la-longue-chasse/pull/42</x:v>
      </x:c>
      <x:c r="L566" s="79" t="str">
        <x:v>Non</x:v>
      </x:c>
    </x:row>
    <x:row r="567" ht="29" customHeight="1">
      <x:c r="A567" s="79" t="str">
        <x:v>06_Roadmap</x:v>
      </x:c>
      <x:c r="B567" s="79" t="n">
        <x:v>50</x:v>
      </x:c>
      <x:c r="C567" s="79" t="str">
        <x:v>A02</x:v>
      </x:c>
      <x:c r="D567" s="79" t="str">
        <x:v>Art</x:v>
      </x:c>
      <x:c r="E567" s="79" t="str">
        <x:v>Matériaux réalistes et patine du boîtier</x:v>
      </x:c>
      <x:c r="F567" s="79" t="str">
        <x:v>Ouvert · références ou contenu canonique manquants</x:v>
      </x:c>
      <x:c r="G567" s="79" t="str">
        <x:v>Comparaison 3 captures ; détail froid/usé</x:v>
      </x:c>
      <x:c r="H567" s="79" t="str">
        <x:v>ART/LORE</x:v>
      </x:c>
      <x:c r="I567" s="79" t="str">
        <x:v>Partiellement selon tests</x:v>
      </x:c>
      <x:c r="J567" s="79" t="str">
        <x:v>P0</x:v>
      </x:c>
      <x:c r="K567" s="79" t="str">
        <x:v>https://github.com/darknigthmare/yautja-la-longue-chasse/pull/42</x:v>
      </x:c>
      <x:c r="L567" s="79" t="str">
        <x:v>Non</x:v>
      </x:c>
    </x:row>
    <x:row r="568" ht="29" customHeight="1">
      <x:c r="A568" s="79" t="str">
        <x:v>06_Roadmap</x:v>
      </x:c>
      <x:c r="B568" s="79" t="n">
        <x:v>51</x:v>
      </x:c>
      <x:c r="C568" s="79" t="str">
        <x:v>A03</x:v>
      </x:c>
      <x:c r="D568" s="79" t="str">
        <x:v>Art</x:v>
      </x:c>
      <x:c r="E568" s="79" t="str">
        <x:v>Glyphes rouges haute définition</x:v>
      </x:c>
      <x:c r="F568" s="79" t="str">
        <x:v>Partiel · prototype / preuve technique, finition ouverte</x:v>
      </x:c>
      <x:c r="G568" s="79" t="str">
        <x:v>Glyphes vérifiés ou marqués fictionnels</x:v>
      </x:c>
      <x:c r="H568" s="79" t="str">
        <x:v>ART/LORE</x:v>
      </x:c>
      <x:c r="I568" s="79" t="str">
        <x:v>Partiellement selon tests</x:v>
      </x:c>
      <x:c r="J568" s="79" t="str">
        <x:v>P0</x:v>
      </x:c>
      <x:c r="K568" s="79" t="str">
        <x:v>https://github.com/darknigthmare/yautja-la-longue-chasse/pull/42</x:v>
      </x:c>
      <x:c r="L568" s="79" t="str">
        <x:v>Partiellement · consulter backlog et rapport V137</x:v>
      </x:c>
    </x:row>
    <x:row r="569" ht="29" customHeight="1">
      <x:c r="A569" s="79" t="str">
        <x:v>06_Roadmap</x:v>
      </x:c>
      <x:c r="B569" s="79" t="n">
        <x:v>52</x:v>
      </x:c>
      <x:c r="C569" s="79" t="str">
        <x:v>A04</x:v>
      </x:c>
      <x:c r="D569" s="79" t="str">
        <x:v>Art</x:v>
      </x:c>
      <x:c r="E569" s="79" t="str">
        <x:v>Rédiger animation 1:1 du capot</x:v>
      </x:c>
      <x:c r="F569" s="79" t="str">
        <x:v>Partiel · prototype / preuve technique, finition ouverte</x:v>
      </x:c>
      <x:c r="G569" s="79" t="str">
        <x:v>Pivot et épaisseur ne changent pas</x:v>
      </x:c>
      <x:c r="H569" s="79" t="str">
        <x:v>ART/LORE</x:v>
      </x:c>
      <x:c r="I569" s="79" t="str">
        <x:v>Partiellement selon tests</x:v>
      </x:c>
      <x:c r="J569" s="79" t="str">
        <x:v>P0</x:v>
      </x:c>
      <x:c r="K569" s="79" t="str">
        <x:v>https://github.com/darknigthmare/yautja-la-longue-chasse/pull/42</x:v>
      </x:c>
      <x:c r="L569" s="79" t="str">
        <x:v>Partiellement · consulter backlog et rapport V137</x:v>
      </x:c>
    </x:row>
    <x:row r="570" ht="29" customHeight="1">
      <x:c r="A570" s="79" t="str">
        <x:v>06_Roadmap</x:v>
      </x:c>
      <x:c r="B570" s="79" t="n">
        <x:v>53</x:v>
      </x:c>
      <x:c r="C570" s="79" t="str">
        <x:v>A05</x:v>
      </x:c>
      <x:c r="D570" s="79" t="str">
        <x:v>Art</x:v>
      </x:c>
      <x:c r="E570" s="79" t="str">
        <x:v>Créer source PNG par pièce</x:v>
      </x:c>
      <x:c r="F570" s="79" t="str">
        <x:v>Partiel · prototype / preuve technique, finition ouverte</x:v>
      </x:c>
      <x:c r="G570" s="79" t="str">
        <x:v>Silhouette sans troncature et alpha propre</x:v>
      </x:c>
      <x:c r="H570" s="79" t="str">
        <x:v>ART/LORE</x:v>
      </x:c>
      <x:c r="I570" s="79" t="str">
        <x:v>Partiellement selon tests</x:v>
      </x:c>
      <x:c r="J570" s="79" t="str">
        <x:v>P0</x:v>
      </x:c>
      <x:c r="K570" s="79" t="str">
        <x:v>https://github.com/darknigthmare/yautja-la-longue-chasse/pull/42</x:v>
      </x:c>
      <x:c r="L570" s="79" t="str">
        <x:v>Partiellement · consulter backlog et rapport V137</x:v>
      </x:c>
    </x:row>
    <x:row r="571" ht="29" customHeight="1">
      <x:c r="A571" s="79" t="str">
        <x:v>06_Roadmap</x:v>
      </x:c>
      <x:c r="B571" s="79" t="n">
        <x:v>54</x:v>
      </x:c>
      <x:c r="C571" s="79" t="str">
        <x:v>A06</x:v>
      </x:c>
      <x:c r="D571" s="79" t="str">
        <x:v>Art</x:v>
      </x:c>
      <x:c r="E571" s="79" t="str">
        <x:v>Créer City Hunter silhouette spécifique</x:v>
      </x:c>
      <x:c r="F571" s="79" t="str">
        <x:v>Partiel · prototype / preuve technique, finition ouverte</x:v>
      </x:c>
      <x:c r="G571" s="79" t="str">
        <x:v>L'écran ne reprend pas le JH par copie</x:v>
      </x:c>
      <x:c r="H571" s="79" t="str">
        <x:v>ART/LORE</x:v>
      </x:c>
      <x:c r="I571" s="79" t="str">
        <x:v>Partiellement selon tests</x:v>
      </x:c>
      <x:c r="J571" s="79" t="str">
        <x:v>P1</x:v>
      </x:c>
      <x:c r="K571" s="79" t="str">
        <x:v>https://github.com/darknigthmare/yautja-la-longue-chasse/pull/42</x:v>
      </x:c>
      <x:c r="L571" s="79" t="str">
        <x:v>Partiellement · consulter backlog et rapport V137</x:v>
      </x:c>
    </x:row>
    <x:row r="572" ht="29" customHeight="1">
      <x:c r="A572" s="79" t="str">
        <x:v>06_Roadmap</x:v>
      </x:c>
      <x:c r="B572" s="79" t="n">
        <x:v>55</x:v>
      </x:c>
      <x:c r="C572" s="79" t="str">
        <x:v>A07</x:v>
      </x:c>
      <x:c r="D572" s="79" t="str">
        <x:v>Art</x:v>
      </x:c>
      <x:c r="E572" s="79" t="str">
        <x:v>Créer Scar/Wolf propres</x:v>
      </x:c>
      <x:c r="F572" s="79" t="str">
        <x:v>Partiel · prototype / preuve technique, finition ouverte</x:v>
      </x:c>
      <x:c r="G572" s="79" t="str">
        <x:v>Pièces et textures uniques</x:v>
      </x:c>
      <x:c r="H572" s="79" t="str">
        <x:v>ART/LORE</x:v>
      </x:c>
      <x:c r="I572" s="79" t="str">
        <x:v>Partiellement selon tests</x:v>
      </x:c>
      <x:c r="J572" s="79" t="str">
        <x:v>P1</x:v>
      </x:c>
      <x:c r="K572" s="79" t="str">
        <x:v>https://github.com/darknigthmare/yautja-la-longue-chasse/pull/42</x:v>
      </x:c>
      <x:c r="L572" s="79" t="str">
        <x:v>Partiellement · consulter backlog et rapport V137</x:v>
      </x:c>
    </x:row>
    <x:row r="573" ht="29" customHeight="1">
      <x:c r="A573" s="79" t="str">
        <x:v>06_Roadmap</x:v>
      </x:c>
      <x:c r="B573" s="79" t="n">
        <x:v>56</x:v>
      </x:c>
      <x:c r="C573" s="79" t="str">
        <x:v>A08</x:v>
      </x:c>
      <x:c r="D573" s="79" t="str">
        <x:v>Art</x:v>
      </x:c>
      <x:c r="E573" s="79" t="str">
        <x:v>Créer Feral en os/métal</x:v>
      </x:c>
      <x:c r="F573" s="79" t="str">
        <x:v>Partiel · prototype / preuve technique, finition ouverte</x:v>
      </x:c>
      <x:c r="G573" s="79" t="str">
        <x:v>Aucun faux LCD 1987</x:v>
      </x:c>
      <x:c r="H573" s="79" t="str">
        <x:v>ART/LORE</x:v>
      </x:c>
      <x:c r="I573" s="79" t="str">
        <x:v>Partiellement selon tests</x:v>
      </x:c>
      <x:c r="J573" s="79" t="str">
        <x:v>P1</x:v>
      </x:c>
      <x:c r="K573" s="79" t="str">
        <x:v>https://github.com/darknigthmare/yautja-la-longue-chasse/pull/42</x:v>
      </x:c>
      <x:c r="L573" s="79" t="str">
        <x:v>Partiellement · consulter backlog et rapport V137</x:v>
      </x:c>
    </x:row>
    <x:row r="574" ht="29" customHeight="1">
      <x:c r="A574" s="79" t="str">
        <x:v>06_Roadmap</x:v>
      </x:c>
      <x:c r="B574" s="79" t="n">
        <x:v>57</x:v>
      </x:c>
      <x:c r="C574" s="79" t="str">
        <x:v>A09</x:v>
      </x:c>
      <x:c r="D574" s="79" t="str">
        <x:v>Art</x:v>
      </x:c>
      <x:c r="E574" s="79" t="str">
        <x:v>Créer Dek avec références Wētā</x:v>
      </x:c>
      <x:c r="F574" s="79" t="str">
        <x:v>Partiel · prototype / preuve technique, finition ouverte</x:v>
      </x:c>
      <x:c r="G574" s="79" t="str">
        <x:v>Filigranes et matières sans glyphes inventés présentés canon</x:v>
      </x:c>
      <x:c r="H574" s="79" t="str">
        <x:v>ART/LORE</x:v>
      </x:c>
      <x:c r="I574" s="79" t="str">
        <x:v>Partiellement selon tests</x:v>
      </x:c>
      <x:c r="J574" s="79" t="str">
        <x:v>P1</x:v>
      </x:c>
      <x:c r="K574" s="79" t="str">
        <x:v>https://github.com/darknigthmare/yautja-la-longue-chasse/pull/42</x:v>
      </x:c>
      <x:c r="L574" s="79" t="str">
        <x:v>Partiellement · consulter backlog et rapport V137</x:v>
      </x:c>
    </x:row>
    <x:row r="575" ht="29" customHeight="1">
      <x:c r="A575" s="79" t="str">
        <x:v>06_Roadmap</x:v>
      </x:c>
      <x:c r="B575" s="79" t="n">
        <x:v>58</x:v>
      </x:c>
      <x:c r="C575" s="79" t="str">
        <x:v>A10</x:v>
      </x:c>
      <x:c r="D575" s="79" t="str">
        <x:v>Art</x:v>
      </x:c>
      <x:c r="E575" s="79" t="str">
        <x:v>Varier toutes les 54 variantes</x:v>
      </x:c>
      <x:c r="F575" s="79" t="str">
        <x:v>Partiel · prototype / preuve technique, finition ouverte</x:v>
      </x:c>
      <x:c r="G575" s="79" t="str">
        <x:v>Statut assets réels distincts ou placeholder</x:v>
      </x:c>
      <x:c r="H575" s="79" t="str">
        <x:v>ART/LORE</x:v>
      </x:c>
      <x:c r="I575" s="79" t="str">
        <x:v>Partiellement selon tests</x:v>
      </x:c>
      <x:c r="J575" s="79" t="str">
        <x:v>P2</x:v>
      </x:c>
      <x:c r="K575" s="79" t="str">
        <x:v>https://github.com/darknigthmare/yautja-la-longue-chasse/pull/42</x:v>
      </x:c>
      <x:c r="L575" s="79" t="str">
        <x:v>Partiellement · consulter backlog et rapport V137</x:v>
      </x:c>
    </x:row>
    <x:row r="576" ht="29" customHeight="1">
      <x:c r="A576" s="79" t="str">
        <x:v>06_Roadmap</x:v>
      </x:c>
      <x:c r="B576" s="79" t="n">
        <x:v>59</x:v>
      </x:c>
      <x:c r="C576" s="79" t="str">
        <x:v>A11</x:v>
      </x:c>
      <x:c r="D576" s="79" t="str">
        <x:v>Art</x:v>
      </x:c>
      <x:c r="E576" s="79" t="str">
        <x:v>Créer signature audio 10 thèmes</x:v>
      </x:c>
      <x:c r="F576" s="79" t="str">
        <x:v>Partiel · prototype / preuve technique, finition ouverte</x:v>
      </x:c>
      <x:c r="G576" s="79" t="str">
        <x:v>10 familles originales, pas bruitages film repris</x:v>
      </x:c>
      <x:c r="H576" s="79" t="str">
        <x:v>ART/LORE</x:v>
      </x:c>
      <x:c r="I576" s="79" t="str">
        <x:v>Partiellement selon tests</x:v>
      </x:c>
      <x:c r="J576" s="79" t="str">
        <x:v>P1</x:v>
      </x:c>
      <x:c r="K576" s="79" t="str">
        <x:v>https://github.com/darknigthmare/yautja-la-longue-chasse/pull/42</x:v>
      </x:c>
      <x:c r="L576" s="79" t="str">
        <x:v>Partiellement · consulter backlog et rapport V137</x:v>
      </x:c>
    </x:row>
    <x:row r="577" ht="29" customHeight="1">
      <x:c r="A577" s="79" t="str">
        <x:v>06_Roadmap</x:v>
      </x:c>
      <x:c r="B577" s="79" t="n">
        <x:v>60</x:v>
      </x:c>
      <x:c r="C577" s="79" t="str">
        <x:v>A12</x:v>
      </x:c>
      <x:c r="D577" s="79" t="str">
        <x:v>Art</x:v>
      </x:c>
      <x:c r="E577" s="79" t="str">
        <x:v>Éclairage bras/écran/hologramme</x:v>
      </x:c>
      <x:c r="F577" s="79" t="str">
        <x:v>Partiel · prototype / preuve technique, finition ouverte</x:v>
      </x:c>
      <x:c r="G577" s="79" t="str">
        <x:v>Ni lueur uniforme ni invisibilité sur fond sombre</x:v>
      </x:c>
      <x:c r="H577" s="79" t="str">
        <x:v>ART/LORE</x:v>
      </x:c>
      <x:c r="I577" s="79" t="str">
        <x:v>Partiellement selon tests</x:v>
      </x:c>
      <x:c r="J577" s="79" t="str">
        <x:v>P1</x:v>
      </x:c>
      <x:c r="K577" s="79" t="str">
        <x:v>https://github.com/darknigthmare/yautja-la-longue-chasse/pull/42</x:v>
      </x:c>
      <x:c r="L577" s="79" t="str">
        <x:v>Partiellement · consulter backlog et rapport V137</x:v>
      </x:c>
    </x:row>
    <x:row r="578" ht="29" customHeight="1">
      <x:c r="A578" s="79" t="str">
        <x:v>06_Roadmap</x:v>
      </x:c>
      <x:c r="B578" s="79" t="n">
        <x:v>64</x:v>
      </x:c>
      <x:c r="C578" s="79" t="str">
        <x:v>Q04</x:v>
      </x:c>
      <x:c r="D578" s="79" t="str">
        <x:v>Qualité</x:v>
      </x:c>
      <x:c r="E578" s="79" t="str">
        <x:v>Navigation clavier / lecteur d'écran</x:v>
      </x:c>
      <x:c r="F578" s="79" t="str">
        <x:v>Partiel · prototype / preuve technique, finition ouverte</x:v>
      </x:c>
      <x:c r="G578" s="79" t="str">
        <x:v>Tous les boutons et notices annoncés</x:v>
      </x:c>
      <x:c r="H578" s="79" t="str">
        <x:v>QUALITÉ/JEU</x:v>
      </x:c>
      <x:c r="I578" s="79" t="str">
        <x:v>Partiellement selon tests</x:v>
      </x:c>
      <x:c r="J578" s="79" t="str">
        <x:v>P0</x:v>
      </x:c>
      <x:c r="K578" s="79" t="str">
        <x:v>https://github.com/darknigthmare/yautja-la-longue-chasse/pull/42</x:v>
      </x:c>
      <x:c r="L578" s="79" t="str">
        <x:v>Partiellement · consulter backlog et rapport V137</x:v>
      </x:c>
    </x:row>
    <x:row r="579" ht="29" customHeight="1">
      <x:c r="A579" s="79" t="str">
        <x:v>06_Roadmap</x:v>
      </x:c>
      <x:c r="B579" s="79" t="n">
        <x:v>65</x:v>
      </x:c>
      <x:c r="C579" s="79" t="str">
        <x:v>Q05</x:v>
      </x:c>
      <x:c r="D579" s="79" t="str">
        <x:v>Qualité</x:v>
      </x:c>
      <x:c r="E579" s="79" t="str">
        <x:v>Mobile compact</x:v>
      </x:c>
      <x:c r="F579" s="79" t="str">
        <x:v>Partiel · prototype / preuve technique, finition ouverte</x:v>
      </x:c>
      <x:c r="G579" s="79" t="str">
        <x:v>Aucun débordement ou perte de commande</x:v>
      </x:c>
      <x:c r="H579" s="79" t="str">
        <x:v>QUALITÉ/JEU</x:v>
      </x:c>
      <x:c r="I579" s="79" t="str">
        <x:v>Partiellement selon tests</x:v>
      </x:c>
      <x:c r="J579" s="79" t="str">
        <x:v>P0</x:v>
      </x:c>
      <x:c r="K579" s="79" t="str">
        <x:v>https://github.com/darknigthmare/yautja-la-longue-chasse/pull/42</x:v>
      </x:c>
      <x:c r="L579" s="79" t="str">
        <x:v>Partiellement · consulter backlog et rapport V137</x:v>
      </x:c>
    </x:row>
    <x:row r="580" ht="29" customHeight="1">
      <x:c r="A580" s="79" t="str">
        <x:v>06_Roadmap</x:v>
      </x:c>
      <x:c r="B580" s="79" t="n">
        <x:v>66</x:v>
      </x:c>
      <x:c r="C580" s="79" t="str">
        <x:v>Q06</x:v>
      </x:c>
      <x:c r="D580" s="79" t="str">
        <x:v>Qualité</x:v>
      </x:c>
      <x:c r="E580" s="79" t="str">
        <x:v>Test mode contraste</x:v>
      </x:c>
      <x:c r="F580" s="79" t="str">
        <x:v>Partiel · prototype / preuve technique, finition ouverte</x:v>
      </x:c>
      <x:c r="G580" s="79" t="str">
        <x:v>Texte et glyphes encore lisibles</x:v>
      </x:c>
      <x:c r="H580" s="79" t="str">
        <x:v>QUALITÉ/JEU</x:v>
      </x:c>
      <x:c r="I580" s="79" t="str">
        <x:v>Partiellement selon tests</x:v>
      </x:c>
      <x:c r="J580" s="79" t="str">
        <x:v>P1</x:v>
      </x:c>
      <x:c r="K580" s="79" t="str">
        <x:v>https://github.com/darknigthmare/yautja-la-longue-chasse/pull/42</x:v>
      </x:c>
      <x:c r="L580" s="79" t="str">
        <x:v>Partiellement · consulter backlog et rapport V137</x:v>
      </x:c>
    </x:row>
    <x:row r="581" ht="29" customHeight="1">
      <x:c r="A581" s="79" t="str">
        <x:v>06_Roadmap</x:v>
      </x:c>
      <x:c r="B581" s="79" t="n">
        <x:v>67</x:v>
      </x:c>
      <x:c r="C581" s="79" t="str">
        <x:v>Q07</x:v>
      </x:c>
      <x:c r="D581" s="79" t="str">
        <x:v>Qualité</x:v>
      </x:c>
      <x:c r="E581" s="79" t="str">
        <x:v>Test mode reduced motion</x:v>
      </x:c>
      <x:c r="F581" s="79" t="str">
        <x:v>Partiel · prototype / preuve technique, finition ouverte</x:v>
      </x:c>
      <x:c r="G581" s="79" t="str">
        <x:v>Aucune animation forcée</x:v>
      </x:c>
      <x:c r="H581" s="79" t="str">
        <x:v>QUALITÉ/JEU</x:v>
      </x:c>
      <x:c r="I581" s="79" t="str">
        <x:v>Partiellement selon tests</x:v>
      </x:c>
      <x:c r="J581" s="79" t="str">
        <x:v>P0</x:v>
      </x:c>
      <x:c r="K581" s="79" t="str">
        <x:v>https://github.com/darknigthmare/yautja-la-longue-chasse/pull/42</x:v>
      </x:c>
      <x:c r="L581" s="79" t="str">
        <x:v>Partiellement · consulter backlog et rapport V137</x:v>
      </x:c>
    </x:row>
    <x:row r="582" ht="29" customHeight="1">
      <x:c r="A582" s="79" t="str">
        <x:v>06_Roadmap</x:v>
      </x:c>
      <x:c r="B582" s="79" t="n">
        <x:v>70</x:v>
      </x:c>
      <x:c r="C582" s="79" t="str">
        <x:v>Q10</x:v>
      </x:c>
      <x:c r="D582" s="79" t="str">
        <x:v>Qualité</x:v>
      </x:c>
      <x:c r="E582" s="79" t="str">
        <x:v>Mesurer mémoire, VRAM, FPS</x:v>
      </x:c>
      <x:c r="F582" s="79" t="str">
        <x:v>Ouvert · mesure / revue humaine / droits requis</x:v>
      </x:c>
      <x:c r="G582" s="79" t="str">
        <x:v>Mesures réelles sur appareils identifiés</x:v>
      </x:c>
      <x:c r="H582" s="79" t="str">
        <x:v>QUALITÉ/JEU</x:v>
      </x:c>
      <x:c r="I582" s="79" t="str">
        <x:v>Partiellement selon tests</x:v>
      </x:c>
      <x:c r="J582" s="79" t="str">
        <x:v>P1</x:v>
      </x:c>
      <x:c r="K582" s="79" t="str">
        <x:v>https://github.com/darknigthmare/yautja-la-longue-chasse/pull/42</x:v>
      </x:c>
      <x:c r="L582" s="79" t="str">
        <x:v>Non : qualification indisponible</x:v>
      </x:c>
    </x:row>
    <x:row r="583" ht="29" customHeight="1">
      <x:c r="A583" s="79" t="str">
        <x:v>06_Roadmap</x:v>
      </x:c>
      <x:c r="B583" s="79" t="n">
        <x:v>71</x:v>
      </x:c>
      <x:c r="C583" s="79" t="str">
        <x:v>Q11</x:v>
      </x:c>
      <x:c r="D583" s="79" t="str">
        <x:v>Qualité</x:v>
      </x:c>
      <x:c r="E583" s="79" t="str">
        <x:v>Validation 1:1 Jungle Hunter</x:v>
      </x:c>
      <x:c r="F583" s="79" t="str">
        <x:v>Ouvert · mesure / revue humaine / droits requis</x:v>
      </x:c>
      <x:c r="G583" s="79" t="str">
        <x:v>Revue artistique humaine avec captures</x:v>
      </x:c>
      <x:c r="H583" s="79" t="str">
        <x:v>QUALITÉ/JEU</x:v>
      </x:c>
      <x:c r="I583" s="79" t="str">
        <x:v>Partiellement selon tests</x:v>
      </x:c>
      <x:c r="J583" s="79" t="str">
        <x:v>P0</x:v>
      </x:c>
      <x:c r="K583" s="79" t="str">
        <x:v>https://github.com/darknigthmare/yautja-la-longue-chasse/pull/42</x:v>
      </x:c>
      <x:c r="L583" s="79" t="str">
        <x:v>Non : qualification indisponible</x:v>
      </x:c>
    </x:row>
    <x:row r="584" ht="29" customHeight="1">
      <x:c r="A584" s="79" t="str">
        <x:v>06_Roadmap</x:v>
      </x:c>
      <x:c r="B584" s="79" t="n">
        <x:v>72</x:v>
      </x:c>
      <x:c r="C584" s="79" t="str">
        <x:v>Q12</x:v>
      </x:c>
      <x:c r="D584" s="79" t="str">
        <x:v>Qualité</x:v>
      </x:c>
      <x:c r="E584" s="79" t="str">
        <x:v>Artistes et testeurs 4 profils</x:v>
      </x:c>
      <x:c r="F584" s="79" t="str">
        <x:v>Ouvert · mesure / revue humaine / droits requis</x:v>
      </x:c>
      <x:c r="G584" s="79" t="str">
        <x:v>Rapport 4 testeurs et comparaison</x:v>
      </x:c>
      <x:c r="H584" s="79" t="str">
        <x:v>QUALITÉ/JEU</x:v>
      </x:c>
      <x:c r="I584" s="79" t="str">
        <x:v>Partiellement selon tests</x:v>
      </x:c>
      <x:c r="J584" s="79" t="str">
        <x:v>P1</x:v>
      </x:c>
      <x:c r="K584" s="79" t="str">
        <x:v>https://github.com/darknigthmare/yautja-la-longue-chasse/pull/42</x:v>
      </x:c>
      <x:c r="L584" s="79" t="str">
        <x:v>Non : qualification indisponible</x:v>
      </x:c>
    </x:row>
    <x:row r="585" ht="29" customHeight="1">
      <x:c r="A585" s="79" t="str">
        <x:v>06_Roadmap</x:v>
      </x:c>
      <x:c r="B585" s="79" t="n">
        <x:v>74</x:v>
      </x:c>
      <x:c r="C585" s="79" t="str">
        <x:v>Q14</x:v>
      </x:c>
      <x:c r="D585" s="79" t="str">
        <x:v>Qualité</x:v>
      </x:c>
      <x:c r="E585" s="79" t="str">
        <x:v>Revue droits franchise</x:v>
      </x:c>
      <x:c r="F585" s="79" t="str">
        <x:v>Ouvert · mesure / revue humaine / droits requis</x:v>
      </x:c>
      <x:c r="G585" s="79" t="str">
        <x:v>Risque commercial clairement signalé</x:v>
      </x:c>
      <x:c r="H585" s="79" t="str">
        <x:v>QUALITÉ/JEU</x:v>
      </x:c>
      <x:c r="I585" s="79" t="str">
        <x:v>Partiellement selon tests</x:v>
      </x:c>
      <x:c r="J585" s="79" t="str">
        <x:v>P0</x:v>
      </x:c>
      <x:c r="K585" s="79" t="str">
        <x:v>https://github.com/darknigthmare/yautja-la-longue-chasse/pull/42</x:v>
      </x:c>
      <x:c r="L585" s="79" t="str">
        <x:v>Non : qualification indisponible</x:v>
      </x:c>
    </x:row>
    <x:row r="586" ht="29" customHeight="1">
      <x:c r="A586" s="79" t="str">
        <x:v>07_QA</x:v>
      </x:c>
      <x:c r="B586" s="79" t="n">
        <x:v>5</x:v>
      </x:c>
      <x:c r="C586" s="79" t="str">
        <x:v>QA-001</x:v>
      </x:c>
      <x:c r="D586" s="79" t="str">
        <x:v>Entrée</x:v>
      </x:c>
      <x:c r="E586" s="79" t="str">
        <x:v>Ouverture initiale</x:v>
      </x:c>
      <x:c r="F586" s="79" t="str">
        <x:v>Contrat de double vue confirmé ; QA complète dans le jeu en attente</x:v>
      </x:c>
      <x:c r="G586" s="79" t="str">
        <x:v>UI visible, aucun changement de simulation ; preuve cible manquante</x:v>
      </x:c>
      <x:c r="H586" s="79" t="str">
        <x:v>QUALITÉ</x:v>
      </x:c>
      <x:c r="I586" s="79" t="str">
        <x:v>Certaines assertions CI vertes</x:v>
      </x:c>
      <x:c r="J586" s="79" t="str">
        <x:v>P0</x:v>
      </x:c>
      <x:c r="K586" s="79" t="str">
        <x:v>https://github.com/darknigthmare/yautja-la-longue-chasse/pull/42</x:v>
      </x:c>
      <x:c r="L586" s="79" t="str">
        <x:v>Contrat de double vue confirmé ; QA complète dans le jeu en attente</x:v>
      </x:c>
    </x:row>
    <x:row r="587" ht="29" customHeight="1">
      <x:c r="A587" s="79" t="str">
        <x:v>07_QA</x:v>
      </x:c>
      <x:c r="B587" s="79" t="n">
        <x:v>6</x:v>
      </x:c>
      <x:c r="C587" s="79" t="str">
        <x:v>QA-002</x:v>
      </x:c>
      <x:c r="D587" s="79" t="str">
        <x:v>Entrée</x:v>
      </x:c>
      <x:c r="E587" s="79" t="str">
        <x:v>Choix de vue classique</x:v>
      </x:c>
      <x:c r="F587" s="79" t="str">
        <x:v>Contrat de double vue confirmé ; QA complète dans le jeu en attente</x:v>
      </x:c>
      <x:c r="G587" s="79" t="str">
        <x:v>Un seul atlas vivant ; preuve cible manquante</x:v>
      </x:c>
      <x:c r="H587" s="79" t="str">
        <x:v>QUALITÉ</x:v>
      </x:c>
      <x:c r="I587" s="79" t="str">
        <x:v>Certaines assertions CI vertes</x:v>
      </x:c>
      <x:c r="J587" s="79" t="str">
        <x:v>P0</x:v>
      </x:c>
      <x:c r="K587" s="79" t="str">
        <x:v>https://github.com/darknigthmare/yautja-la-longue-chasse/pull/42</x:v>
      </x:c>
      <x:c r="L587" s="79" t="str">
        <x:v>Contrat de double vue confirmé ; QA complète dans le jeu en attente</x:v>
      </x:c>
    </x:row>
    <x:row r="588" ht="29" customHeight="1">
      <x:c r="A588" s="79" t="str">
        <x:v>07_QA</x:v>
      </x:c>
      <x:c r="B588" s="79" t="n">
        <x:v>7</x:v>
      </x:c>
      <x:c r="C588" s="79" t="str">
        <x:v>QA-003</x:v>
      </x:c>
      <x:c r="D588" s="79" t="str">
        <x:v>Entrée</x:v>
      </x:c>
      <x:c r="E588" s="79" t="str">
        <x:v>Retour à la vue holo</x:v>
      </x:c>
      <x:c r="F588" s="79" t="str">
        <x:v>Contrat de double vue confirmé ; QA complète dans le jeu en attente</x:v>
      </x:c>
      <x:c r="G588" s="79" t="str">
        <x:v>Caméra et zoom conservés ; preuve cible manquante</x:v>
      </x:c>
      <x:c r="H588" s="79" t="str">
        <x:v>E2E</x:v>
      </x:c>
      <x:c r="I588" s="79" t="str">
        <x:v>Certaines assertions CI vertes</x:v>
      </x:c>
      <x:c r="J588" s="79" t="str">
        <x:v>P0</x:v>
      </x:c>
      <x:c r="K588" s="79" t="str">
        <x:v>https://github.com/darknigthmare/yautja-la-longue-chasse/pull/42</x:v>
      </x:c>
      <x:c r="L588" s="79" t="str">
        <x:v>Contrat de double vue confirmé ; QA complète dans le jeu en attente</x:v>
      </x:c>
    </x:row>
    <x:row r="589" ht="29" customHeight="1">
      <x:c r="A589" s="79" t="str">
        <x:v>07_QA</x:v>
      </x:c>
      <x:c r="B589" s="79" t="n">
        <x:v>8</x:v>
      </x:c>
      <x:c r="C589" s="79" t="str">
        <x:v>QA-004</x:v>
      </x:c>
      <x:c r="D589" s="79" t="str">
        <x:v>Rangs</x:v>
      </x:c>
      <x:c r="E589" s="79" t="str">
        <x:v>Young Blood</x:v>
      </x:c>
      <x:c r="F589" s="79" t="str">
        <x:v>Tests Node/TypeScript PASS ; parcours réel dans le jeu restant</x:v>
      </x:c>
      <x:c r="G589" s="79" t="str">
        <x:v>City/Wolf/Dek refusés ; jeu complet, pas seulement galerie</x:v>
      </x:c>
      <x:c r="H589" s="79" t="str">
        <x:v>QUALITÉ</x:v>
      </x:c>
      <x:c r="I589" s="79" t="str">
        <x:v>Certaines assertions CI vertes</x:v>
      </x:c>
      <x:c r="J589" s="79" t="str">
        <x:v>P1</x:v>
      </x:c>
      <x:c r="K589" s="79" t="str">
        <x:v>https://github.com/darknigthmare/yautja-la-longue-chasse/actions/runs/41195884060</x:v>
      </x:c>
      <x:c r="L589" s="79" t="str">
        <x:v>Tests Node/TypeScript PASS ; parcours réel dans le jeu restant</x:v>
      </x:c>
    </x:row>
    <x:row r="590" ht="29" customHeight="1">
      <x:c r="A590" s="79" t="str">
        <x:v>07_QA</x:v>
      </x:c>
      <x:c r="B590" s="79" t="n">
        <x:v>9</x:v>
      </x:c>
      <x:c r="C590" s="79" t="str">
        <x:v>QA-005</x:v>
      </x:c>
      <x:c r="D590" s="79" t="str">
        <x:v>Rangs</x:v>
      </x:c>
      <x:c r="E590" s="79" t="str">
        <x:v>Blooded</x:v>
      </x:c>
      <x:c r="F590" s="79" t="str">
        <x:v>Tests Node/TypeScript PASS ; parcours réel dans le jeu restant</x:v>
      </x:c>
      <x:c r="G590" s="79" t="str">
        <x:v>Rang réel du profil ; jeu complet, pas seulement galerie</x:v>
      </x:c>
      <x:c r="H590" s="79" t="str">
        <x:v>E2E</x:v>
      </x:c>
      <x:c r="I590" s="79" t="str">
        <x:v>Certaines assertions CI vertes</x:v>
      </x:c>
      <x:c r="J590" s="79" t="str">
        <x:v>P1</x:v>
      </x:c>
      <x:c r="K590" s="79" t="str">
        <x:v>https://github.com/darknigthmare/yautja-la-longue-chasse/actions/runs/41195884060</x:v>
      </x:c>
      <x:c r="L590" s="79" t="str">
        <x:v>Tests Node/TypeScript PASS ; parcours réel dans le jeu restant</x:v>
      </x:c>
    </x:row>
    <x:row r="591" ht="29" customHeight="1">
      <x:c r="A591" s="79" t="str">
        <x:v>07_QA</x:v>
      </x:c>
      <x:c r="B591" s="79" t="n">
        <x:v>10</x:v>
      </x:c>
      <x:c r="C591" s="79" t="str">
        <x:v>QA-006</x:v>
      </x:c>
      <x:c r="D591" s="79" t="str">
        <x:v>Rangs</x:v>
      </x:c>
      <x:c r="E591" s="79" t="str">
        <x:v>Elite</x:v>
      </x:c>
      <x:c r="F591" s="79" t="str">
        <x:v>Tests Node/TypeScript PASS ; parcours réel dans le jeu restant</x:v>
      </x:c>
      <x:c r="G591" s="79" t="str">
        <x:v>Aucune statistique augmentée ; jeu complet, pas seulement galerie</x:v>
      </x:c>
      <x:c r="H591" s="79" t="str">
        <x:v>E2E</x:v>
      </x:c>
      <x:c r="I591" s="79" t="str">
        <x:v>Certaines assertions CI vertes</x:v>
      </x:c>
      <x:c r="J591" s="79" t="str">
        <x:v>P1</x:v>
      </x:c>
      <x:c r="K591" s="79" t="str">
        <x:v>https://github.com/darknigthmare/yautja-la-longue-chasse/actions/runs/41195884060</x:v>
      </x:c>
      <x:c r="L591" s="79" t="str">
        <x:v>Tests Node/TypeScript PASS ; parcours réel dans le jeu restant</x:v>
      </x:c>
    </x:row>
    <x:row r="592" ht="29" customHeight="1">
      <x:c r="A592" s="79" t="str">
        <x:v>07_QA</x:v>
      </x:c>
      <x:c r="B592" s="79" t="n">
        <x:v>11</x:v>
      </x:c>
      <x:c r="C592" s="79" t="str">
        <x:v>QA-007</x:v>
      </x:c>
      <x:c r="D592" s="79" t="str">
        <x:v>Rangs</x:v>
      </x:c>
      <x:c r="E592" s="79" t="str">
        <x:v>Elder</x:v>
      </x:c>
      <x:c r="F592" s="79" t="str">
        <x:v>Tests Node/TypeScript PASS ; parcours réel dans le jeu restant</x:v>
      </x:c>
      <x:c r="G592" s="79" t="str">
        <x:v>Modèles encore à référencer ; jeu complet, pas seulement galerie</x:v>
      </x:c>
      <x:c r="H592" s="79" t="str">
        <x:v>QUALITÉ</x:v>
      </x:c>
      <x:c r="I592" s="79" t="str">
        <x:v>Certaines assertions CI vertes</x:v>
      </x:c>
      <x:c r="J592" s="79" t="str">
        <x:v>P1</x:v>
      </x:c>
      <x:c r="K592" s="79" t="str">
        <x:v>https://github.com/darknigthmare/yautja-la-longue-chasse/actions/runs/41195884060</x:v>
      </x:c>
      <x:c r="L592" s="79" t="str">
        <x:v>Tests Node/TypeScript PASS ; parcours réel dans le jeu restant</x:v>
      </x:c>
    </x:row>
    <x:row r="593" ht="29" customHeight="1">
      <x:c r="A593" s="79" t="str">
        <x:v>07_QA</x:v>
      </x:c>
      <x:c r="B593" s="79" t="n">
        <x:v>12</x:v>
      </x:c>
      <x:c r="C593" s="79" t="str">
        <x:v>QA-008</x:v>
      </x:c>
      <x:c r="D593" s="79" t="str">
        <x:v>Rangs</x:v>
      </x:c>
      <x:c r="E593" s="79" t="str">
        <x:v>Défi non implémenté</x:v>
      </x:c>
      <x:c r="F593" s="79" t="str">
        <x:v>Tests Node/TypeScript PASS ; parcours réel dans le jeu restant</x:v>
      </x:c>
      <x:c r="G593" s="79" t="str">
        <x:v>Jamais déblocage mensonger ; jeu complet, pas seulement galerie</x:v>
      </x:c>
      <x:c r="H593" s="79" t="str">
        <x:v>QUALITÉ</x:v>
      </x:c>
      <x:c r="I593" s="79" t="str">
        <x:v>Certaines assertions CI vertes</x:v>
      </x:c>
      <x:c r="J593" s="79" t="str">
        <x:v>P1</x:v>
      </x:c>
      <x:c r="K593" s="79" t="str">
        <x:v>https://github.com/darknigthmare/yautja-la-longue-chasse/actions/runs/41195884060</x:v>
      </x:c>
      <x:c r="L593" s="79" t="str">
        <x:v>Tests Node/TypeScript PASS ; parcours réel dans le jeu restant</x:v>
      </x:c>
    </x:row>
    <x:row r="594" ht="29" customHeight="1">
      <x:c r="A594" s="79" t="str">
        <x:v>07_QA</x:v>
      </x:c>
      <x:c r="B594" s="79" t="n">
        <x:v>13</x:v>
      </x:c>
      <x:c r="C594" s="79" t="str">
        <x:v>QA-009</x:v>
      </x:c>
      <x:c r="D594" s="79" t="str">
        <x:v>Sauvegarde</x:v>
      </x:c>
      <x:c r="E594" s="79" t="str">
        <x:v>Stockage refusé</x:v>
      </x:c>
      <x:c r="F594" s="79" t="str">
        <x:v>Tests Node/TypeScript PASS ; parcours réel dans le jeu restant</x:v>
      </x:c>
      <x:c r="G594" s="79" t="str">
        <x:v>Simulation non altérée ; jeu complet, pas seulement galerie</x:v>
      </x:c>
      <x:c r="H594" s="79" t="str">
        <x:v>E2E</x:v>
      </x:c>
      <x:c r="I594" s="79" t="str">
        <x:v>Certaines assertions CI vertes</x:v>
      </x:c>
      <x:c r="J594" s="79" t="str">
        <x:v>P1</x:v>
      </x:c>
      <x:c r="K594" s="79" t="str">
        <x:v>https://github.com/darknigthmare/yautja-la-longue-chasse/actions/runs/41195884060</x:v>
      </x:c>
      <x:c r="L594" s="79" t="str">
        <x:v>Tests Node/TypeScript PASS ; parcours réel dans le jeu restant</x:v>
      </x:c>
    </x:row>
    <x:row r="595" ht="29" customHeight="1">
      <x:c r="A595" s="79" t="str">
        <x:v>07_QA</x:v>
      </x:c>
      <x:c r="B595" s="79" t="n">
        <x:v>14</x:v>
      </x:c>
      <x:c r="C595" s="79" t="str">
        <x:v>QA-010</x:v>
      </x:c>
      <x:c r="D595" s="79" t="str">
        <x:v>Sauvegarde</x:v>
      </x:c>
      <x:c r="E595" s="79" t="str">
        <x:v>JSON corrompu</x:v>
      </x:c>
      <x:c r="F595" s="79" t="str">
        <x:v>Tests Node/TypeScript PASS ; parcours réel dans le jeu restant</x:v>
      </x:c>
      <x:c r="G595" s="79" t="str">
        <x:v>Original non écrasé par chargement ; jeu complet, pas seulement galerie</x:v>
      </x:c>
      <x:c r="H595" s="79" t="str">
        <x:v>E2E</x:v>
      </x:c>
      <x:c r="I595" s="79" t="str">
        <x:v>Certaines assertions CI vertes</x:v>
      </x:c>
      <x:c r="J595" s="79" t="str">
        <x:v>P1</x:v>
      </x:c>
      <x:c r="K595" s="79" t="str">
        <x:v>https://github.com/darknigthmare/yautja-la-longue-chasse/actions/runs/41195884060</x:v>
      </x:c>
      <x:c r="L595" s="79" t="str">
        <x:v>Tests Node/TypeScript PASS ; parcours réel dans le jeu restant</x:v>
      </x:c>
    </x:row>
    <x:row r="596" ht="29" customHeight="1">
      <x:c r="A596" s="79" t="str">
        <x:v>07_QA</x:v>
      </x:c>
      <x:c r="B596" s="79" t="n">
        <x:v>15</x:v>
      </x:c>
      <x:c r="C596" s="79" t="str">
        <x:v>QA-011</x:v>
      </x:c>
      <x:c r="D596" s="79" t="str">
        <x:v>Sauvegarde</x:v>
      </x:c>
      <x:c r="E596" s="79" t="str">
        <x:v>Changement de profil</x:v>
      </x:c>
      <x:c r="F596" s="79" t="str">
        <x:v>Tests Node/TypeScript PASS ; parcours réel dans le jeu restant</x:v>
      </x:c>
      <x:c r="G596" s="79" t="str">
        <x:v>Aucune fuite interprofils ; jeu complet, pas seulement galerie</x:v>
      </x:c>
      <x:c r="H596" s="79" t="str">
        <x:v>E2E</x:v>
      </x:c>
      <x:c r="I596" s="79" t="str">
        <x:v>Certaines assertions CI vertes</x:v>
      </x:c>
      <x:c r="J596" s="79" t="str">
        <x:v>P1</x:v>
      </x:c>
      <x:c r="K596" s="79" t="str">
        <x:v>https://github.com/darknigthmare/yautja-la-longue-chasse/actions/runs/41195884060</x:v>
      </x:c>
      <x:c r="L596" s="79" t="str">
        <x:v>Tests Node/TypeScript PASS ; parcours réel dans le jeu restant</x:v>
      </x:c>
    </x:row>
    <x:row r="597" ht="29" customHeight="1">
      <x:c r="A597" s="79" t="str">
        <x:v>07_QA</x:v>
      </x:c>
      <x:c r="B597" s="79" t="n">
        <x:v>16</x:v>
      </x:c>
      <x:c r="C597" s="79" t="str">
        <x:v>QA-012</x:v>
      </x:c>
      <x:c r="D597" s="79" t="str">
        <x:v>Sauvegarde</x:v>
      </x:c>
      <x:c r="E597" s="79" t="str">
        <x:v>Deux onglets</x:v>
      </x:c>
      <x:c r="F597" s="79" t="str">
        <x:v>Tests Node/TypeScript PASS ; parcours réel dans le jeu restant</x:v>
      </x:c>
      <x:c r="G597" s="79" t="str">
        <x:v>Pas de conflit de simulation ; jeu complet, pas seulement galerie</x:v>
      </x:c>
      <x:c r="H597" s="79" t="str">
        <x:v>E2E</x:v>
      </x:c>
      <x:c r="I597" s="79" t="str">
        <x:v>Certaines assertions CI vertes</x:v>
      </x:c>
      <x:c r="J597" s="79" t="str">
        <x:v>P1</x:v>
      </x:c>
      <x:c r="K597" s="79" t="str">
        <x:v>https://github.com/darknigthmare/yautja-la-longue-chasse/actions/runs/41195884060</x:v>
      </x:c>
      <x:c r="L597" s="79" t="str">
        <x:v>Tests Node/TypeScript PASS ; parcours réel dans le jeu restant</x:v>
      </x:c>
    </x:row>
    <x:row r="598" ht="29" customHeight="1">
      <x:c r="A598" s="79" t="str">
        <x:v>07_QA</x:v>
      </x:c>
      <x:c r="B598" s="79" t="n">
        <x:v>17</x:v>
      </x:c>
      <x:c r="C598" s="79" t="str">
        <x:v>QA-013</x:v>
      </x:c>
      <x:c r="D598" s="79" t="str">
        <x:v>Sauvegarde</x:v>
      </x:c>
      <x:c r="E598" s="79" t="str">
        <x:v>Rétrogradation rang</x:v>
      </x:c>
      <x:c r="F598" s="79" t="str">
        <x:v>Tests Node/TypeScript PASS ; parcours réel dans le jeu restant</x:v>
      </x:c>
      <x:c r="G598" s="79" t="str">
        <x:v>Ne modifie pas le rang ; jeu complet, pas seulement galerie</x:v>
      </x:c>
      <x:c r="H598" s="79" t="str">
        <x:v>E2E</x:v>
      </x:c>
      <x:c r="I598" s="79" t="str">
        <x:v>Certaines assertions CI vertes</x:v>
      </x:c>
      <x:c r="J598" s="79" t="str">
        <x:v>P1</x:v>
      </x:c>
      <x:c r="K598" s="79" t="str">
        <x:v>https://github.com/darknigthmare/yautja-la-longue-chasse/actions/runs/41195884060</x:v>
      </x:c>
      <x:c r="L598" s="79" t="str">
        <x:v>Tests Node/TypeScript PASS ; parcours réel dans le jeu restant</x:v>
      </x:c>
    </x:row>
    <x:row r="599" ht="29" customHeight="1">
      <x:c r="A599" s="79" t="str">
        <x:v>07_QA</x:v>
      </x:c>
      <x:c r="B599" s="79" t="n">
        <x:v>18</x:v>
      </x:c>
      <x:c r="C599" s="79" t="str">
        <x:v>QA-014</x:v>
      </x:c>
      <x:c r="D599" s="79" t="str">
        <x:v>Planète</x:v>
      </x:c>
      <x:c r="E599" s="79" t="str">
        <x:v>Korthas -&gt; Terre</x:v>
      </x:c>
      <x:c r="F599" s="79" t="str">
        <x:v>OUVERT · scénario navigateur/artistique non vérifié</x:v>
      </x:c>
      <x:c r="G599" s="79" t="str">
        <x:v>Session de chaque planète indépendante ; preuve cible manquante</x:v>
      </x:c>
      <x:c r="H599" s="79" t="str">
        <x:v>E2E</x:v>
      </x:c>
      <x:c r="I599" s="79" t="str">
        <x:v>Certaines assertions CI vertes</x:v>
      </x:c>
      <x:c r="J599" s="79" t="str">
        <x:v>P1</x:v>
      </x:c>
      <x:c r="K599" s="79" t="str">
        <x:v>https://github.com/darknigthmare/yautja-la-longue-chasse/pull/42</x:v>
      </x:c>
      <x:c r="L599" s="79" t="str">
        <x:v>OUVERT · scénario navigateur/artistique non vérifié</x:v>
      </x:c>
    </x:row>
    <x:row r="600" ht="29" customHeight="1">
      <x:c r="A600" s="79" t="str">
        <x:v>07_QA</x:v>
      </x:c>
      <x:c r="B600" s="79" t="n">
        <x:v>19</x:v>
      </x:c>
      <x:c r="C600" s="79" t="str">
        <x:v>QA-015</x:v>
      </x:c>
      <x:c r="D600" s="79" t="str">
        <x:v>Planète</x:v>
      </x:c>
      <x:c r="E600" s="79" t="str">
        <x:v>Générateur de planète</x:v>
      </x:c>
      <x:c r="F600" s="79" t="str">
        <x:v>OUVERT · scénario navigateur/artistique non vérifié</x:v>
      </x:c>
      <x:c r="G600" s="79" t="str">
        <x:v>Aucun biome nouveau inventé ; preuve cible manquante</x:v>
      </x:c>
      <x:c r="H600" s="79" t="str">
        <x:v>E2E</x:v>
      </x:c>
      <x:c r="I600" s="79" t="str">
        <x:v>Certaines assertions CI vertes</x:v>
      </x:c>
      <x:c r="J600" s="79" t="str">
        <x:v>P1</x:v>
      </x:c>
      <x:c r="K600" s="79" t="str">
        <x:v>https://github.com/darknigthmare/yautja-la-longue-chasse/pull/42</x:v>
      </x:c>
      <x:c r="L600" s="79" t="str">
        <x:v>OUVERT · scénario navigateur/artistique non vérifié</x:v>
      </x:c>
    </x:row>
    <x:row r="601" ht="29" customHeight="1">
      <x:c r="A601" s="79" t="str">
        <x:v>07_QA</x:v>
      </x:c>
      <x:c r="B601" s="79" t="n">
        <x:v>20</x:v>
      </x:c>
      <x:c r="C601" s="79" t="str">
        <x:v>QA-016</x:v>
      </x:c>
      <x:c r="D601" s="79" t="str">
        <x:v>Planète</x:v>
      </x:c>
      <x:c r="E601" s="79" t="str">
        <x:v>Planète hors ligne</x:v>
      </x:c>
      <x:c r="F601" s="79" t="str">
        <x:v>OUVERT · scénario navigateur/artistique non vérifié</x:v>
      </x:c>
      <x:c r="G601" s="79" t="str">
        <x:v>Pas de carte factice ; preuve cible manquante</x:v>
      </x:c>
      <x:c r="H601" s="79" t="str">
        <x:v>E2E</x:v>
      </x:c>
      <x:c r="I601" s="79" t="str">
        <x:v>Certaines assertions CI vertes</x:v>
      </x:c>
      <x:c r="J601" s="79" t="str">
        <x:v>P1</x:v>
      </x:c>
      <x:c r="K601" s="79" t="str">
        <x:v>https://github.com/darknigthmare/yautja-la-longue-chasse/pull/42</x:v>
      </x:c>
      <x:c r="L601" s="79" t="str">
        <x:v>OUVERT · scénario navigateur/artistique non vérifié</x:v>
      </x:c>
    </x:row>
    <x:row r="602" ht="29" customHeight="1">
      <x:c r="A602" s="79" t="str">
        <x:v>07_QA</x:v>
      </x:c>
      <x:c r="B602" s="79" t="n">
        <x:v>21</x:v>
      </x:c>
      <x:c r="C602" s="79" t="str">
        <x:v>QA-017</x:v>
      </x:c>
      <x:c r="D602" s="79" t="str">
        <x:v>Ordres</x:v>
      </x:c>
      <x:c r="E602" s="79" t="str">
        <x:v>Attaque</x:v>
      </x:c>
      <x:c r="F602" s="79" t="str">
        <x:v>OUVERT · scénario navigateur/artistique non vérifié</x:v>
      </x:c>
      <x:c r="G602" s="79" t="str">
        <x:v>Capacité et coût inchangés ; preuve cible manquante</x:v>
      </x:c>
      <x:c r="H602" s="79" t="str">
        <x:v>E2E</x:v>
      </x:c>
      <x:c r="I602" s="79" t="str">
        <x:v>Certaines assertions CI vertes</x:v>
      </x:c>
      <x:c r="J602" s="79" t="str">
        <x:v>P1</x:v>
      </x:c>
      <x:c r="K602" s="79" t="str">
        <x:v>https://github.com/darknigthmare/yautja-la-longue-chasse/pull/42</x:v>
      </x:c>
      <x:c r="L602" s="79" t="str">
        <x:v>OUVERT · scénario navigateur/artistique non vérifié</x:v>
      </x:c>
    </x:row>
    <x:row r="603" ht="29" customHeight="1">
      <x:c r="A603" s="79" t="str">
        <x:v>07_QA</x:v>
      </x:c>
      <x:c r="B603" s="79" t="n">
        <x:v>22</x:v>
      </x:c>
      <x:c r="C603" s="79" t="str">
        <x:v>QA-018</x:v>
      </x:c>
      <x:c r="D603" s="79" t="str">
        <x:v>Ordres</x:v>
      </x:c>
      <x:c r="E603" s="79" t="str">
        <x:v>Logistique</x:v>
      </x:c>
      <x:c r="F603" s="79" t="str">
        <x:v>OUVERT · scénario navigateur/artistique non vérifié</x:v>
      </x:c>
      <x:c r="G603" s="79" t="str">
        <x:v>Données déjà accessibles ; preuve cible manquante</x:v>
      </x:c>
      <x:c r="H603" s="79" t="str">
        <x:v>E2E</x:v>
      </x:c>
      <x:c r="I603" s="79" t="str">
        <x:v>Certaines assertions CI vertes</x:v>
      </x:c>
      <x:c r="J603" s="79" t="str">
        <x:v>P1</x:v>
      </x:c>
      <x:c r="K603" s="79" t="str">
        <x:v>https://github.com/darknigthmare/yautja-la-longue-chasse/pull/42</x:v>
      </x:c>
      <x:c r="L603" s="79" t="str">
        <x:v>OUVERT · scénario navigateur/artistique non vérifié</x:v>
      </x:c>
    </x:row>
    <x:row r="604" ht="29" customHeight="1">
      <x:c r="A604" s="79" t="str">
        <x:v>07_QA</x:v>
      </x:c>
      <x:c r="B604" s="79" t="n">
        <x:v>23</x:v>
      </x:c>
      <x:c r="C604" s="79" t="str">
        <x:v>QA-019</x:v>
      </x:c>
      <x:c r="D604" s="79" t="str">
        <x:v>Ordres</x:v>
      </x:c>
      <x:c r="E604" s="79" t="str">
        <x:v>Soins</x:v>
      </x:c>
      <x:c r="F604" s="79" t="str">
        <x:v>OUVERT · scénario navigateur/artistique non vérifié</x:v>
      </x:c>
      <x:c r="G604" s="79" t="str">
        <x:v>Aucun soin automatique ; preuve cible manquante</x:v>
      </x:c>
      <x:c r="H604" s="79" t="str">
        <x:v>E2E</x:v>
      </x:c>
      <x:c r="I604" s="79" t="str">
        <x:v>Certaines assertions CI vertes</x:v>
      </x:c>
      <x:c r="J604" s="79" t="str">
        <x:v>P1</x:v>
      </x:c>
      <x:c r="K604" s="79" t="str">
        <x:v>https://github.com/darknigthmare/yautja-la-longue-chasse/pull/42</x:v>
      </x:c>
      <x:c r="L604" s="79" t="str">
        <x:v>OUVERT · scénario navigateur/artistique non vérifié</x:v>
      </x:c>
    </x:row>
    <x:row r="605" ht="29" customHeight="1">
      <x:c r="A605" s="79" t="str">
        <x:v>07_QA</x:v>
      </x:c>
      <x:c r="B605" s="79" t="n">
        <x:v>24</x:v>
      </x:c>
      <x:c r="C605" s="79" t="str">
        <x:v>QA-020</x:v>
      </x:c>
      <x:c r="D605" s="79" t="str">
        <x:v>Ordres</x:v>
      </x:c>
      <x:c r="E605" s="79" t="str">
        <x:v>Transfert</x:v>
      </x:c>
      <x:c r="F605" s="79" t="str">
        <x:v>OUVERT · scénario navigateur/artistique non vérifié</x:v>
      </x:c>
      <x:c r="G605" s="79" t="str">
        <x:v>Pas de double ordre ; preuve cible manquante</x:v>
      </x:c>
      <x:c r="H605" s="79" t="str">
        <x:v>E2E</x:v>
      </x:c>
      <x:c r="I605" s="79" t="str">
        <x:v>Certaines assertions CI vertes</x:v>
      </x:c>
      <x:c r="J605" s="79" t="str">
        <x:v>P1</x:v>
      </x:c>
      <x:c r="K605" s="79" t="str">
        <x:v>https://github.com/darknigthmare/yautja-la-longue-chasse/pull/42</x:v>
      </x:c>
      <x:c r="L605" s="79" t="str">
        <x:v>OUVERT · scénario navigateur/artistique non vérifié</x:v>
      </x:c>
    </x:row>
    <x:row r="606" ht="29" customHeight="1">
      <x:c r="A606" s="79" t="str">
        <x:v>07_QA</x:v>
      </x:c>
      <x:c r="B606" s="79" t="n">
        <x:v>25</x:v>
      </x:c>
      <x:c r="C606" s="79" t="str">
        <x:v>QA-021</x:v>
      </x:c>
      <x:c r="D606" s="79" t="str">
        <x:v>Ordres</x:v>
      </x:c>
      <x:c r="E606" s="79" t="str">
        <x:v>Confirmations</x:v>
      </x:c>
      <x:c r="F606" s="79" t="str">
        <x:v>OUVERT · scénario navigateur/artistique non vérifié</x:v>
      </x:c>
      <x:c r="G606" s="79" t="str">
        <x:v>Tour résolu une seule fois ; preuve cible manquante</x:v>
      </x:c>
      <x:c r="H606" s="79" t="str">
        <x:v>E2E</x:v>
      </x:c>
      <x:c r="I606" s="79" t="str">
        <x:v>Certaines assertions CI vertes</x:v>
      </x:c>
      <x:c r="J606" s="79" t="str">
        <x:v>P1</x:v>
      </x:c>
      <x:c r="K606" s="79" t="str">
        <x:v>https://github.com/darknigthmare/yautja-la-longue-chasse/pull/42</x:v>
      </x:c>
      <x:c r="L606" s="79" t="str">
        <x:v>OUVERT · scénario navigateur/artistique non vérifié</x:v>
      </x:c>
    </x:row>
    <x:row r="607" ht="29" customHeight="1">
      <x:c r="A607" s="79" t="str">
        <x:v>07_QA</x:v>
      </x:c>
      <x:c r="B607" s="79" t="n">
        <x:v>26</x:v>
      </x:c>
      <x:c r="C607" s="79" t="str">
        <x:v>QA-022</x:v>
      </x:c>
      <x:c r="D607" s="79" t="str">
        <x:v>Affichage</x:v>
      </x:c>
      <x:c r="E607" s="79" t="str">
        <x:v>Palette Jungle</x:v>
      </x:c>
      <x:c r="F607" s="79" t="str">
        <x:v>Galerie QA Chrome PASS ; parcours campagne restant</x:v>
      </x:c>
      <x:c r="G607" s="79" t="str">
        <x:v>Contraste et iconographie ; jeu complet, pas seulement galerie</x:v>
      </x:c>
      <x:c r="H607" s="79" t="str">
        <x:v>QUALITÉ</x:v>
      </x:c>
      <x:c r="I607" s="79" t="str">
        <x:v>Certaines assertions CI vertes</x:v>
      </x:c>
      <x:c r="J607" s="79" t="str">
        <x:v>P1</x:v>
      </x:c>
      <x:c r="K607" s="79" t="str">
        <x:v>https://github.com/darknigthmare/yautja-la-longue-chasse/actions/runs/41195884060</x:v>
      </x:c>
      <x:c r="L607" s="79" t="str">
        <x:v>Galerie QA Chrome PASS ; parcours campagne restant</x:v>
      </x:c>
    </x:row>
    <x:row r="608" ht="29" customHeight="1">
      <x:c r="A608" s="79" t="str">
        <x:v>07_QA</x:v>
      </x:c>
      <x:c r="B608" s="79" t="n">
        <x:v>27</x:v>
      </x:c>
      <x:c r="C608" s="79" t="str">
        <x:v>QA-023</x:v>
      </x:c>
      <x:c r="D608" s="79" t="str">
        <x:v>Affichage</x:v>
      </x:c>
      <x:c r="E608" s="79" t="str">
        <x:v>Palette City</x:v>
      </x:c>
      <x:c r="F608" s="79" t="str">
        <x:v>Galerie QA Chrome PASS ; parcours campagne restant</x:v>
      </x:c>
      <x:c r="G608" s="79" t="str">
        <x:v>Ne pas copier geometry non vérifiée ; jeu complet, pas seulement galerie</x:v>
      </x:c>
      <x:c r="H608" s="79" t="str">
        <x:v>E2E</x:v>
      </x:c>
      <x:c r="I608" s="79" t="str">
        <x:v>Certaines assertions CI vertes</x:v>
      </x:c>
      <x:c r="J608" s="79" t="str">
        <x:v>P1</x:v>
      </x:c>
      <x:c r="K608" s="79" t="str">
        <x:v>https://github.com/darknigthmare/yautja-la-longue-chasse/actions/runs/41195884060</x:v>
      </x:c>
      <x:c r="L608" s="79" t="str">
        <x:v>Galerie QA Chrome PASS ; parcours campagne restant</x:v>
      </x:c>
    </x:row>
    <x:row r="609" ht="29" customHeight="1">
      <x:c r="A609" s="79" t="str">
        <x:v>07_QA</x:v>
      </x:c>
      <x:c r="B609" s="79" t="n">
        <x:v>28</x:v>
      </x:c>
      <x:c r="C609" s="79" t="str">
        <x:v>QA-024</x:v>
      </x:c>
      <x:c r="D609" s="79" t="str">
        <x:v>Affichage</x:v>
      </x:c>
      <x:c r="E609" s="79" t="str">
        <x:v>Palette Feral</x:v>
      </x:c>
      <x:c r="F609" s="79" t="str">
        <x:v>Galerie QA Chrome PASS ; parcours campagne restant</x:v>
      </x:c>
      <x:c r="G609" s="79" t="str">
        <x:v>Aucun écran 1987 ; jeu complet, pas seulement galerie</x:v>
      </x:c>
      <x:c r="H609" s="79" t="str">
        <x:v>E2E</x:v>
      </x:c>
      <x:c r="I609" s="79" t="str">
        <x:v>Certaines assertions CI vertes</x:v>
      </x:c>
      <x:c r="J609" s="79" t="str">
        <x:v>P1</x:v>
      </x:c>
      <x:c r="K609" s="79" t="str">
        <x:v>https://github.com/darknigthmare/yautja-la-longue-chasse/actions/runs/41195884060</x:v>
      </x:c>
      <x:c r="L609" s="79" t="str">
        <x:v>Galerie QA Chrome PASS ; parcours campagne restant</x:v>
      </x:c>
    </x:row>
    <x:row r="610" ht="29" customHeight="1">
      <x:c r="A610" s="79" t="str">
        <x:v>07_QA</x:v>
      </x:c>
      <x:c r="B610" s="79" t="n">
        <x:v>29</x:v>
      </x:c>
      <x:c r="C610" s="79" t="str">
        <x:v>QA-025</x:v>
      </x:c>
      <x:c r="D610" s="79" t="str">
        <x:v>Affichage</x:v>
      </x:c>
      <x:c r="E610" s="79" t="str">
        <x:v>Palette Dek</x:v>
      </x:c>
      <x:c r="F610" s="79" t="str">
        <x:v>Galerie QA Chrome PASS ; parcours campagne restant</x:v>
      </x:c>
      <x:c r="G610" s="79" t="str">
        <x:v>Wētā comme référence ; jeu complet, pas seulement galerie</x:v>
      </x:c>
      <x:c r="H610" s="79" t="str">
        <x:v>E2E</x:v>
      </x:c>
      <x:c r="I610" s="79" t="str">
        <x:v>Certaines assertions CI vertes</x:v>
      </x:c>
      <x:c r="J610" s="79" t="str">
        <x:v>P1</x:v>
      </x:c>
      <x:c r="K610" s="79" t="str">
        <x:v>https://github.com/darknigthmare/yautja-la-longue-chasse/actions/runs/41195884060</x:v>
      </x:c>
      <x:c r="L610" s="79" t="str">
        <x:v>Galerie QA Chrome PASS ; parcours campagne restant</x:v>
      </x:c>
    </x:row>
    <x:row r="611" ht="29" customHeight="1">
      <x:c r="A611" s="79" t="str">
        <x:v>07_QA</x:v>
      </x:c>
      <x:c r="B611" s="79" t="n">
        <x:v>30</x:v>
      </x:c>
      <x:c r="C611" s="79" t="str">
        <x:v>QA-026</x:v>
      </x:c>
      <x:c r="D611" s="79" t="str">
        <x:v>Affichage</x:v>
      </x:c>
      <x:c r="E611" s="79" t="str">
        <x:v>54 cartes</x:v>
      </x:c>
      <x:c r="F611" s="79" t="str">
        <x:v>Galerie QA Chrome PASS ; parcours campagne restant</x:v>
      </x:c>
      <x:c r="G611" s="79" t="str">
        <x:v>Pas de lenteur anormale ; jeu complet, pas seulement galerie</x:v>
      </x:c>
      <x:c r="H611" s="79" t="str">
        <x:v>QUALITÉ</x:v>
      </x:c>
      <x:c r="I611" s="79" t="str">
        <x:v>Certaines assertions CI vertes</x:v>
      </x:c>
      <x:c r="J611" s="79" t="str">
        <x:v>P1</x:v>
      </x:c>
      <x:c r="K611" s="79" t="str">
        <x:v>https://github.com/darknigthmare/yautja-la-longue-chasse/actions/runs/41195884060</x:v>
      </x:c>
      <x:c r="L611" s="79" t="str">
        <x:v>Galerie QA Chrome PASS ; parcours campagne restant</x:v>
      </x:c>
    </x:row>
    <x:row r="612" ht="29" customHeight="1">
      <x:c r="A612" s="79" t="str">
        <x:v>07_QA</x:v>
      </x:c>
      <x:c r="B612" s="79" t="n">
        <x:v>31</x:v>
      </x:c>
      <x:c r="C612" s="79" t="str">
        <x:v>QA-027</x:v>
      </x:c>
      <x:c r="D612" s="79" t="str">
        <x:v>Affichage</x:v>
      </x:c>
      <x:c r="E612" s="79" t="str">
        <x:v>Référence insuffisante</x:v>
      </x:c>
      <x:c r="F612" s="79" t="str">
        <x:v>Galerie QA Chrome PASS ; parcours campagne restant</x:v>
      </x:c>
      <x:c r="G612" s="79" t="str">
        <x:v>Pas de 1:1 affirmé ; jeu complet, pas seulement galerie</x:v>
      </x:c>
      <x:c r="H612" s="79" t="str">
        <x:v>QUALITÉ</x:v>
      </x:c>
      <x:c r="I612" s="79" t="str">
        <x:v>Certaines assertions CI vertes</x:v>
      </x:c>
      <x:c r="J612" s="79" t="str">
        <x:v>P1</x:v>
      </x:c>
      <x:c r="K612" s="79" t="str">
        <x:v>https://github.com/darknigthmare/yautja-la-longue-chasse/actions/runs/41195884060</x:v>
      </x:c>
      <x:c r="L612" s="79" t="str">
        <x:v>Galerie QA Chrome PASS ; parcours campagne restant</x:v>
      </x:c>
    </x:row>
    <x:row r="613" ht="29" customHeight="1">
      <x:c r="A613" s="79" t="str">
        <x:v>07_QA</x:v>
      </x:c>
      <x:c r="B613" s="79" t="n">
        <x:v>32</x:v>
      </x:c>
      <x:c r="C613" s="79" t="str">
        <x:v>QA-028</x:v>
      </x:c>
      <x:c r="D613" s="79" t="str">
        <x:v>Responsive</x:v>
      </x:c>
      <x:c r="E613" s="79" t="str">
        <x:v>320px largeur</x:v>
      </x:c>
      <x:c r="F613" s="79" t="str">
        <x:v>OUVERT · scénario navigateur/artistique non vérifié</x:v>
      </x:c>
      <x:c r="G613" s="79" t="str">
        <x:v>Scroll et focus corrects ; preuve cible manquante</x:v>
      </x:c>
      <x:c r="H613" s="79" t="str">
        <x:v>E2E</x:v>
      </x:c>
      <x:c r="I613" s="79" t="str">
        <x:v>Certaines assertions CI vertes</x:v>
      </x:c>
      <x:c r="J613" s="79" t="str">
        <x:v>P1</x:v>
      </x:c>
      <x:c r="K613" s="79" t="str">
        <x:v>https://github.com/darknigthmare/yautja-la-longue-chasse/pull/42</x:v>
      </x:c>
      <x:c r="L613" s="79" t="str">
        <x:v>OUVERT · scénario navigateur/artistique non vérifié</x:v>
      </x:c>
    </x:row>
    <x:row r="614" ht="29" customHeight="1">
      <x:c r="A614" s="79" t="str">
        <x:v>07_QA</x:v>
      </x:c>
      <x:c r="B614" s="79" t="n">
        <x:v>33</x:v>
      </x:c>
      <x:c r="C614" s="79" t="str">
        <x:v>QA-029</x:v>
      </x:c>
      <x:c r="D614" s="79" t="str">
        <x:v>Responsive</x:v>
      </x:c>
      <x:c r="E614" s="79" t="str">
        <x:v>390px largeur</x:v>
      </x:c>
      <x:c r="F614" s="79" t="str">
        <x:v>Galerie QA Chrome PASS ; parcours campagne restant</x:v>
      </x:c>
      <x:c r="G614" s="79" t="str">
        <x:v>Aucune troncature ; jeu complet, pas seulement galerie</x:v>
      </x:c>
      <x:c r="H614" s="79" t="str">
        <x:v>E2E</x:v>
      </x:c>
      <x:c r="I614" s="79" t="str">
        <x:v>Certaines assertions CI vertes</x:v>
      </x:c>
      <x:c r="J614" s="79" t="str">
        <x:v>P1</x:v>
      </x:c>
      <x:c r="K614" s="79" t="str">
        <x:v>https://github.com/darknigthmare/yautja-la-longue-chasse/actions/runs/41195884060</x:v>
      </x:c>
      <x:c r="L614" s="79" t="str">
        <x:v>Galerie QA Chrome PASS ; parcours campagne restant</x:v>
      </x:c>
    </x:row>
    <x:row r="615" ht="29" customHeight="1">
      <x:c r="A615" s="79" t="str">
        <x:v>07_QA</x:v>
      </x:c>
      <x:c r="B615" s="79" t="n">
        <x:v>34</x:v>
      </x:c>
      <x:c r="C615" s="79" t="str">
        <x:v>QA-030</x:v>
      </x:c>
      <x:c r="D615" s="79" t="str">
        <x:v>Responsive</x:v>
      </x:c>
      <x:c r="E615" s="79" t="str">
        <x:v>768px largeur</x:v>
      </x:c>
      <x:c r="F615" s="79" t="str">
        <x:v>OUVERT · scénario navigateur/artistique non vérifié</x:v>
      </x:c>
      <x:c r="G615" s="79" t="str">
        <x:v>Aucun overlay bloque-clic ; preuve cible manquante</x:v>
      </x:c>
      <x:c r="H615" s="79" t="str">
        <x:v>E2E</x:v>
      </x:c>
      <x:c r="I615" s="79" t="str">
        <x:v>Certaines assertions CI vertes</x:v>
      </x:c>
      <x:c r="J615" s="79" t="str">
        <x:v>P1</x:v>
      </x:c>
      <x:c r="K615" s="79" t="str">
        <x:v>https://github.com/darknigthmare/yautja-la-longue-chasse/pull/42</x:v>
      </x:c>
      <x:c r="L615" s="79" t="str">
        <x:v>OUVERT · scénario navigateur/artistique non vérifié</x:v>
      </x:c>
    </x:row>
    <x:row r="616" ht="29" customHeight="1">
      <x:c r="A616" s="79" t="str">
        <x:v>07_QA</x:v>
      </x:c>
      <x:c r="B616" s="79" t="n">
        <x:v>35</x:v>
      </x:c>
      <x:c r="C616" s="79" t="str">
        <x:v>QA-031</x:v>
      </x:c>
      <x:c r="D616" s="79" t="str">
        <x:v>Responsive</x:v>
      </x:c>
      <x:c r="E616" s="79" t="str">
        <x:v>Desktop 1440px</x:v>
      </x:c>
      <x:c r="F616" s="79" t="str">
        <x:v>OUVERT · scénario navigateur/artistique non vérifié</x:v>
      </x:c>
      <x:c r="G616" s="79" t="str">
        <x:v>Comparaison film côte à côte ; preuve cible manquante</x:v>
      </x:c>
      <x:c r="H616" s="79" t="str">
        <x:v>E2E</x:v>
      </x:c>
      <x:c r="I616" s="79" t="str">
        <x:v>Certaines assertions CI vertes</x:v>
      </x:c>
      <x:c r="J616" s="79" t="str">
        <x:v>P1</x:v>
      </x:c>
      <x:c r="K616" s="79" t="str">
        <x:v>https://github.com/darknigthmare/yautja-la-longue-chasse/pull/42</x:v>
      </x:c>
      <x:c r="L616" s="79" t="str">
        <x:v>OUVERT · scénario navigateur/artistique non vérifié</x:v>
      </x:c>
    </x:row>
    <x:row r="617" ht="29" customHeight="1">
      <x:c r="A617" s="79" t="str">
        <x:v>07_QA</x:v>
      </x:c>
      <x:c r="B617" s="79" t="n">
        <x:v>36</x:v>
      </x:c>
      <x:c r="C617" s="79" t="str">
        <x:v>QA-032</x:v>
      </x:c>
      <x:c r="D617" s="79" t="str">
        <x:v>Accessibilité</x:v>
      </x:c>
      <x:c r="E617" s="79" t="str">
        <x:v>Clavier uniquement</x:v>
      </x:c>
      <x:c r="F617" s="79" t="str">
        <x:v>Galerie QA Chrome PASS ; parcours campagne restant</x:v>
      </x:c>
      <x:c r="G617" s="79" t="str">
        <x:v>aria-pressed correct ; jeu complet, pas seulement galerie</x:v>
      </x:c>
      <x:c r="H617" s="79" t="str">
        <x:v>E2E</x:v>
      </x:c>
      <x:c r="I617" s="79" t="str">
        <x:v>Certaines assertions CI vertes</x:v>
      </x:c>
      <x:c r="J617" s="79" t="str">
        <x:v>P1</x:v>
      </x:c>
      <x:c r="K617" s="79" t="str">
        <x:v>https://github.com/darknigthmare/yautja-la-longue-chasse/actions/runs/41195884060</x:v>
      </x:c>
      <x:c r="L617" s="79" t="str">
        <x:v>Galerie QA Chrome PASS ; parcours campagne restant</x:v>
      </x:c>
    </x:row>
    <x:row r="618" ht="29" customHeight="1">
      <x:c r="A618" s="79" t="str">
        <x:v>07_QA</x:v>
      </x:c>
      <x:c r="B618" s="79" t="n">
        <x:v>37</x:v>
      </x:c>
      <x:c r="C618" s="79" t="str">
        <x:v>QA-033</x:v>
      </x:c>
      <x:c r="D618" s="79" t="str">
        <x:v>Accessibilité</x:v>
      </x:c>
      <x:c r="E618" s="79" t="str">
        <x:v>Lecteur d'écran</x:v>
      </x:c>
      <x:c r="F618" s="79" t="str">
        <x:v>OUVERT · scénario navigateur/artistique non vérifié</x:v>
      </x:c>
      <x:c r="G618" s="79" t="str">
        <x:v>Annonce état équipement ; preuve cible manquante</x:v>
      </x:c>
      <x:c r="H618" s="79" t="str">
        <x:v>E2E</x:v>
      </x:c>
      <x:c r="I618" s="79" t="str">
        <x:v>Certaines assertions CI vertes</x:v>
      </x:c>
      <x:c r="J618" s="79" t="str">
        <x:v>P1</x:v>
      </x:c>
      <x:c r="K618" s="79" t="str">
        <x:v>https://github.com/darknigthmare/yautja-la-longue-chasse/pull/42</x:v>
      </x:c>
      <x:c r="L618" s="79" t="str">
        <x:v>OUVERT · scénario navigateur/artistique non vérifié</x:v>
      </x:c>
    </x:row>
    <x:row r="619" ht="29" customHeight="1">
      <x:c r="A619" s="79" t="str">
        <x:v>07_QA</x:v>
      </x:c>
      <x:c r="B619" s="79" t="n">
        <x:v>38</x:v>
      </x:c>
      <x:c r="C619" s="79" t="str">
        <x:v>QA-034</x:v>
      </x:c>
      <x:c r="D619" s="79" t="str">
        <x:v>Accessibilité</x:v>
      </x:c>
      <x:c r="E619" s="79" t="str">
        <x:v>Reduced motion</x:v>
      </x:c>
      <x:c r="F619" s="79" t="str">
        <x:v>Galerie QA Chrome PASS ; parcours campagne restant</x:v>
      </x:c>
      <x:c r="G619" s="79" t="str">
        <x:v>Pas de photo-strobe ; jeu complet, pas seulement galerie</x:v>
      </x:c>
      <x:c r="H619" s="79" t="str">
        <x:v>E2E</x:v>
      </x:c>
      <x:c r="I619" s="79" t="str">
        <x:v>Certaines assertions CI vertes</x:v>
      </x:c>
      <x:c r="J619" s="79" t="str">
        <x:v>P1</x:v>
      </x:c>
      <x:c r="K619" s="79" t="str">
        <x:v>https://github.com/darknigthmare/yautja-la-longue-chasse/actions/runs/41195884060</x:v>
      </x:c>
      <x:c r="L619" s="79" t="str">
        <x:v>Galerie QA Chrome PASS ; parcours campagne restant</x:v>
      </x:c>
    </x:row>
    <x:row r="620" ht="29" customHeight="1">
      <x:c r="A620" s="79" t="str">
        <x:v>07_QA</x:v>
      </x:c>
      <x:c r="B620" s="79" t="n">
        <x:v>39</x:v>
      </x:c>
      <x:c r="C620" s="79" t="str">
        <x:v>QA-035</x:v>
      </x:c>
      <x:c r="D620" s="79" t="str">
        <x:v>Accessibilité</x:v>
      </x:c>
      <x:c r="E620" s="79" t="str">
        <x:v>Contraste forcé</x:v>
      </x:c>
      <x:c r="F620" s="79" t="str">
        <x:v>OUVERT · scénario navigateur/artistique non vérifié</x:v>
      </x:c>
      <x:c r="G620" s="79" t="str">
        <x:v>Pas d'état uniquement couleur ; preuve cible manquante</x:v>
      </x:c>
      <x:c r="H620" s="79" t="str">
        <x:v>QUALITÉ</x:v>
      </x:c>
      <x:c r="I620" s="79" t="str">
        <x:v>Certaines assertions CI vertes</x:v>
      </x:c>
      <x:c r="J620" s="79" t="str">
        <x:v>P1</x:v>
      </x:c>
      <x:c r="K620" s="79" t="str">
        <x:v>https://github.com/darknigthmare/yautja-la-longue-chasse/pull/42</x:v>
      </x:c>
      <x:c r="L620" s="79" t="str">
        <x:v>OUVERT · scénario navigateur/artistique non vérifié</x:v>
      </x:c>
    </x:row>
    <x:row r="621" ht="29" customHeight="1">
      <x:c r="A621" s="79" t="str">
        <x:v>07_QA</x:v>
      </x:c>
      <x:c r="B621" s="79" t="n">
        <x:v>40</x:v>
      </x:c>
      <x:c r="C621" s="79" t="str">
        <x:v>QA-036</x:v>
      </x:c>
      <x:c r="D621" s="79" t="str">
        <x:v>Performance</x:v>
      </x:c>
      <x:c r="E621" s="79" t="str">
        <x:v>Atlas 30 planètes</x:v>
      </x:c>
      <x:c r="F621" s="79" t="str">
        <x:v>OUVERT · scénario navigateur/artistique non vérifié</x:v>
      </x:c>
      <x:c r="G621" s="79" t="str">
        <x:v>Pas de double WebGL ; preuve cible manquante</x:v>
      </x:c>
      <x:c r="H621" s="79" t="str">
        <x:v>QUALITÉ</x:v>
      </x:c>
      <x:c r="I621" s="79" t="str">
        <x:v>Certaines assertions CI vertes</x:v>
      </x:c>
      <x:c r="J621" s="79" t="str">
        <x:v>P1</x:v>
      </x:c>
      <x:c r="K621" s="79" t="str">
        <x:v>https://github.com/darknigthmare/yautja-la-longue-chasse/pull/42</x:v>
      </x:c>
      <x:c r="L621" s="79" t="str">
        <x:v>OUVERT · scénario navigateur/artistique non vérifié</x:v>
      </x:c>
    </x:row>
    <x:row r="622" ht="29" customHeight="1">
      <x:c r="A622" s="79" t="str">
        <x:v>07_QA</x:v>
      </x:c>
      <x:c r="B622" s="79" t="n">
        <x:v>41</x:v>
      </x:c>
      <x:c r="C622" s="79" t="str">
        <x:v>QA-037</x:v>
      </x:c>
      <x:c r="D622" s="79" t="str">
        <x:v>Performance</x:v>
      </x:c>
      <x:c r="E622" s="79" t="str">
        <x:v>Équiper pendant une session</x:v>
      </x:c>
      <x:c r="F622" s="79" t="str">
        <x:v>OUVERT · scénario navigateur/artistique non vérifié</x:v>
      </x:c>
      <x:c r="G622" s="79" t="str">
        <x:v>Temps frame mesuré ; preuve cible manquante</x:v>
      </x:c>
      <x:c r="H622" s="79" t="str">
        <x:v>E2E</x:v>
      </x:c>
      <x:c r="I622" s="79" t="str">
        <x:v>Certaines assertions CI vertes</x:v>
      </x:c>
      <x:c r="J622" s="79" t="str">
        <x:v>P1</x:v>
      </x:c>
      <x:c r="K622" s="79" t="str">
        <x:v>https://github.com/darknigthmare/yautja-la-longue-chasse/pull/42</x:v>
      </x:c>
      <x:c r="L622" s="79" t="str">
        <x:v>OUVERT · scénario navigateur/artistique non vérifié</x:v>
      </x:c>
    </x:row>
    <x:row r="623" ht="29" customHeight="1">
      <x:c r="A623" s="79" t="str">
        <x:v>07_QA</x:v>
      </x:c>
      <x:c r="B623" s="79" t="n">
        <x:v>42</x:v>
      </x:c>
      <x:c r="C623" s="79" t="str">
        <x:v>QA-038</x:v>
      </x:c>
      <x:c r="D623" s="79" t="str">
        <x:v>Performance</x:v>
      </x:c>
      <x:c r="E623" s="79" t="str">
        <x:v>500 unités / grande planète</x:v>
      </x:c>
      <x:c r="F623" s="79" t="str">
        <x:v>OUVERT · scénario navigateur/artistique non vérifié</x:v>
      </x:c>
      <x:c r="G623" s="79" t="str">
        <x:v>Profiling comparatif ; preuve cible manquante</x:v>
      </x:c>
      <x:c r="H623" s="79" t="str">
        <x:v>E2E</x:v>
      </x:c>
      <x:c r="I623" s="79" t="str">
        <x:v>Certaines assertions CI vertes</x:v>
      </x:c>
      <x:c r="J623" s="79" t="str">
        <x:v>P1</x:v>
      </x:c>
      <x:c r="K623" s="79" t="str">
        <x:v>https://github.com/darknigthmare/yautja-la-longue-chasse/pull/42</x:v>
      </x:c>
      <x:c r="L623" s="79" t="str">
        <x:v>OUVERT · scénario navigateur/artistique non vérifié</x:v>
      </x:c>
    </x:row>
    <x:row r="624" ht="29" customHeight="1">
      <x:c r="A624" s="79" t="str">
        <x:v>07_QA</x:v>
      </x:c>
      <x:c r="B624" s="79" t="n">
        <x:v>43</x:v>
      </x:c>
      <x:c r="C624" s="79" t="str">
        <x:v>QA-039</x:v>
      </x:c>
      <x:c r="D624" s="79" t="str">
        <x:v>Qualité</x:v>
      </x:c>
      <x:c r="E624" s="79" t="str">
        <x:v>Jungle 3 angles</x:v>
      </x:c>
      <x:c r="F624" s="79" t="str">
        <x:v>OUVERT · scénario navigateur/artistique non vérifié</x:v>
      </x:c>
      <x:c r="G624" s="79" t="str">
        <x:v>Revue artistique nécessaire ; preuve cible manquante</x:v>
      </x:c>
      <x:c r="H624" s="79" t="str">
        <x:v>E2E</x:v>
      </x:c>
      <x:c r="I624" s="79" t="str">
        <x:v>Certaines assertions CI vertes</x:v>
      </x:c>
      <x:c r="J624" s="79" t="str">
        <x:v>P0</x:v>
      </x:c>
      <x:c r="K624" s="79" t="str">
        <x:v>https://github.com/darknigthmare/yautja-la-longue-chasse/pull/42</x:v>
      </x:c>
      <x:c r="L624" s="79" t="str">
        <x:v>OUVERT · scénario navigateur/artistique non vérifié</x:v>
      </x:c>
    </x:row>
    <x:row r="625" ht="29" customHeight="1">
      <x:c r="A625" s="79" t="str">
        <x:v>07_QA</x:v>
      </x:c>
      <x:c r="B625" s="79" t="n">
        <x:v>44</x:v>
      </x:c>
      <x:c r="C625" s="79" t="str">
        <x:v>QA-040</x:v>
      </x:c>
      <x:c r="D625" s="79" t="str">
        <x:v>Qualité</x:v>
      </x:c>
      <x:c r="E625" s="79" t="str">
        <x:v>Animation ouverture</x:v>
      </x:c>
      <x:c r="F625" s="79" t="str">
        <x:v>OUVERT · scénario navigateur/artistique non vérifié</x:v>
      </x:c>
      <x:c r="G625" s="79" t="str">
        <x:v>Comparaison 1987 ; preuve cible manquante</x:v>
      </x:c>
      <x:c r="H625" s="79" t="str">
        <x:v>E2E</x:v>
      </x:c>
      <x:c r="I625" s="79" t="str">
        <x:v>Certaines assertions CI vertes</x:v>
      </x:c>
      <x:c r="J625" s="79" t="str">
        <x:v>P1</x:v>
      </x:c>
      <x:c r="K625" s="79" t="str">
        <x:v>https://github.com/darknigthmare/yautja-la-longue-chasse/pull/42</x:v>
      </x:c>
      <x:c r="L625" s="79" t="str">
        <x:v>OUVERT · scénario navigateur/artistique non vérifié</x:v>
      </x:c>
    </x:row>
    <x:row r="626" ht="29" customHeight="1">
      <x:c r="A626" s="79" t="str">
        <x:v>07_QA</x:v>
      </x:c>
      <x:c r="B626" s="79" t="n">
        <x:v>45</x:v>
      </x:c>
      <x:c r="C626" s="79" t="str">
        <x:v>QA-041</x:v>
      </x:c>
      <x:c r="D626" s="79" t="str">
        <x:v>Qualité</x:v>
      </x:c>
      <x:c r="E626" s="79" t="str">
        <x:v>Homogénéité audio</x:v>
      </x:c>
      <x:c r="F626" s="79" t="str">
        <x:v>OUVERT · scénario navigateur/artistique non vérifié</x:v>
      </x:c>
      <x:c r="G626" s="79" t="str">
        <x:v>Pas d'autoplay ; preuve cible manquante</x:v>
      </x:c>
      <x:c r="H626" s="79" t="str">
        <x:v>E2E</x:v>
      </x:c>
      <x:c r="I626" s="79" t="str">
        <x:v>Certaines assertions CI vertes</x:v>
      </x:c>
      <x:c r="J626" s="79" t="str">
        <x:v>P1</x:v>
      </x:c>
      <x:c r="K626" s="79" t="str">
        <x:v>https://github.com/darknigthmare/yautja-la-longue-chasse/pull/42</x:v>
      </x:c>
      <x:c r="L626" s="79" t="str">
        <x:v>OUVERT · scénario navigateur/artistique non vérifié</x:v>
      </x:c>
    </x:row>
    <x:row r="627" ht="29" customHeight="1">
      <x:c r="A627" s="79" t="str">
        <x:v>07_QA</x:v>
      </x:c>
      <x:c r="B627" s="79" t="n">
        <x:v>46</x:v>
      </x:c>
      <x:c r="C627" s="79" t="str">
        <x:v>QA-042</x:v>
      </x:c>
      <x:c r="D627" s="79" t="str">
        <x:v>Qualité</x:v>
      </x:c>
      <x:c r="E627" s="79" t="str">
        <x:v>Référence d'origine</x:v>
      </x:c>
      <x:c r="F627" s="79" t="str">
        <x:v>OUVERT · scénario navigateur/artistique non vérifié</x:v>
      </x:c>
      <x:c r="G627" s="79" t="str">
        <x:v>Pas d'image sous copyright copiée ; preuve cible manquante</x:v>
      </x:c>
      <x:c r="H627" s="79" t="str">
        <x:v>E2E</x:v>
      </x:c>
      <x:c r="I627" s="79" t="str">
        <x:v>Certaines assertions CI vertes</x:v>
      </x:c>
      <x:c r="J627" s="79" t="str">
        <x:v>P1</x:v>
      </x:c>
      <x:c r="K627" s="79" t="str">
        <x:v>https://github.com/darknigthmare/yautja-la-longue-chasse/pull/42</x:v>
      </x:c>
      <x:c r="L627" s="79" t="str">
        <x:v>OUVERT · scénario navigateur/artistique non vérifié</x:v>
      </x:c>
    </x:row>
    <x:row r="628" ht="29" customHeight="1">
      <x:c r="A628" s="79" t="str">
        <x:v>07_QA</x:v>
      </x:c>
      <x:c r="B628" s="79" t="n">
        <x:v>49</x:v>
      </x:c>
      <x:c r="C628" s="79" t="str">
        <x:v>QA-045</x:v>
      </x:c>
      <x:c r="D628" s="79" t="str">
        <x:v>Sécurité</x:v>
      </x:c>
      <x:c r="E628" s="79" t="str">
        <x:v>Propriétaire local</x:v>
      </x:c>
      <x:c r="F628" s="79" t="str">
        <x:v>Tests Node/TypeScript PASS ; parcours réel dans le jeu restant</x:v>
      </x:c>
      <x:c r="G628" s="79" t="str">
        <x:v>Pas de partage entre saves ; jeu complet, pas seulement galerie</x:v>
      </x:c>
      <x:c r="H628" s="79" t="str">
        <x:v>QUALITÉ</x:v>
      </x:c>
      <x:c r="I628" s="79" t="str">
        <x:v>Certaines assertions CI vertes</x:v>
      </x:c>
      <x:c r="J628" s="79" t="str">
        <x:v>P1</x:v>
      </x:c>
      <x:c r="K628" s="79" t="str">
        <x:v>https://github.com/darknigthmare/yautja-la-longue-chasse/actions/runs/41195884060</x:v>
      </x:c>
      <x:c r="L628" s="79" t="str">
        <x:v>Tests Node/TypeScript PASS ; parcours réel dans le jeu restant</x:v>
      </x:c>
    </x:row>
    <x:row r="629" ht="29" customHeight="1">
      <x:c r="A629" s="79" t="str">
        <x:v>07_QA</x:v>
      </x:c>
      <x:c r="B629" s="79" t="n">
        <x:v>50</x:v>
      </x:c>
      <x:c r="C629" s="79" t="str">
        <x:v>QA-046</x:v>
      </x:c>
      <x:c r="D629" s="79" t="str">
        <x:v>Arsenal</x:v>
      </x:c>
      <x:c r="E629" s="79" t="str">
        <x:v>Gauntlet / wristblades séparés</x:v>
      </x:c>
      <x:c r="F629" s="79" t="str">
        <x:v>Rig sépare brassard gauche / wristblades ; contrôle visuel restant</x:v>
      </x:c>
      <x:c r="G629" s="79" t="str">
        <x:v>Combat inchangé ; preuve cible manquante</x:v>
      </x:c>
      <x:c r="H629" s="79" t="str">
        <x:v>E2E</x:v>
      </x:c>
      <x:c r="I629" s="79" t="str">
        <x:v>Certaines assertions CI vertes</x:v>
      </x:c>
      <x:c r="J629" s="79" t="str">
        <x:v>P1</x:v>
      </x:c>
      <x:c r="K629" s="79" t="str">
        <x:v>https://github.com/darknigthmare/yautja-la-longue-chasse/blob/feat/v131-gauntlet-hologram-dual-view-20261030/app/game/HunterRigPreview.tsx</x:v>
      </x:c>
      <x:c r="L629" s="79" t="str">
        <x:v>Rig sépare brassard gauche / wristblades ; contrôle visuel restant</x:v>
      </x:c>
    </x:row>
    <x:row r="630" ht="29" customHeight="1">
      <x:c r="A630" s="79" t="str">
        <x:v>07_QA</x:v>
      </x:c>
      <x:c r="B630" s="79" t="n">
        <x:v>51</x:v>
      </x:c>
      <x:c r="C630" s="79" t="str">
        <x:v>QA-047</x:v>
      </x:c>
      <x:c r="D630" s="79" t="str">
        <x:v>Arsenal</x:v>
      </x:c>
      <x:c r="E630" s="79" t="str">
        <x:v>Équipement global futur</x:v>
      </x:c>
      <x:c r="F630" s="79" t="str">
        <x:v>Slot armurerie livré ; essai jeu de bout en bout restant</x:v>
      </x:c>
      <x:c r="G630" s="79" t="str">
        <x:v>Pas d'écriture fantôme ; preuve cible manquante</x:v>
      </x:c>
      <x:c r="H630" s="79" t="str">
        <x:v>E2E</x:v>
      </x:c>
      <x:c r="I630" s="79" t="str">
        <x:v>Certaines assertions CI vertes</x:v>
      </x:c>
      <x:c r="J630" s="79" t="str">
        <x:v>P1</x:v>
      </x:c>
      <x:c r="K630" s="79" t="str">
        <x:v>https://github.com/darknigthmare/yautja-la-longue-chasse/blob/feat/v131-gauntlet-hologram-dual-view-20261030/app/game/GameClient.tsx</x:v>
      </x:c>
      <x:c r="L630" s="79" t="str">
        <x:v>Slot armurerie livré ; essai jeu de bout en bout restant</x:v>
      </x:c>
    </x:row>
    <x:row r="631" ht="29" customHeight="1">
      <x:c r="A631" s="79" t="str">
        <x:v>10_V133_Suivi</x:v>
      </x:c>
      <x:c r="B631" s="79" t="n">
        <x:v>5</x:v>
      </x:c>
      <x:c r="C631" s="79" t="str">
        <x:v>P01</x:v>
      </x:c>
      <x:c r="D631" s="79" t="str">
        <x:v>Fidélité</x:v>
      </x:c>
      <x:c r="E631" s="79" t="str">
        <x:v>Cinq rangées LED rouges et panneau axial</x:v>
      </x:c>
      <x:c r="F631" s="79" t="str">
        <x:v>PARTIEL · prototype ou composant testé, finition 1:1/mission encore ouverte</x:v>
      </x:c>
      <x:c r="G631" s="79" t="str">
        <x:v>Voir backlog V137 ; ne pas fermer sans preuve de film, rig ou quête</x:v>
      </x:c>
      <x:c r="H631" s="79" t="str">
        <x:v>ART/PROD</x:v>
      </x:c>
      <x:c r="I631" s="79" t="str">
        <x:v>Non pour fidélité et tests humains</x:v>
      </x:c>
      <x:c r="J631" s="79" t="str">
        <x:v>P0</x:v>
      </x:c>
      <x:c r="K631" s="79" t="str">
        <x:v>https://github.com/darknigthmare/yautja-la-longue-chasse/pull/42</x:v>
      </x:c>
      <x:c r="L631" s="79" t="str">
        <x:v>Source corrigée</x:v>
      </x:c>
    </x:row>
    <x:row r="632" ht="29" customHeight="1">
      <x:c r="A632" s="79" t="str">
        <x:v>10_V133_Suivi</x:v>
      </x:c>
      <x:c r="B632" s="79" t="n">
        <x:v>6</x:v>
      </x:c>
      <x:c r="C632" s="79" t="str">
        <x:v>P02</x:v>
      </x:c>
      <x:c r="D632" s="79" t="str">
        <x:v>Fidélité</x:v>
      </x:c>
      <x:c r="E632" s="79" t="str">
        <x:v>Capot articulé ouvrable / refermable</x:v>
      </x:c>
      <x:c r="F632" s="79" t="str">
        <x:v>PARTIEL · prototype ou composant testé, finition 1:1/mission encore ouverte</x:v>
      </x:c>
      <x:c r="G632" s="79" t="str">
        <x:v>Voir backlog V137 ; ne pas fermer sans preuve de film, rig ou quête</x:v>
      </x:c>
      <x:c r="H632" s="79" t="str">
        <x:v>ART/PROD</x:v>
      </x:c>
      <x:c r="I632" s="79" t="str">
        <x:v>Non pour fidélité et tests humains</x:v>
      </x:c>
      <x:c r="J632" s="79" t="str">
        <x:v>P0</x:v>
      </x:c>
      <x:c r="K632" s="79" t="str">
        <x:v>https://github.com/darknigthmare/yautja-la-longue-chasse/pull/42</x:v>
      </x:c>
      <x:c r="L632" s="79" t="str">
        <x:v>Commande de prévisualisation</x:v>
      </x:c>
    </x:row>
    <x:row r="633" ht="29" customHeight="1">
      <x:c r="A633" s="79" t="str">
        <x:v>10_V133_Suivi</x:v>
      </x:c>
      <x:c r="B633" s="79" t="n">
        <x:v>25</x:v>
      </x:c>
      <x:c r="C633" s="79" t="str">
        <x:v>P21</x:v>
      </x:c>
      <x:c r="D633" s="79" t="str">
        <x:v>Fidélité</x:v>
      </x:c>
      <x:c r="E633" s="79" t="str">
        <x:v>Captures 1987 en 3 angles authentiques</x:v>
      </x:c>
      <x:c r="F633" s="79" t="str">
        <x:v>OUVERT · références/mesures ou test humain requis</x:v>
      </x:c>
      <x:c r="G633" s="79" t="str">
        <x:v>Aucune validation 1:1 sans comparaison</x:v>
      </x:c>
      <x:c r="H633" s="79" t="str">
        <x:v>ART/PROD</x:v>
      </x:c>
      <x:c r="I633" s="79" t="str">
        <x:v>Non pour fidélité et tests humains</x:v>
      </x:c>
      <x:c r="J633" s="79" t="str">
        <x:v>P0</x:v>
      </x:c>
      <x:c r="K633" s="79" t="str">
        <x:v>https://github.com/darknigthmare/yautja-la-longue-chasse/pull/42</x:v>
      </x:c>
      <x:c r="L633" s="79" t="str">
        <x:v>URL + captures à choisir</x:v>
      </x:c>
    </x:row>
    <x:row r="634" ht="29" customHeight="1">
      <x:c r="A634" s="79" t="str">
        <x:v>10_V133_Suivi</x:v>
      </x:c>
      <x:c r="B634" s="79" t="n">
        <x:v>26</x:v>
      </x:c>
      <x:c r="C634" s="79" t="str">
        <x:v>P22</x:v>
      </x:c>
      <x:c r="D634" s="79" t="str">
        <x:v>Fidélité</x:v>
      </x:c>
      <x:c r="E634" s="79" t="str">
        <x:v>Mesure photogrammétrique proportions/charnière</x:v>
      </x:c>
      <x:c r="F634" s="79" t="str">
        <x:v>OUVERT · références/mesures ou test humain requis</x:v>
      </x:c>
      <x:c r="G634" s="79" t="str">
        <x:v>Besoin vues et échelle</x:v>
      </x:c>
      <x:c r="H634" s="79" t="str">
        <x:v>ART/PROD</x:v>
      </x:c>
      <x:c r="I634" s="79" t="str">
        <x:v>Non pour fidélité et tests humains</x:v>
      </x:c>
      <x:c r="J634" s="79" t="str">
        <x:v>P0</x:v>
      </x:c>
      <x:c r="K634" s="79" t="str">
        <x:v>https://github.com/darknigthmare/yautja-la-longue-chasse/pull/42</x:v>
      </x:c>
      <x:c r="L634" s="79" t="str">
        <x:v>Mesures absentes</x:v>
      </x:c>
    </x:row>
    <x:row r="635" ht="29" customHeight="1">
      <x:c r="A635" s="79" t="str">
        <x:v>10_V133_Suivi</x:v>
      </x:c>
      <x:c r="B635" s="79" t="n">
        <x:v>27</x:v>
      </x:c>
      <x:c r="C635" s="79" t="str">
        <x:v>P23</x:v>
      </x:c>
      <x:c r="D635" s="79" t="str">
        <x:v>Assets</x:v>
      </x:c>
      <x:c r="E635" s="79" t="str">
        <x:v>Produire PNG alpha séparés et modèles</x:v>
      </x:c>
      <x:c r="F635" s="79" t="str">
        <x:v>PARTIEL · prototype ou composant testé, finition 1:1/mission encore ouverte</x:v>
      </x:c>
      <x:c r="G635" s="79" t="str">
        <x:v>Voir backlog V137 ; ne pas fermer sans preuve de film, rig ou quête</x:v>
      </x:c>
      <x:c r="H635" s="79" t="str">
        <x:v>ART/PROD</x:v>
      </x:c>
      <x:c r="I635" s="79" t="str">
        <x:v>Non pour fidélité et tests humains</x:v>
      </x:c>
      <x:c r="J635" s="79" t="str">
        <x:v>P0</x:v>
      </x:c>
      <x:c r="K635" s="79" t="str">
        <x:v>https://github.com/darknigthmare/yautja-la-longue-chasse/pull/42</x:v>
      </x:c>
      <x:c r="L635" s="79" t="str">
        <x:v>540 items recensés</x:v>
      </x:c>
    </x:row>
    <x:row r="636" ht="29" customHeight="1">
      <x:c r="A636" s="79" t="str">
        <x:v>10_V133_Suivi</x:v>
      </x:c>
      <x:c r="B636" s="79" t="n">
        <x:v>28</x:v>
      </x:c>
      <x:c r="C636" s="79" t="str">
        <x:v>P24</x:v>
      </x:c>
      <x:c r="D636" s="79" t="str">
        <x:v>Gameplay</x:v>
      </x:c>
      <x:c r="E636" s="79" t="str">
        <x:v>44 défis de gauntlet</x:v>
      </x:c>
      <x:c r="F636" s="79" t="str">
        <x:v>PARTIEL · prototype ou composant testé, finition 1:1/mission encore ouverte</x:v>
      </x:c>
      <x:c r="G636" s="79" t="str">
        <x:v>Voir backlog V137 ; ne pas fermer sans preuve de film, rig ou quête</x:v>
      </x:c>
      <x:c r="H636" s="79" t="str">
        <x:v>ART/PROD</x:v>
      </x:c>
      <x:c r="I636" s="79" t="str">
        <x:v>Non pour fidélité et tests humains</x:v>
      </x:c>
      <x:c r="J636" s="79" t="str">
        <x:v>P1</x:v>
      </x:c>
      <x:c r="K636" s="79" t="str">
        <x:v>https://github.com/darknigthmare/yautja-la-longue-chasse/pull/42</x:v>
      </x:c>
      <x:c r="L636" s="79" t="str">
        <x:v>Conditions réservées</x:v>
      </x:c>
    </x:row>
    <x:row r="637" ht="29" customHeight="1">
      <x:c r="A637" s="79" t="str">
        <x:v>10_V133_Suivi</x:v>
      </x:c>
      <x:c r="B637" s="79" t="n">
        <x:v>30</x:v>
      </x:c>
      <x:c r="C637" s="79" t="str">
        <x:v>P26</x:v>
      </x:c>
      <x:c r="D637" s="79" t="str">
        <x:v>Interface</x:v>
      </x:c>
      <x:c r="E637" s="79" t="str">
        <x:v>Tester 4 sous-modes au clavier/manette</x:v>
      </x:c>
      <x:c r="F637" s="79" t="str">
        <x:v>OUVERT · références/mesures ou test humain requis</x:v>
      </x:c>
      <x:c r="G637" s="79" t="str">
        <x:v>E2E et lecteur écran</x:v>
      </x:c>
      <x:c r="H637" s="79" t="str">
        <x:v>ART/PROD</x:v>
      </x:c>
      <x:c r="I637" s="79" t="str">
        <x:v>Non pour fidélité et tests humains</x:v>
      </x:c>
      <x:c r="J637" s="79" t="str">
        <x:v>P0</x:v>
      </x:c>
      <x:c r="K637" s="79" t="str">
        <x:v>https://github.com/darknigthmare/yautja-la-longue-chasse/pull/42</x:v>
      </x:c>
      <x:c r="L637" s="79" t="str">
        <x:v>Aucune capture en navigateur</x:v>
      </x:c>
    </x:row>
    <x:row r="638" ht="29" customHeight="1">
      <x:c r="A638" s="79" t="str">
        <x:v>10_V133_Suivi</x:v>
      </x:c>
      <x:c r="B638" s="79" t="n">
        <x:v>31</x:v>
      </x:c>
      <x:c r="C638" s="79" t="str">
        <x:v>P27</x:v>
      </x:c>
      <x:c r="D638" s="79" t="str">
        <x:v>Performance</x:v>
      </x:c>
      <x:c r="E638" s="79" t="str">
        <x:v>Mesurer FPS/VRAM avec plusieurs mondes</x:v>
      </x:c>
      <x:c r="F638" s="79" t="str">
        <x:v>OUVERT · références/mesures ou test humain requis</x:v>
      </x:c>
      <x:c r="G638" s="79" t="str">
        <x:v>Profilage desktop/mobile</x:v>
      </x:c>
      <x:c r="H638" s="79" t="str">
        <x:v>ART/PROD</x:v>
      </x:c>
      <x:c r="I638" s="79" t="str">
        <x:v>Non pour fidélité et tests humains</x:v>
      </x:c>
      <x:c r="J638" s="79" t="str">
        <x:v>P1</x:v>
      </x:c>
      <x:c r="K638" s="79" t="str">
        <x:v>https://github.com/darknigthmare/yautja-la-longue-chasse/pull/42</x:v>
      </x:c>
      <x:c r="L638" s="79" t="str">
        <x:v>Pas de mesures</x:v>
      </x:c>
    </x:row>
    <x:row r="639" ht="29" customHeight="1">
      <x:c r="A639" s="79" t="str">
        <x:v>10_V133_Suivi</x:v>
      </x:c>
      <x:c r="B639" s="79" t="n">
        <x:v>32</x:v>
      </x:c>
      <x:c r="C639" s="79" t="str">
        <x:v>P28</x:v>
      </x:c>
      <x:c r="D639" s="79" t="str">
        <x:v>Lore</x:v>
      </x:c>
      <x:c r="E639" s="79" t="str">
        <x:v>Valider gauntlets connus des 54 sources</x:v>
      </x:c>
      <x:c r="F639" s="79" t="str">
        <x:v>OUVERT · références/mesures ou test humain requis</x:v>
      </x:c>
      <x:c r="G639" s="79" t="str">
        <x:v>Classes PHG != pièce de poignet confirmée</x:v>
      </x:c>
      <x:c r="H639" s="79" t="str">
        <x:v>ART/PROD</x:v>
      </x:c>
      <x:c r="I639" s="79" t="str">
        <x:v>Non pour fidélité et tests humains</x:v>
      </x:c>
      <x:c r="J639" s="79" t="str">
        <x:v>P0</x:v>
      </x:c>
      <x:c r="K639" s="79" t="str">
        <x:v>https://github.com/darknigthmare/yautja-la-longue-chasse/pull/42</x:v>
      </x:c>
      <x:c r="L639" s="79" t="str">
        <x:v>Preuves distinctes par source</x:v>
      </x:c>
    </x:row>
    <x:row r="640" ht="29" customHeight="1">
      <x:c r="A640" s="79" t="str">
        <x:v>10_V133_Suivi</x:v>
      </x:c>
      <x:c r="B640" s="79" t="n">
        <x:v>33</x:v>
      </x:c>
      <x:c r="C640" s="79" t="str">
        <x:v>P29</x:v>
      </x:c>
      <x:c r="D640" s="79" t="str">
        <x:v>QA humaine</x:v>
      </x:c>
      <x:c r="E640" s="79" t="str">
        <x:v>Quatre testeurs indépendants</x:v>
      </x:c>
      <x:c r="F640" s="79" t="str">
        <x:v>OUVERT · références/mesures ou test humain requis</x:v>
      </x:c>
      <x:c r="G640" s="79" t="str">
        <x:v>Récap de bugs à produire</x:v>
      </x:c>
      <x:c r="H640" s="79" t="str">
        <x:v>ART/PROD</x:v>
      </x:c>
      <x:c r="I640" s="79" t="str">
        <x:v>Non pour fidélité et tests humains</x:v>
      </x:c>
      <x:c r="J640" s="79" t="str">
        <x:v>P1</x:v>
      </x:c>
      <x:c r="K640" s="79" t="str">
        <x:v>https://github.com/darknigthmare/yautja-la-longue-chasse/pull/42</x:v>
      </x:c>
      <x:c r="L640" s="79" t="str">
        <x:v>Non réalisés</x:v>
      </x:c>
    </x:row>
    <x:row r="641" ht="29" customHeight="1">
      <x:c r="A641" s="79" t="str">
        <x:v>11_V133_QA</x:v>
      </x:c>
      <x:c r="B641" s="79" t="n">
        <x:v>5</x:v>
      </x:c>
      <x:c r="C641" s="79" t="str">
        <x:v>Q133-01</x:v>
      </x:c>
      <x:c r="D641" s="79" t="str">
        <x:v>V133</x:v>
      </x:c>
      <x:c r="E641" s="79" t="str">
        <x:v>Changer le gauntlet au vaisseau puis ouvrir Guerre des clans</x:v>
      </x:c>
      <x:c r="F641" s="79" t="str">
        <x:v>Contrat code PASS ; navigation de la campagne non vérifiée</x:v>
      </x:c>
      <x:c r="G641" s="79" t="str">
        <x:v>Capture armurerie puis carte identique</x:v>
      </x:c>
      <x:c r="H641" s="79" t="str">
        <x:v>E2E/ART</x:v>
      </x:c>
      <x:c r="I641" s="79" t="str">
        <x:v>Tests ciblés partiels</x:v>
      </x:c>
      <x:c r="J641" s="79" t="str">
        <x:v>P1</x:v>
      </x:c>
      <x:c r="K641" s="79" t="str">
        <x:v>https://github.com/darknigthmare/yautja-la-longue-chasse/pull/42</x:v>
      </x:c>
      <x:c r="L641" s="79" t="str">
        <x:v>V133 contract test</x:v>
      </x:c>
    </x:row>
    <x:row r="642" ht="29" customHeight="1">
      <x:c r="A642" s="79" t="str">
        <x:v>11_V133_QA</x:v>
      </x:c>
      <x:c r="B642" s="79" t="n">
        <x:v>6</x:v>
      </x:c>
      <x:c r="C642" s="79" t="str">
        <x:v>Q133-02</x:v>
      </x:c>
      <x:c r="D642" s="79" t="str">
        <x:v>V133</x:v>
      </x:c>
      <x:c r="E642" s="79" t="str">
        <x:v>Choisir un équipement au rang insuffisant doit échouer</x:v>
      </x:c>
      <x:c r="F642" s="79" t="str">
        <x:v>Tests source/CI passés ; revue navigateur complète à faire</x:v>
      </x:c>
      <x:c r="G642" s="79" t="str">
        <x:v>Aucun déblocage non gagné</x:v>
      </x:c>
      <x:c r="H642" s="79" t="str">
        <x:v>E2E/ART</x:v>
      </x:c>
      <x:c r="I642" s="79" t="str">
        <x:v>Tests ciblés partiels</x:v>
      </x:c>
      <x:c r="J642" s="79" t="str">
        <x:v>P1</x:v>
      </x:c>
      <x:c r="K642" s="79" t="str">
        <x:v>https://github.com/darknigthmare/yautja-la-longue-chasse/pull/42</x:v>
      </x:c>
      <x:c r="L642" s="79" t="str">
        <x:v>V132/V133 unit</x:v>
      </x:c>
    </x:row>
    <x:row r="643" ht="29" customHeight="1">
      <x:c r="A643" s="79" t="str">
        <x:v>11_V133_QA</x:v>
      </x:c>
      <x:c r="B643" s="79" t="n">
        <x:v>7</x:v>
      </x:c>
      <x:c r="C643" s="79" t="str">
        <x:v>Q133-03</x:v>
      </x:c>
      <x:c r="D643" s="79" t="str">
        <x:v>V133</x:v>
      </x:c>
      <x:c r="E643" s="79" t="str">
        <x:v>Deux sauvegardes chasseur, deux équipements distincts</x:v>
      </x:c>
      <x:c r="F643" s="79" t="str">
        <x:v>Tests source/CI passés ; revue navigateur complète à faire</x:v>
      </x:c>
      <x:c r="G643" s="79" t="str">
        <x:v>Aucune fuite d’un slot</x:v>
      </x:c>
      <x:c r="H643" s="79" t="str">
        <x:v>E2E/ART</x:v>
      </x:c>
      <x:c r="I643" s="79" t="str">
        <x:v>Tests ciblés partiels</x:v>
      </x:c>
      <x:c r="J643" s="79" t="str">
        <x:v>P1</x:v>
      </x:c>
      <x:c r="K643" s="79" t="str">
        <x:v>https://github.com/darknigthmare/yautja-la-longue-chasse/pull/42</x:v>
      </x:c>
      <x:c r="L643" s="79" t="str">
        <x:v>V133 unit</x:v>
      </x:c>
    </x:row>
    <x:row r="644" ht="29" customHeight="1">
      <x:c r="A644" s="79" t="str">
        <x:v>11_V133_QA</x:v>
      </x:c>
      <x:c r="B644" s="79" t="n">
        <x:v>8</x:v>
      </x:c>
      <x:c r="C644" s="79" t="str">
        <x:v>Q133-04</x:v>
      </x:c>
      <x:c r="D644" s="79" t="str">
        <x:v>V133</x:v>
      </x:c>
      <x:c r="E644" s="79" t="str">
        <x:v>Bloquer localStorage puis équiper et basculer d'écran</x:v>
      </x:c>
      <x:c r="F644" s="79" t="str">
        <x:v>Tests source/CI passés ; revue navigateur complète à faire</x:v>
      </x:c>
      <x:c r="G644" s="79" t="str">
        <x:v>Même choix maintenu temporairement</x:v>
      </x:c>
      <x:c r="H644" s="79" t="str">
        <x:v>E2E/ART</x:v>
      </x:c>
      <x:c r="I644" s="79" t="str">
        <x:v>Tests ciblés partiels</x:v>
      </x:c>
      <x:c r="J644" s="79" t="str">
        <x:v>P1</x:v>
      </x:c>
      <x:c r="K644" s="79" t="str">
        <x:v>https://github.com/darknigthmare/yautja-la-longue-chasse/pull/42</x:v>
      </x:c>
      <x:c r="L644" s="79" t="str">
        <x:v>V133 unit</x:v>
      </x:c>
    </x:row>
    <x:row r="645" ht="29" customHeight="1">
      <x:c r="A645" s="79" t="str">
        <x:v>11_V133_QA</x:v>
      </x:c>
      <x:c r="B645" s="79" t="n">
        <x:v>9</x:v>
      </x:c>
      <x:c r="C645" s="79" t="str">
        <x:v>Q133-05</x:v>
      </x:c>
      <x:c r="D645" s="79" t="str">
        <x:v>V133</x:v>
      </x:c>
      <x:c r="E645" s="79" t="str">
        <x:v>Équipement actualisé dans un autre onglet</x:v>
      </x:c>
      <x:c r="F645" s="79" t="str">
        <x:v>Tests source/CI passés ; revue navigateur complète à faire</x:v>
      </x:c>
      <x:c r="G645" s="79" t="str">
        <x:v>Convergence sans écrasement</x:v>
      </x:c>
      <x:c r="H645" s="79" t="str">
        <x:v>E2E/ART</x:v>
      </x:c>
      <x:c r="I645" s="79" t="str">
        <x:v>Tests ciblés partiels</x:v>
      </x:c>
      <x:c r="J645" s="79" t="str">
        <x:v>P1</x:v>
      </x:c>
      <x:c r="K645" s="79" t="str">
        <x:v>https://github.com/darknigthmare/yautja-la-longue-chasse/pull/42</x:v>
      </x:c>
      <x:c r="L645" s="79" t="str">
        <x:v>Handler source</x:v>
      </x:c>
    </x:row>
    <x:row r="646" ht="29" customHeight="1">
      <x:c r="A646" s="79" t="str">
        <x:v>11_V133_QA</x:v>
      </x:c>
      <x:c r="B646" s="79" t="n">
        <x:v>10</x:v>
      </x:c>
      <x:c r="C646" s="79" t="str">
        <x:v>Q133-06</x:v>
      </x:c>
      <x:c r="D646" s="79" t="str">
        <x:v>V133</x:v>
      </x:c>
      <x:c r="E646" s="79" t="str">
        <x:v>Ouvrir/fermer le capot rouge du Jungle Hunter</x:v>
      </x:c>
      <x:c r="F646" s="79" t="str">
        <x:v>Tests source/CI passés ; revue navigateur complète à faire</x:v>
      </x:c>
      <x:c r="G646" s="79" t="str">
        <x:v>Positions ouvertes/fermées</x:v>
      </x:c>
      <x:c r="H646" s="79" t="str">
        <x:v>E2E/ART</x:v>
      </x:c>
      <x:c r="I646" s="79" t="str">
        <x:v>Tests ciblés partiels</x:v>
      </x:c>
      <x:c r="J646" s="79" t="str">
        <x:v>P1</x:v>
      </x:c>
      <x:c r="K646" s="79" t="str">
        <x:v>https://github.com/darknigthmare/yautja-la-longue-chasse/pull/42</x:v>
      </x:c>
      <x:c r="L646" s="79" t="str">
        <x:v>Contract test</x:v>
      </x:c>
    </x:row>
    <x:row r="647" ht="29" customHeight="1">
      <x:c r="A647" s="79" t="str">
        <x:v>11_V133_QA</x:v>
      </x:c>
      <x:c r="B647" s="79" t="n">
        <x:v>11</x:v>
      </x:c>
      <x:c r="C647" s="79" t="str">
        <x:v>Q133-07</x:v>
      </x:c>
      <x:c r="D647" s="79" t="str">
        <x:v>V133</x:v>
      </x:c>
      <x:c r="E647" s="79" t="str">
        <x:v>Aucune collision de gradient SVG sur 2 previews</x:v>
      </x:c>
      <x:c r="F647" s="79" t="str">
        <x:v>Tests source/CI passés ; revue navigateur complète à faire</x:v>
      </x:c>
      <x:c r="G647" s="79" t="str">
        <x:v>Couleurs distinctes sans contamination</x:v>
      </x:c>
      <x:c r="H647" s="79" t="str">
        <x:v>E2E/ART</x:v>
      </x:c>
      <x:c r="I647" s="79" t="str">
        <x:v>Tests ciblés partiels</x:v>
      </x:c>
      <x:c r="J647" s="79" t="str">
        <x:v>P1</x:v>
      </x:c>
      <x:c r="K647" s="79" t="str">
        <x:v>https://github.com/darknigthmare/yautja-la-longue-chasse/pull/42</x:v>
      </x:c>
      <x:c r="L647" s="79" t="str">
        <x:v>Source useId</x:v>
      </x:c>
    </x:row>
    <x:row r="648" ht="29" customHeight="1">
      <x:c r="A648" s="79" t="str">
        <x:v>11_V133_QA</x:v>
      </x:c>
      <x:c r="B648" s="79" t="n">
        <x:v>12</x:v>
      </x:c>
      <x:c r="C648" s="79" t="str">
        <x:v>Q133-08</x:v>
      </x:c>
      <x:c r="D648" s="79" t="str">
        <x:v>V133</x:v>
      </x:c>
      <x:c r="E648" s="79" t="str">
        <x:v>Résoudre un tour après 5 changements d'interface</x:v>
      </x:c>
      <x:c r="F648" s="79" t="str">
        <x:v>Tests source/CI passés ; revue navigateur complète à faire</x:v>
      </x:c>
      <x:c r="G648" s="79" t="str">
        <x:v>Une et une seule résolution</x:v>
      </x:c>
      <x:c r="H648" s="79" t="str">
        <x:v>E2E/ART</x:v>
      </x:c>
      <x:c r="I648" s="79" t="str">
        <x:v>Tests ciblés partiels</x:v>
      </x:c>
      <x:c r="J648" s="79" t="str">
        <x:v>P1</x:v>
      </x:c>
      <x:c r="K648" s="79" t="str">
        <x:v>https://github.com/darknigthmare/yautja-la-longue-chasse/pull/42</x:v>
      </x:c>
      <x:c r="L648" s="79" t="str">
        <x:v>Test source</x:v>
      </x:c>
    </x:row>
    <x:row r="649" ht="29" customHeight="1">
      <x:c r="A649" s="79" t="str">
        <x:v>11_V133_QA</x:v>
      </x:c>
      <x:c r="B649" s="79" t="n">
        <x:v>13</x:v>
      </x:c>
      <x:c r="C649" s="79" t="str">
        <x:v>Q133-09</x:v>
      </x:c>
      <x:c r="D649" s="79" t="str">
        <x:v>V133</x:v>
      </x:c>
      <x:c r="E649" s="79" t="str">
        <x:v>Basculer les 4 modes sans perdre leurs archives</x:v>
      </x:c>
      <x:c r="F649" s="79" t="str">
        <x:v>Tests source/CI passés ; revue navigateur complète à faire</x:v>
      </x:c>
      <x:c r="G649" s="79" t="str">
        <x:v>Même archive et mêmes missions</x:v>
      </x:c>
      <x:c r="H649" s="79" t="str">
        <x:v>E2E/ART</x:v>
      </x:c>
      <x:c r="I649" s="79" t="str">
        <x:v>Tests ciblés partiels</x:v>
      </x:c>
      <x:c r="J649" s="79" t="str">
        <x:v>P1</x:v>
      </x:c>
      <x:c r="K649" s="79" t="str">
        <x:v>https://github.com/darknigthmare/yautja-la-longue-chasse/pull/42</x:v>
      </x:c>
      <x:c r="L649" s="79" t="str">
        <x:v>Contract test</x:v>
      </x:c>
    </x:row>
    <x:row r="650" ht="29" customHeight="1">
      <x:c r="A650" s="79" t="str">
        <x:v>11_V133_QA</x:v>
      </x:c>
      <x:c r="B650" s="79" t="n">
        <x:v>14</x:v>
      </x:c>
      <x:c r="C650" s="79" t="str">
        <x:v>Q133-10</x:v>
      </x:c>
      <x:c r="D650" s="79" t="str">
        <x:v>V133</x:v>
      </x:c>
      <x:c r="E650" s="79" t="str">
        <x:v>Couper les effets et vérifier les sons des variantes</x:v>
      </x:c>
      <x:c r="F650" s="79" t="str">
        <x:v>Tests source/CI passés ; revue navigateur complète à faire</x:v>
      </x:c>
      <x:c r="G650" s="79" t="str">
        <x:v>Aucun son lorsque muet</x:v>
      </x:c>
      <x:c r="H650" s="79" t="str">
        <x:v>E2E/ART</x:v>
      </x:c>
      <x:c r="I650" s="79" t="str">
        <x:v>Tests ciblés partiels</x:v>
      </x:c>
      <x:c r="J650" s="79" t="str">
        <x:v>P1</x:v>
      </x:c>
      <x:c r="K650" s="79" t="str">
        <x:v>https://github.com/darknigthmare/yautja-la-longue-chasse/pull/42</x:v>
      </x:c>
      <x:c r="L650" s="79" t="str">
        <x:v>Source readyTime</x:v>
      </x:c>
    </x:row>
    <x:row r="651" ht="29" customHeight="1">
      <x:c r="A651" s="79" t="str">
        <x:v>11_V133_QA</x:v>
      </x:c>
      <x:c r="B651" s="79" t="n">
        <x:v>15</x:v>
      </x:c>
      <x:c r="C651" s="79" t="str">
        <x:v>Q133-11</x:v>
      </x:c>
      <x:c r="D651" s="79" t="str">
        <x:v>V133</x:v>
      </x:c>
      <x:c r="E651" s="79" t="str">
        <x:v>Réduire les animations depuis le système</x:v>
      </x:c>
      <x:c r="F651" s="79" t="str">
        <x:v>Tests source/CI passés ; revue navigateur complète à faire</x:v>
      </x:c>
      <x:c r="G651" s="79" t="str">
        <x:v>Animation neutralisée</x:v>
      </x:c>
      <x:c r="H651" s="79" t="str">
        <x:v>E2E/ART</x:v>
      </x:c>
      <x:c r="I651" s="79" t="str">
        <x:v>Tests ciblés partiels</x:v>
      </x:c>
      <x:c r="J651" s="79" t="str">
        <x:v>P1</x:v>
      </x:c>
      <x:c r="K651" s="79" t="str">
        <x:v>https://github.com/darknigthmare/yautja-la-longue-chasse/pull/42</x:v>
      </x:c>
      <x:c r="L651" s="79" t="str">
        <x:v>CSS media query</x:v>
      </x:c>
    </x:row>
    <x:row r="652" ht="29" customHeight="1">
      <x:c r="A652" s="79" t="str">
        <x:v>11_V133_QA</x:v>
      </x:c>
      <x:c r="B652" s="79" t="n">
        <x:v>16</x:v>
      </x:c>
      <x:c r="C652" s="79" t="str">
        <x:v>Q133-12</x:v>
      </x:c>
      <x:c r="D652" s="79" t="str">
        <x:v>V133</x:v>
      </x:c>
      <x:c r="E652" s="79" t="str">
        <x:v>Vérifier la silhouette Jungle Hunter face/profil/dessus</x:v>
      </x:c>
      <x:c r="F652" s="79" t="str">
        <x:v>Tests source/CI passés ; revue navigateur complète à faire</x:v>
      </x:c>
      <x:c r="G652" s="79" t="str">
        <x:v>Grille écart 27 critères</x:v>
      </x:c>
      <x:c r="H652" s="79" t="str">
        <x:v>E2E/ART</x:v>
      </x:c>
      <x:c r="I652" s="79" t="str">
        <x:v>Tests ciblés partiels</x:v>
      </x:c>
      <x:c r="J652" s="79" t="str">
        <x:v>P1</x:v>
      </x:c>
      <x:c r="K652" s="79" t="str">
        <x:v>https://github.com/darknigthmare/yautja-la-longue-chasse/pull/42</x:v>
      </x:c>
      <x:c r="L652" s="79" t="str">
        <x:v>Aucun test automatisable</x:v>
      </x:c>
    </x:row>
    <x:row r="653" ht="29" customHeight="1">
      <x:c r="A653" s="79" t="str">
        <x:v>11_V133_QA</x:v>
      </x:c>
      <x:c r="B653" s="79" t="n">
        <x:v>17</x:v>
      </x:c>
      <x:c r="C653" s="79" t="str">
        <x:v>Q133-13</x:v>
      </x:c>
      <x:c r="D653" s="79" t="str">
        <x:v>V133</x:v>
      </x:c>
      <x:c r="E653" s="79" t="str">
        <x:v>Corriger l'affichage du rig articulé séparé du bracelet tactique</x:v>
      </x:c>
      <x:c r="F653" s="79" t="str">
        <x:v>OUVERT : comparaison artistique de référence</x:v>
      </x:c>
      <x:c r="G653" s="79" t="str">
        <x:v>Modèle définitif PNG ou 3D</x:v>
      </x:c>
      <x:c r="H653" s="79" t="str">
        <x:v>E2E/ART</x:v>
      </x:c>
      <x:c r="I653" s="79" t="str">
        <x:v>Tests ciblés partiels</x:v>
      </x:c>
      <x:c r="J653" s="79" t="str">
        <x:v>P1</x:v>
      </x:c>
      <x:c r="K653" s="79" t="str">
        <x:v>https://github.com/darknigthmare/yautja-la-longue-chasse/pull/42</x:v>
      </x:c>
      <x:c r="L653" s="79" t="str">
        <x:v>Source data flags</x:v>
      </x:c>
    </x:row>
    <x:row r="654" ht="29" customHeight="1">
      <x:c r="A654" s="79" t="str">
        <x:v>11_V133_QA</x:v>
      </x:c>
      <x:c r="B654" s="79" t="n">
        <x:v>18</x:v>
      </x:c>
      <x:c r="C654" s="79" t="str">
        <x:v>Q133-14</x:v>
      </x:c>
      <x:c r="D654" s="79" t="str">
        <x:v>V133</x:v>
      </x:c>
      <x:c r="E654" s="79" t="str">
        <x:v>Vérifier que les gauntlets n'améliorent ni dégât ni coût</x:v>
      </x:c>
      <x:c r="F654" s="79" t="str">
        <x:v>Tests source/CI passés ; revue navigateur complète à faire</x:v>
      </x:c>
      <x:c r="G654" s="79" t="str">
        <x:v>Parité de combat</x:v>
      </x:c>
      <x:c r="H654" s="79" t="str">
        <x:v>E2E/ART</x:v>
      </x:c>
      <x:c r="I654" s="79" t="str">
        <x:v>Tests ciblés partiels</x:v>
      </x:c>
      <x:c r="J654" s="79" t="str">
        <x:v>P1</x:v>
      </x:c>
      <x:c r="K654" s="79" t="str">
        <x:v>https://github.com/darknigthmare/yautja-la-longue-chasse/pull/42</x:v>
      </x:c>
      <x:c r="L654" s="79" t="str">
        <x:v>Unit / contract</x:v>
      </x:c>
    </x:row>
    <x:row r="655" ht="29" customHeight="1">
      <x:c r="A655" s="79" t="str">
        <x:v>11_V133_QA</x:v>
      </x:c>
      <x:c r="B655" s="79" t="n">
        <x:v>19</x:v>
      </x:c>
      <x:c r="C655" s="79" t="str">
        <x:v>Q133-15</x:v>
      </x:c>
      <x:c r="D655" s="79" t="str">
        <x:v>V133</x:v>
      </x:c>
      <x:c r="E655" s="79" t="str">
        <x:v>Comparer rendu mobile 390 px et desktop 1440 px</x:v>
      </x:c>
      <x:c r="F655" s="79" t="str">
        <x:v>Tests source/CI passés ; revue navigateur complète à faire</x:v>
      </x:c>
      <x:c r="G655" s="79" t="str">
        <x:v>Lisibilité et interactions intactes</x:v>
      </x:c>
      <x:c r="H655" s="79" t="str">
        <x:v>E2E/ART</x:v>
      </x:c>
      <x:c r="I655" s="79" t="str">
        <x:v>Tests ciblés partiels</x:v>
      </x:c>
      <x:c r="J655" s="79" t="str">
        <x:v>P1</x:v>
      </x:c>
      <x:c r="K655" s="79" t="str">
        <x:v>https://github.com/darknigthmare/yautja-la-longue-chasse/pull/42</x:v>
      </x:c>
      <x:c r="L655" s="79" t="str">
        <x:v>CSS uniquement</x:v>
      </x:c>
    </x:row>
    <x:row r="656" ht="29" customHeight="1">
      <x:c r="A656" s="79" t="str">
        <x:v>14_V134_QA</x:v>
      </x:c>
      <x:c r="B656" s="79" t="n">
        <x:v>5</x:v>
      </x:c>
      <x:c r="C656" s="79" t="str">
        <x:v>QA134-01</x:v>
      </x:c>
      <x:c r="D656" s="79" t="str">
        <x:v>Code</x:v>
      </x:c>
      <x:c r="E656" s="79" t="str">
        <x:v>44 études correctement indexées à des IDs existants</x:v>
      </x:c>
      <x:c r="F656" s="79" t="str">
        <x:v>Preuve CI/Node PASS ; interaction complète du jeu non affirmée</x:v>
      </x:c>
      <x:c r="G656" s="79" t="str">
        <x:v>Unitaire V134</x:v>
      </x:c>
      <x:c r="H656" s="79" t="str">
        <x:v>QA V13/V134</x:v>
      </x:c>
      <x:c r="I656" s="79" t="str">
        <x:v>Partiel, Node/CI existants</x:v>
      </x:c>
      <x:c r="J656" s="79" t="str">
        <x:v>P0</x:v>
      </x:c>
      <x:c r="K656" s="79" t="str">
        <x:v>https://github.com/darknigthmare/yautja-la-longue-chasse/actions/runs/41196187434</x:v>
      </x:c>
      <x:c r="L656" s="79" t="str">
        <x:v>node:test</x:v>
      </x:c>
    </x:row>
    <x:row r="657" ht="29" customHeight="1">
      <x:c r="A657" s="79" t="str">
        <x:v>14_V134_QA</x:v>
      </x:c>
      <x:c r="B657" s="79" t="n">
        <x:v>6</x:v>
      </x:c>
      <x:c r="C657" s="79" t="str">
        <x:v>QA134-02</x:v>
      </x:c>
      <x:c r="D657" s="79" t="str">
        <x:v>Code</x:v>
      </x:c>
      <x:c r="E657" s="79" t="str">
        <x:v>Aucune étude sans trophée réel</x:v>
      </x:c>
      <x:c r="F657" s="79" t="str">
        <x:v>Preuve CI/Node PASS ; interaction complète du jeu non affirmée</x:v>
      </x:c>
      <x:c r="G657" s="79" t="str">
        <x:v>Unitaire V134</x:v>
      </x:c>
      <x:c r="H657" s="79" t="str">
        <x:v>QA V13/V134</x:v>
      </x:c>
      <x:c r="I657" s="79" t="str">
        <x:v>Partiel, Node/CI existants</x:v>
      </x:c>
      <x:c r="J657" s="79" t="str">
        <x:v>P0</x:v>
      </x:c>
      <x:c r="K657" s="79" t="str">
        <x:v>https://github.com/darknigthmare/yautja-la-longue-chasse/actions/runs/41196187434</x:v>
      </x:c>
      <x:c r="L657" s="79" t="str">
        <x:v>node:test</x:v>
      </x:c>
    </x:row>
    <x:row r="658" ht="29" customHeight="1">
      <x:c r="A658" s="79" t="str">
        <x:v>14_V134_QA</x:v>
      </x:c>
      <x:c r="B658" s="79" t="n">
        <x:v>7</x:v>
      </x:c>
      <x:c r="C658" s="79" t="str">
        <x:v>QA134-03</x:v>
      </x:c>
      <x:c r="D658" s="79" t="str">
        <x:v>Code</x:v>
      </x:c>
      <x:c r="E658" s="79" t="str">
        <x:v>Rang insuffisant interdit la recherche</x:v>
      </x:c>
      <x:c r="F658" s="79" t="str">
        <x:v>Preuve CI/Node PASS ; interaction complète du jeu non affirmée</x:v>
      </x:c>
      <x:c r="G658" s="79" t="str">
        <x:v>Unitaire V134</x:v>
      </x:c>
      <x:c r="H658" s="79" t="str">
        <x:v>QA V13/V134</x:v>
      </x:c>
      <x:c r="I658" s="79" t="str">
        <x:v>Partiel, Node/CI existants</x:v>
      </x:c>
      <x:c r="J658" s="79" t="str">
        <x:v>P0</x:v>
      </x:c>
      <x:c r="K658" s="79" t="str">
        <x:v>https://github.com/darknigthmare/yautja-la-longue-chasse/actions/runs/41196187434</x:v>
      </x:c>
      <x:c r="L658" s="79" t="str">
        <x:v>node:test</x:v>
      </x:c>
    </x:row>
    <x:row r="659" ht="29" customHeight="1">
      <x:c r="A659" s="79" t="str">
        <x:v>14_V134_QA</x:v>
      </x:c>
      <x:c r="B659" s="79" t="n">
        <x:v>8</x:v>
      </x:c>
      <x:c r="C659" s="79" t="str">
        <x:v>QA134-04</x:v>
      </x:c>
      <x:c r="D659" s="79" t="str">
        <x:v>Code</x:v>
      </x:c>
      <x:c r="E659" s="79" t="str">
        <x:v>Absence de rite interdit les études difficiles</x:v>
      </x:c>
      <x:c r="F659" s="79" t="str">
        <x:v>Preuve CI/Node PASS ; interaction complète du jeu non affirmée</x:v>
      </x:c>
      <x:c r="G659" s="79" t="str">
        <x:v>Unitaire V134</x:v>
      </x:c>
      <x:c r="H659" s="79" t="str">
        <x:v>QA V13/V134</x:v>
      </x:c>
      <x:c r="I659" s="79" t="str">
        <x:v>Partiel, Node/CI existants</x:v>
      </x:c>
      <x:c r="J659" s="79" t="str">
        <x:v>P0</x:v>
      </x:c>
      <x:c r="K659" s="79" t="str">
        <x:v>https://github.com/darknigthmare/yautja-la-longue-chasse/actions/runs/41196187434</x:v>
      </x:c>
      <x:c r="L659" s="79" t="str">
        <x:v>node:test</x:v>
      </x:c>
    </x:row>
    <x:row r="660" ht="29" customHeight="1">
      <x:c r="A660" s="79" t="str">
        <x:v>14_V134_QA</x:v>
      </x:c>
      <x:c r="B660" s="79" t="n">
        <x:v>9</x:v>
      </x:c>
      <x:c r="C660" s="79" t="str">
        <x:v>QA134-05</x:v>
      </x:c>
      <x:c r="D660" s="79" t="str">
        <x:v>Code</x:v>
      </x:c>
      <x:c r="E660" s="79" t="str">
        <x:v>Une étude ne se crédite qu'une fois</x:v>
      </x:c>
      <x:c r="F660" s="79" t="str">
        <x:v>Preuve CI/Node PASS ; interaction complète du jeu non affirmée</x:v>
      </x:c>
      <x:c r="G660" s="79" t="str">
        <x:v>Unitaire V134</x:v>
      </x:c>
      <x:c r="H660" s="79" t="str">
        <x:v>QA V13/V134</x:v>
      </x:c>
      <x:c r="I660" s="79" t="str">
        <x:v>Partiel, Node/CI existants</x:v>
      </x:c>
      <x:c r="J660" s="79" t="str">
        <x:v>P0</x:v>
      </x:c>
      <x:c r="K660" s="79" t="str">
        <x:v>https://github.com/darknigthmare/yautja-la-longue-chasse/actions/runs/41196187434</x:v>
      </x:c>
      <x:c r="L660" s="79" t="str">
        <x:v>node:test</x:v>
      </x:c>
    </x:row>
    <x:row r="661" ht="29" customHeight="1">
      <x:c r="A661" s="79" t="str">
        <x:v>14_V134_QA</x:v>
      </x:c>
      <x:c r="B661" s="79" t="n">
        <x:v>10</x:v>
      </x:c>
      <x:c r="C661" s="79" t="str">
        <x:v>QA134-06</x:v>
      </x:c>
      <x:c r="D661" s="79" t="str">
        <x:v>Jeu</x:v>
      </x:c>
      <x:c r="E661" s="79" t="str">
        <x:v>Aucun gain de dégâts, unités, PC ou RAV</x:v>
      </x:c>
      <x:c r="F661" s="79" t="str">
        <x:v>PARTIEL/OUVERT : navigateur ou manette à vérifier</x:v>
      </x:c>
      <x:c r="G661" s="79" t="str">
        <x:v>Contract test</x:v>
      </x:c>
      <x:c r="H661" s="79" t="str">
        <x:v>QA V13/V134</x:v>
      </x:c>
      <x:c r="I661" s="79" t="str">
        <x:v>Partiel, Node/CI existants</x:v>
      </x:c>
      <x:c r="J661" s="79" t="str">
        <x:v>P0</x:v>
      </x:c>
      <x:c r="K661" s="79" t="str">
        <x:v>https://github.com/darknigthmare/yautja-la-longue-chasse/actions/runs/41196187434</x:v>
      </x:c>
      <x:c r="L661" s="79" t="str">
        <x:v>Revue moteur</x:v>
      </x:c>
    </x:row>
    <x:row r="662" ht="29" customHeight="1">
      <x:c r="A662" s="79" t="str">
        <x:v>14_V134_QA</x:v>
      </x:c>
      <x:c r="B662" s="79" t="n">
        <x:v>11</x:v>
      </x:c>
      <x:c r="C662" s="79" t="str">
        <x:v>QA134-07</x:v>
      </x:c>
      <x:c r="D662" s="79" t="str">
        <x:v>Jeu</x:v>
      </x:c>
      <x:c r="E662" s="79" t="str">
        <x:v>La sauvegarde V12 migre V13 sans effacer les anciens reçus</x:v>
      </x:c>
      <x:c r="F662" s="79" t="str">
        <x:v>Preuve CI/Node PASS ; interaction complète du jeu non affirmée</x:v>
      </x:c>
      <x:c r="G662" s="79" t="str">
        <x:v>Migration</x:v>
      </x:c>
      <x:c r="H662" s="79" t="str">
        <x:v>QA V13/V134</x:v>
      </x:c>
      <x:c r="I662" s="79" t="str">
        <x:v>Partiel, Node/CI existants</x:v>
      </x:c>
      <x:c r="J662" s="79" t="str">
        <x:v>P0</x:v>
      </x:c>
      <x:c r="K662" s="79" t="str">
        <x:v>https://github.com/darknigthmare/yautja-la-longue-chasse/actions/runs/41196187434</x:v>
      </x:c>
      <x:c r="L662" s="79" t="str">
        <x:v>save.ts</x:v>
      </x:c>
    </x:row>
    <x:row r="663" ht="29" customHeight="1">
      <x:c r="A663" s="79" t="str">
        <x:v>14_V134_QA</x:v>
      </x:c>
      <x:c r="B663" s="79" t="n">
        <x:v>12</x:v>
      </x:c>
      <x:c r="C663" s="79" t="str">
        <x:v>QA134-08</x:v>
      </x:c>
      <x:c r="D663" s="79" t="str">
        <x:v>Jeu</x:v>
      </x:c>
      <x:c r="E663" s="79" t="str">
        <x:v>La nouvelle V13 exportée importe la recherche sur autre appareil</x:v>
      </x:c>
      <x:c r="F663" s="79" t="str">
        <x:v>Preuve CI/Node PASS ; interaction complète du jeu non affirmée</x:v>
      </x:c>
      <x:c r="G663" s="79" t="str">
        <x:v>End-to-end</x:v>
      </x:c>
      <x:c r="H663" s="79" t="str">
        <x:v>QA V13/V134</x:v>
      </x:c>
      <x:c r="I663" s="79" t="str">
        <x:v>Partiel, Node/CI existants</x:v>
      </x:c>
      <x:c r="J663" s="79" t="str">
        <x:v>P0</x:v>
      </x:c>
      <x:c r="K663" s="79" t="str">
        <x:v>https://github.com/darknigthmare/yautja-la-longue-chasse/actions/runs/41196187434</x:v>
      </x:c>
      <x:c r="L663" s="79" t="str">
        <x:v>save.ts</x:v>
      </x:c>
    </x:row>
    <x:row r="664" ht="29" customHeight="1">
      <x:c r="A664" s="79" t="str">
        <x:v>14_V134_QA</x:v>
      </x:c>
      <x:c r="B664" s="79" t="n">
        <x:v>13</x:v>
      </x:c>
      <x:c r="C664" s="79" t="str">
        <x:v>QA134-09</x:v>
      </x:c>
      <x:c r="D664" s="79" t="str">
        <x:v>Jeu</x:v>
      </x:c>
      <x:c r="E664" s="79" t="str">
        <x:v>Sauvegarde gauntlet future refusée sans perte</x:v>
      </x:c>
      <x:c r="F664" s="79" t="str">
        <x:v>Preuve CI/Node PASS ; interaction complète du jeu non affirmée</x:v>
      </x:c>
      <x:c r="G664" s="79" t="str">
        <x:v>Unitaire+E2E</x:v>
      </x:c>
      <x:c r="H664" s="79" t="str">
        <x:v>QA V13/V134</x:v>
      </x:c>
      <x:c r="I664" s="79" t="str">
        <x:v>Partiel, Node/CI existants</x:v>
      </x:c>
      <x:c r="J664" s="79" t="str">
        <x:v>P0</x:v>
      </x:c>
      <x:c r="K664" s="79" t="str">
        <x:v>https://github.com/darknigthmare/yautja-la-longue-chasse/actions/runs/41196187434</x:v>
      </x:c>
      <x:c r="L664" s="79" t="str">
        <x:v>save.ts</x:v>
      </x:c>
    </x:row>
    <x:row r="665" ht="29" customHeight="1">
      <x:c r="A665" s="79" t="str">
        <x:v>14_V134_QA</x:v>
      </x:c>
      <x:c r="B665" s="79" t="n">
        <x:v>14</x:v>
      </x:c>
      <x:c r="C665" s="79" t="str">
        <x:v>QA134-10</x:v>
      </x:c>
      <x:c r="D665" s="79" t="str">
        <x:v>Code</x:v>
      </x:c>
      <x:c r="E665" s="79" t="str">
        <x:v>Gauntlet du mauvais propriétaire refusé</x:v>
      </x:c>
      <x:c r="F665" s="79" t="str">
        <x:v>Preuve CI/Node PASS ; interaction complète du jeu non affirmée</x:v>
      </x:c>
      <x:c r="G665" s="79" t="str">
        <x:v>Unitaire V134</x:v>
      </x:c>
      <x:c r="H665" s="79" t="str">
        <x:v>QA V13/V134</x:v>
      </x:c>
      <x:c r="I665" s="79" t="str">
        <x:v>Partiel, Node/CI existants</x:v>
      </x:c>
      <x:c r="J665" s="79" t="str">
        <x:v>P0</x:v>
      </x:c>
      <x:c r="K665" s="79" t="str">
        <x:v>https://github.com/darknigthmare/yautja-la-longue-chasse/actions/runs/41196187434</x:v>
      </x:c>
      <x:c r="L665" s="79" t="str">
        <x:v>gauntletCampaignV134</x:v>
      </x:c>
    </x:row>
    <x:row r="666" ht="29" customHeight="1">
      <x:c r="A666" s="79" t="str">
        <x:v>14_V134_QA</x:v>
      </x:c>
      <x:c r="B666" s="79" t="n">
        <x:v>15</x:v>
      </x:c>
      <x:c r="C666" s="79" t="str">
        <x:v>QA134-11</x:v>
      </x:c>
      <x:c r="D666" s="79" t="str">
        <x:v>Jeu</x:v>
      </x:c>
      <x:c r="E666" s="79" t="str">
        <x:v>Stockage interrompu ne fabrique pas la récompense</x:v>
      </x:c>
      <x:c r="F666" s="79" t="str">
        <x:v>Preuve CI/Node PASS ; interaction complète du jeu non affirmée</x:v>
      </x:c>
      <x:c r="G666" s="79" t="str">
        <x:v>E2E</x:v>
      </x:c>
      <x:c r="H666" s="79" t="str">
        <x:v>QA V13/V134</x:v>
      </x:c>
      <x:c r="I666" s="79" t="str">
        <x:v>Partiel, Node/CI existants</x:v>
      </x:c>
      <x:c r="J666" s="79" t="str">
        <x:v>P0</x:v>
      </x:c>
      <x:c r="K666" s="79" t="str">
        <x:v>https://github.com/darknigthmare/yautja-la-longue-chasse/actions/runs/41196187434</x:v>
      </x:c>
      <x:c r="L666" s="79" t="str">
        <x:v>GameClient/persistSocialProgress</x:v>
      </x:c>
    </x:row>
    <x:row r="667" ht="29" customHeight="1">
      <x:c r="A667" s="79" t="str">
        <x:v>14_V134_QA</x:v>
      </x:c>
      <x:c r="B667" s="79" t="n">
        <x:v>16</x:v>
      </x:c>
      <x:c r="C667" s="79" t="str">
        <x:v>QA134-12</x:v>
      </x:c>
      <x:c r="D667" s="79" t="str">
        <x:v>Jeu</x:v>
      </x:c>
      <x:c r="E667" s="79" t="str">
        <x:v>Équipement synchronisé vaisseau, titre, personnalis., guerre</x:v>
      </x:c>
      <x:c r="F667" s="79" t="str">
        <x:v>Preuve CI/Node PASS ; interaction complète du jeu non affirmée</x:v>
      </x:c>
      <x:c r="G667" s="79" t="str">
        <x:v>Contract test</x:v>
      </x:c>
      <x:c r="H667" s="79" t="str">
        <x:v>QA V13/V134</x:v>
      </x:c>
      <x:c r="I667" s="79" t="str">
        <x:v>Partiel, Node/CI existants</x:v>
      </x:c>
      <x:c r="J667" s="79" t="str">
        <x:v>P0</x:v>
      </x:c>
      <x:c r="K667" s="79" t="str">
        <x:v>https://github.com/darknigthmare/yautja-la-longue-chasse/actions/runs/41196187434</x:v>
      </x:c>
      <x:c r="L667" s="79" t="str">
        <x:v>GameClient/V133</x:v>
      </x:c>
    </x:row>
    <x:row r="668" ht="29" customHeight="1">
      <x:c r="A668" s="79" t="str">
        <x:v>14_V134_QA</x:v>
      </x:c>
      <x:c r="B668" s="79" t="n">
        <x:v>17</x:v>
      </x:c>
      <x:c r="C668" s="79" t="str">
        <x:v>QA134-13</x:v>
      </x:c>
      <x:c r="D668" s="79" t="str">
        <x:v>Art</x:v>
      </x:c>
      <x:c r="E668" s="79" t="str">
        <x:v>Modèle JH 7 couches visibles et indépendantes</x:v>
      </x:c>
      <x:c r="F668" s="79" t="str">
        <x:v>Preuve CI/Node PASS ; interaction complète du jeu non affirmée</x:v>
      </x:c>
      <x:c r="G668" s="79" t="str">
        <x:v>Unitaire assets V134</x:v>
      </x:c>
      <x:c r="H668" s="79" t="str">
        <x:v>QA V13/V134</x:v>
      </x:c>
      <x:c r="I668" s="79" t="str">
        <x:v>Partiel, Node/CI existants</x:v>
      </x:c>
      <x:c r="J668" s="79" t="str">
        <x:v>P0</x:v>
      </x:c>
      <x:c r="K668" s="79" t="str">
        <x:v>https://github.com/darknigthmare/yautja-la-longue-chasse/actions/runs/41196187434</x:v>
      </x:c>
      <x:c r="L668" s="79" t="str">
        <x:v>JungleHunterLayeredV134</x:v>
      </x:c>
    </x:row>
    <x:row r="669" ht="29" customHeight="1">
      <x:c r="A669" s="79" t="str">
        <x:v>14_V134_QA</x:v>
      </x:c>
      <x:c r="B669" s="79" t="n">
        <x:v>18</x:v>
      </x:c>
      <x:c r="C669" s="79" t="str">
        <x:v>QA134-14</x:v>
      </x:c>
      <x:c r="D669" s="79" t="str">
        <x:v>Art</x:v>
      </x:c>
      <x:c r="E669" s="79" t="str">
        <x:v>5 rangées rouges, pas colonnes verticales</x:v>
      </x:c>
      <x:c r="F669" s="79" t="str">
        <x:v>Preuve CI/Node PASS ; interaction complète du jeu non affirmée</x:v>
      </x:c>
      <x:c r="G669" s="79" t="str">
        <x:v>Unitaire assets V134</x:v>
      </x:c>
      <x:c r="H669" s="79" t="str">
        <x:v>QA V13/V134</x:v>
      </x:c>
      <x:c r="I669" s="79" t="str">
        <x:v>Partiel, Node/CI existants</x:v>
      </x:c>
      <x:c r="J669" s="79" t="str">
        <x:v>P0</x:v>
      </x:c>
      <x:c r="K669" s="79" t="str">
        <x:v>https://github.com/darknigthmare/yautja-la-longue-chasse/actions/runs/41196187434</x:v>
      </x:c>
      <x:c r="L669" s="79" t="str">
        <x:v>03-display-glyphs.svg</x:v>
      </x:c>
    </x:row>
    <x:row r="670" ht="29" customHeight="1">
      <x:c r="A670" s="79" t="str">
        <x:v>14_V134_QA</x:v>
      </x:c>
      <x:c r="B670" s="79" t="n">
        <x:v>19</x:v>
      </x:c>
      <x:c r="C670" s="79" t="str">
        <x:v>QA134-15</x:v>
      </x:c>
      <x:c r="D670" s="79" t="str">
        <x:v>Art</x:v>
      </x:c>
      <x:c r="E670" s="79" t="str">
        <x:v>Calques alpha PNG 1080 × 580 complets</x:v>
      </x:c>
      <x:c r="F670" s="79" t="str">
        <x:v>Preuve CI/Node PASS ; interaction complète du jeu non affirmée</x:v>
      </x:c>
      <x:c r="G670" s="79" t="str">
        <x:v>Export GitHub</x:v>
      </x:c>
      <x:c r="H670" s="79" t="str">
        <x:v>QA V13/V134</x:v>
      </x:c>
      <x:c r="I670" s="79" t="str">
        <x:v>Partiel, Node/CI existants</x:v>
      </x:c>
      <x:c r="J670" s="79" t="str">
        <x:v>P0</x:v>
      </x:c>
      <x:c r="K670" s="79" t="str">
        <x:v>https://github.com/darknigthmare/yautja-la-longue-chasse/actions/runs/41196187434</x:v>
      </x:c>
      <x:c r="L670" s="79" t="str">
        <x:v>export-gauntlet-png-v134.mjs</x:v>
      </x:c>
    </x:row>
    <x:row r="671" ht="29" customHeight="1">
      <x:c r="A671" s="79" t="str">
        <x:v>14_V134_QA</x:v>
      </x:c>
      <x:c r="B671" s="79" t="n">
        <x:v>20</x:v>
      </x:c>
      <x:c r="C671" s="79" t="str">
        <x:v>QA134-16</x:v>
      </x:c>
      <x:c r="D671" s="79" t="str">
        <x:v>Art</x:v>
      </x:c>
      <x:c r="E671" s="79" t="str">
        <x:v>Capot réellement s'ouvre et se ferme</x:v>
      </x:c>
      <x:c r="F671" s="79" t="str">
        <x:v>OUVERT : validation artistique / images source manquantes</x:v>
      </x:c>
      <x:c r="G671" s="79" t="str">
        <x:v>E2E navigateur</x:v>
      </x:c>
      <x:c r="H671" s="79" t="str">
        <x:v>QA V13/V134</x:v>
      </x:c>
      <x:c r="I671" s="79" t="str">
        <x:v>Partiel, Node/CI existants</x:v>
      </x:c>
      <x:c r="J671" s="79" t="str">
        <x:v>P0</x:v>
      </x:c>
      <x:c r="K671" s="79" t="str">
        <x:v>https://github.com/darknigthmare/yautja-la-longue-chasse/actions/runs/41196187434</x:v>
      </x:c>
      <x:c r="L671" s="79" t="str">
        <x:v>JungleHunterLayeredV134</x:v>
      </x:c>
    </x:row>
    <x:row r="672" ht="29" customHeight="1">
      <x:c r="A672" s="79" t="str">
        <x:v>14_V134_QA</x:v>
      </x:c>
      <x:c r="B672" s="79" t="n">
        <x:v>21</x:v>
      </x:c>
      <x:c r="C672" s="79" t="str">
        <x:v>QA134-17</x:v>
      </x:c>
      <x:c r="D672" s="79" t="str">
        <x:v>Accessibilité</x:v>
      </x:c>
      <x:c r="E672" s="79" t="str">
        <x:v>Réduction des animations via prefers-reduced-motion</x:v>
      </x:c>
      <x:c r="F672" s="79" t="str">
        <x:v>PARTIEL/OUVERT : navigateur ou manette à vérifier</x:v>
      </x:c>
      <x:c r="G672" s="79" t="str">
        <x:v>Audit navigateur</x:v>
      </x:c>
      <x:c r="H672" s="79" t="str">
        <x:v>QA V13/V134</x:v>
      </x:c>
      <x:c r="I672" s="79" t="str">
        <x:v>Partiel, Node/CI existants</x:v>
      </x:c>
      <x:c r="J672" s="79" t="str">
        <x:v>P1</x:v>
      </x:c>
      <x:c r="K672" s="79" t="str">
        <x:v>https://github.com/darknigthmare/yautja-la-longue-chasse/actions/runs/41196187434</x:v>
      </x:c>
      <x:c r="L672" s="79" t="str">
        <x:v>CSS/V134</x:v>
      </x:c>
    </x:row>
    <x:row r="673" ht="29" customHeight="1">
      <x:c r="A673" s="79" t="str">
        <x:v>14_V134_QA</x:v>
      </x:c>
      <x:c r="B673" s="79" t="n">
        <x:v>22</x:v>
      </x:c>
      <x:c r="C673" s="79" t="str">
        <x:v>QA134-18</x:v>
      </x:c>
      <x:c r="D673" s="79" t="str">
        <x:v>Accessibilité</x:v>
      </x:c>
      <x:c r="E673" s="79" t="str">
        <x:v>Accessibilité clavier de validation d'étude</x:v>
      </x:c>
      <x:c r="F673" s="79" t="str">
        <x:v>PARTIEL/OUVERT : navigateur ou manette à vérifier</x:v>
      </x:c>
      <x:c r="G673" s="79" t="str">
        <x:v>E2E navigateur</x:v>
      </x:c>
      <x:c r="H673" s="79" t="str">
        <x:v>QA V13/V134</x:v>
      </x:c>
      <x:c r="I673" s="79" t="str">
        <x:v>Partiel, Node/CI existants</x:v>
      </x:c>
      <x:c r="J673" s="79" t="str">
        <x:v>P1</x:v>
      </x:c>
      <x:c r="K673" s="79" t="str">
        <x:v>https://github.com/darknigthmare/yautja-la-longue-chasse/actions/runs/41196187434</x:v>
      </x:c>
      <x:c r="L673" s="79" t="str">
        <x:v>ClanWarGauntletLocker</x:v>
      </x:c>
    </x:row>
    <x:row r="674" ht="29" customHeight="1">
      <x:c r="A674" s="79" t="str">
        <x:v>14_V134_QA</x:v>
      </x:c>
      <x:c r="B674" s="79" t="n">
        <x:v>23</x:v>
      </x:c>
      <x:c r="C674" s="79" t="str">
        <x:v>QA134-19</x:v>
      </x:c>
      <x:c r="D674" s="79" t="str">
        <x:v>Jeu</x:v>
      </x:c>
      <x:c r="E674" s="79" t="str">
        <x:v>Hologramme et vue classique partagent un état unique</x:v>
      </x:c>
      <x:c r="F674" s="79" t="str">
        <x:v>PARTIEL/OUVERT : navigateur ou manette à vérifier</x:v>
      </x:c>
      <x:c r="G674" s="79" t="str">
        <x:v>Contract test</x:v>
      </x:c>
      <x:c r="H674" s="79" t="str">
        <x:v>QA V13/V134</x:v>
      </x:c>
      <x:c r="I674" s="79" t="str">
        <x:v>Partiel, Node/CI existants</x:v>
      </x:c>
      <x:c r="J674" s="79" t="str">
        <x:v>P0</x:v>
      </x:c>
      <x:c r="K674" s="79" t="str">
        <x:v>https://github.com/darknigthmare/yautja-la-longue-chasse/actions/runs/41196187434</x:v>
      </x:c>
      <x:c r="L674" s="79" t="str">
        <x:v>ClanWarAtlasV95</x:v>
      </x:c>
    </x:row>
    <x:row r="675" ht="29" customHeight="1">
      <x:c r="A675" s="79" t="str">
        <x:v>14_V134_QA</x:v>
      </x:c>
      <x:c r="B675" s="79" t="n">
        <x:v>24</x:v>
      </x:c>
      <x:c r="C675" s="79" t="str">
        <x:v>QA134-20</x:v>
      </x:c>
      <x:c r="D675" s="79" t="str">
        <x:v>Art</x:v>
      </x:c>
      <x:c r="E675" s="79" t="str">
        <x:v>Aucune cachette d'actif inaccessible hors du mode classique</x:v>
      </x:c>
      <x:c r="F675" s="79" t="str">
        <x:v>OUVERT : validation artistique / images source manquantes</x:v>
      </x:c>
      <x:c r="G675" s="79" t="str">
        <x:v>QA visuelle</x:v>
      </x:c>
      <x:c r="H675" s="79" t="str">
        <x:v>QA V13/V134</x:v>
      </x:c>
      <x:c r="I675" s="79" t="str">
        <x:v>Partiel, Node/CI existants</x:v>
      </x:c>
      <x:c r="J675" s="79" t="str">
        <x:v>P1</x:v>
      </x:c>
      <x:c r="K675" s="79" t="str">
        <x:v>https://github.com/darknigthmare/yautja-la-longue-chasse/actions/runs/41196187434</x:v>
      </x:c>
      <x:c r="L675" s="79" t="str">
        <x:v>CSS</x:v>
      </x:c>
    </x:row>
    <x:row r="676" ht="29" customHeight="1">
      <x:c r="A676" s="79" t="str">
        <x:v>14_V134_QA</x:v>
      </x:c>
      <x:c r="B676" s="79" t="n">
        <x:v>25</x:v>
      </x:c>
      <x:c r="C676" s="79" t="str">
        <x:v>QA134-21</x:v>
      </x:c>
      <x:c r="D676" s="79" t="str">
        <x:v>Jeu</x:v>
      </x:c>
      <x:c r="E676" s="79" t="str">
        <x:v>Mêmes données en RTS, Outer Ops, assault, sabotage</x:v>
      </x:c>
      <x:c r="F676" s="79" t="str">
        <x:v>PARTIEL/OUVERT : navigateur ou manette à vérifier</x:v>
      </x:c>
      <x:c r="G676" s="79" t="str">
        <x:v>Contract test</x:v>
      </x:c>
      <x:c r="H676" s="79" t="str">
        <x:v>QA V13/V134</x:v>
      </x:c>
      <x:c r="I676" s="79" t="str">
        <x:v>Partiel, Node/CI existants</x:v>
      </x:c>
      <x:c r="J676" s="79" t="str">
        <x:v>P1</x:v>
      </x:c>
      <x:c r="K676" s="79" t="str">
        <x:v>https://github.com/darknigthmare/yautja-la-longue-chasse/actions/runs/41196187434</x:v>
      </x:c>
      <x:c r="L676" s="79" t="str">
        <x:v>ClanWarOperationsV115</x:v>
      </x:c>
    </x:row>
    <x:row r="677" ht="29" customHeight="1">
      <x:c r="A677" s="79" t="str">
        <x:v>14_V134_QA</x:v>
      </x:c>
      <x:c r="B677" s="79" t="n">
        <x:v>26</x:v>
      </x:c>
      <x:c r="C677" s="79" t="str">
        <x:v>QA134-22</x:v>
      </x:c>
      <x:c r="D677" s="79" t="str">
        <x:v>Lore</x:v>
      </x:c>
      <x:c r="E677" s="79" t="str">
        <x:v>Aucun vrai artefact de film déplacé sur une planète originale</x:v>
      </x:c>
      <x:c r="F677" s="79" t="str">
        <x:v>PARTIEL/OUVERT : navigateur ou manette à vérifier</x:v>
      </x:c>
      <x:c r="G677" s="79" t="str">
        <x:v>Revue lore</x:v>
      </x:c>
      <x:c r="H677" s="79" t="str">
        <x:v>QA V13/V134</x:v>
      </x:c>
      <x:c r="I677" s="79" t="str">
        <x:v>Partiel, Node/CI existants</x:v>
      </x:c>
      <x:c r="J677" s="79" t="str">
        <x:v>P0</x:v>
      </x:c>
      <x:c r="K677" s="79" t="str">
        <x:v>https://github.com/darknigthmare/yautja-la-longue-chasse/actions/runs/41196187434</x:v>
      </x:c>
      <x:c r="L677" s="79" t="str">
        <x:v>Catalogue</x:v>
      </x:c>
    </x:row>
    <x:row r="678" ht="29" customHeight="1">
      <x:c r="A678" s="79" t="str">
        <x:v>14_V134_QA</x:v>
      </x:c>
      <x:c r="B678" s="79" t="n">
        <x:v>27</x:v>
      </x:c>
      <x:c r="C678" s="79" t="str">
        <x:v>QA134-23</x:v>
      </x:c>
      <x:c r="D678" s="79" t="str">
        <x:v>Art</x:v>
      </x:c>
      <x:c r="E678" s="79" t="str">
        <x:v>Fidélité photo/film du poignet gauche et capot</x:v>
      </x:c>
      <x:c r="F678" s="79" t="str">
        <x:v>OUVERT : validation artistique / images source manquantes</x:v>
      </x:c>
      <x:c r="G678" s="79" t="str">
        <x:v>Comparaison 1:1</x:v>
      </x:c>
      <x:c r="H678" s="79" t="str">
        <x:v>QA V13/V134</x:v>
      </x:c>
      <x:c r="I678" s="79" t="str">
        <x:v>Partiel, Node/CI existants</x:v>
      </x:c>
      <x:c r="J678" s="79" t="str">
        <x:v>P0</x:v>
      </x:c>
      <x:c r="K678" s="79" t="str">
        <x:v>https://github.com/darknigthmare/yautja-la-longue-chasse/actions/runs/41196187434</x:v>
      </x:c>
      <x:c r="L678" s="79" t="str">
        <x:v>Références 1987</x:v>
      </x:c>
    </x:row>
    <x:row r="679" ht="29" customHeight="1">
      <x:c r="A679" s="79" t="str">
        <x:v>14_V134_QA</x:v>
      </x:c>
      <x:c r="B679" s="79" t="n">
        <x:v>28</x:v>
      </x:c>
      <x:c r="C679" s="79" t="str">
        <x:v>QA134-24</x:v>
      </x:c>
      <x:c r="D679" s="79" t="str">
        <x:v>Art</x:v>
      </x:c>
      <x:c r="E679" s="79" t="str">
        <x:v>Couleurs écran rouge / coque / inscriptions</x:v>
      </x:c>
      <x:c r="F679" s="79" t="str">
        <x:v>OUVERT : validation artistique / images source manquantes</x:v>
      </x:c>
      <x:c r="G679" s="79" t="str">
        <x:v>Comparaison film</x:v>
      </x:c>
      <x:c r="H679" s="79" t="str">
        <x:v>QA V13/V134</x:v>
      </x:c>
      <x:c r="I679" s="79" t="str">
        <x:v>Partiel, Node/CI existants</x:v>
      </x:c>
      <x:c r="J679" s="79" t="str">
        <x:v>P0</x:v>
      </x:c>
      <x:c r="K679" s="79" t="str">
        <x:v>https://github.com/darknigthmare/yautja-la-longue-chasse/actions/runs/41196187434</x:v>
      </x:c>
      <x:c r="L679" s="79" t="str">
        <x:v>Références 1987</x:v>
      </x:c>
    </x:row>
    <x:row r="680" ht="29" customHeight="1">
      <x:c r="A680" s="79" t="str">
        <x:v>14_V134_QA</x:v>
      </x:c>
      <x:c r="B680" s="79" t="n">
        <x:v>29</x:v>
      </x:c>
      <x:c r="C680" s="79" t="str">
        <x:v>QA134-25</x:v>
      </x:c>
      <x:c r="D680" s="79" t="str">
        <x:v>Lore</x:v>
      </x:c>
      <x:c r="E680" s="79" t="str">
        <x:v>Référence visuelle par variante avant validation</x:v>
      </x:c>
      <x:c r="F680" s="79" t="str">
        <x:v>PARTIEL/OUVERT : navigateur ou manette à vérifier</x:v>
      </x:c>
      <x:c r="G680" s="79" t="str">
        <x:v>Revue sources</x:v>
      </x:c>
      <x:c r="H680" s="79" t="str">
        <x:v>QA V13/V134</x:v>
      </x:c>
      <x:c r="I680" s="79" t="str">
        <x:v>Partiel, Node/CI existants</x:v>
      </x:c>
      <x:c r="J680" s="79" t="str">
        <x:v>P0</x:v>
      </x:c>
      <x:c r="K680" s="79" t="str">
        <x:v>https://github.com/darknigthmare/yautja-la-longue-chasse/actions/runs/41196187434</x:v>
      </x:c>
      <x:c r="L680" s="79" t="str">
        <x:v>Catalogue 54</x:v>
      </x:c>
    </x:row>
    <x:row r="681" ht="29" customHeight="1">
      <x:c r="A681" s="79" t="str">
        <x:v>18_V135_QA</x:v>
      </x:c>
      <x:c r="B681" s="79" t="n">
        <x:v>5</x:v>
      </x:c>
      <x:c r="C681" s="79" t="str">
        <x:v>V135-Q01</x:v>
      </x:c>
      <x:c r="D681" s="79" t="str">
        <x:v>V135</x:v>
      </x:c>
      <x:c r="E681" s="79" t="str">
        <x:v>Quatre modèles indépendants</x:v>
      </x:c>
      <x:c r="F681" s="79" t="str">
        <x:v>Code + export CI PASS ; validation artistique non réalisée</x:v>
      </x:c>
      <x:c r="G681" s="79" t="str">
        <x:v>Revues humaines nécessaires</x:v>
      </x:c>
      <x:c r="H681" s="79" t="str">
        <x:v>QA V135</x:v>
      </x:c>
      <x:c r="I681" s="79" t="str">
        <x:v>CI technique selon cas</x:v>
      </x:c>
      <x:c r="J681" s="79" t="str">
        <x:v>P0</x:v>
      </x:c>
      <x:c r="K681" s="79" t="str">
        <x:v>https://github.com/darknigthmare/yautja-la-longue-chasse/actions/runs/41196187434</x:v>
      </x:c>
      <x:c r="L681" s="79" t="str">
        <x:v>Test CI sur sources</x:v>
      </x:c>
    </x:row>
    <x:row r="682" ht="29" customHeight="1">
      <x:c r="A682" s="79" t="str">
        <x:v>18_V135_QA</x:v>
      </x:c>
      <x:c r="B682" s="79" t="n">
        <x:v>6</x:v>
      </x:c>
      <x:c r="C682" s="79" t="str">
        <x:v>V135-Q02</x:v>
      </x:c>
      <x:c r="D682" s="79" t="str">
        <x:v>V135</x:v>
      </x:c>
      <x:c r="E682" s="79" t="str">
        <x:v>16 calques SVG alpha</x:v>
      </x:c>
      <x:c r="F682" s="79" t="str">
        <x:v>Code + export CI PASS ; validation artistique non réalisée</x:v>
      </x:c>
      <x:c r="G682" s="79" t="str">
        <x:v>Validation du rendu et du cadre</x:v>
      </x:c>
      <x:c r="H682" s="79" t="str">
        <x:v>QA V135</x:v>
      </x:c>
      <x:c r="I682" s="79" t="str">
        <x:v>CI technique selon cas</x:v>
      </x:c>
      <x:c r="J682" s="79" t="str">
        <x:v>P0</x:v>
      </x:c>
      <x:c r="K682" s="79" t="str">
        <x:v>https://github.com/darknigthmare/yautja-la-longue-chasse/actions/runs/41196187434</x:v>
      </x:c>
      <x:c r="L682" s="79" t="str">
        <x:v>V135 pipeline PNG</x:v>
      </x:c>
    </x:row>
    <x:row r="683" ht="29" customHeight="1">
      <x:c r="A683" s="79" t="str">
        <x:v>18_V135_QA</x:v>
      </x:c>
      <x:c r="B683" s="79" t="n">
        <x:v>7</x:v>
      </x:c>
      <x:c r="C683" s="79" t="str">
        <x:v>V135-Q03</x:v>
      </x:c>
      <x:c r="D683" s="79" t="str">
        <x:v>V135</x:v>
      </x:c>
      <x:c r="E683" s="79" t="str">
        <x:v>Couvertures ouvrables</x:v>
      </x:c>
      <x:c r="F683" s="79" t="str">
        <x:v>Code + export CI PASS ; validation artistique non réalisée</x:v>
      </x:c>
      <x:c r="G683" s="79" t="str">
        <x:v>Parcours navigateur absent</x:v>
      </x:c>
      <x:c r="H683" s="79" t="str">
        <x:v>QA V135</x:v>
      </x:c>
      <x:c r="I683" s="79" t="str">
        <x:v>CI technique selon cas</x:v>
      </x:c>
      <x:c r="J683" s="79" t="str">
        <x:v>P0</x:v>
      </x:c>
      <x:c r="K683" s="79" t="str">
        <x:v>https://github.com/darknigthmare/yautja-la-longue-chasse/actions/runs/41196187434</x:v>
      </x:c>
      <x:c r="L683" s="79" t="str">
        <x:v>CSS/React</x:v>
      </x:c>
    </x:row>
    <x:row r="684" ht="29" customHeight="1">
      <x:c r="A684" s="79" t="str">
        <x:v>18_V135_QA</x:v>
      </x:c>
      <x:c r="B684" s="79" t="n">
        <x:v>8</x:v>
      </x:c>
      <x:c r="C684" s="79" t="str">
        <x:v>V135-Q04</x:v>
      </x:c>
      <x:c r="D684" s="79" t="str">
        <x:v>V135</x:v>
      </x:c>
      <x:c r="E684" s="79" t="str">
        <x:v>No copies of old war simulation</x:v>
      </x:c>
      <x:c r="F684" s="79" t="str">
        <x:v>Code + export CI PASS ; validation artistique non réalisée</x:v>
      </x:c>
      <x:c r="G684" s="79" t="str">
        <x:v>Parcours navigateur absent</x:v>
      </x:c>
      <x:c r="H684" s="79" t="str">
        <x:v>QA V135</x:v>
      </x:c>
      <x:c r="I684" s="79" t="str">
        <x:v>CI technique selon cas</x:v>
      </x:c>
      <x:c r="J684" s="79" t="str">
        <x:v>P0</x:v>
      </x:c>
      <x:c r="K684" s="79" t="str">
        <x:v>https://github.com/darknigthmare/yautja-la-longue-chasse/actions/runs/41196187434</x:v>
      </x:c>
      <x:c r="L684" s="79" t="str">
        <x:v>Same live atlas</x:v>
      </x:c>
    </x:row>
    <x:row r="685" ht="29" customHeight="1">
      <x:c r="A685" s="79" t="str">
        <x:v>18_V135_QA</x:v>
      </x:c>
      <x:c r="B685" s="79" t="n">
        <x:v>9</x:v>
      </x:c>
      <x:c r="C685" s="79" t="str">
        <x:v>V135-Q05</x:v>
      </x:c>
      <x:c r="D685" s="79" t="str">
        <x:v>V135</x:v>
      </x:c>
      <x:c r="E685" s="79" t="str">
        <x:v>Références City Hunter</x:v>
      </x:c>
      <x:c r="F685" s="79" t="str">
        <x:v>Source accessoire originale signalée ; comparaison visuelle ouverte</x:v>
      </x:c>
      <x:c r="G685" s="79" t="str">
        <x:v>Mesures de vrai accessoire à faire</x:v>
      </x:c>
      <x:c r="H685" s="79" t="str">
        <x:v>QA V135</x:v>
      </x:c>
      <x:c r="I685" s="79" t="str">
        <x:v>CI technique selon cas</x:v>
      </x:c>
      <x:c r="J685" s="79" t="str">
        <x:v>P0</x:v>
      </x:c>
      <x:c r="K685" s="79" t="str">
        <x:v>https://github.com/darknigthmare/yautja-la-longue-chasse/actions/runs/41196187434</x:v>
      </x:c>
      <x:c r="L685" s="79" t="str">
        <x:v>Propstore 2026</x:v>
      </x:c>
    </x:row>
    <x:row r="686" ht="29" customHeight="1">
      <x:c r="A686" s="79" t="str">
        <x:v>18_V135_QA</x:v>
      </x:c>
      <x:c r="B686" s="79" t="n">
        <x:v>10</x:v>
      </x:c>
      <x:c r="C686" s="79" t="str">
        <x:v>V135-Q06</x:v>
      </x:c>
      <x:c r="D686" s="79" t="str">
        <x:v>V135</x:v>
      </x:c>
      <x:c r="E686" s="79" t="str">
        <x:v>Références Wolf</x:v>
      </x:c>
      <x:c r="F686" s="79" t="str">
        <x:v>Source accessoire originale signalée ; comparaison visuelle ouverte</x:v>
      </x:c>
      <x:c r="G686" s="79" t="str">
        <x:v>Glyphe nombre/placement à mesurer</x:v>
      </x:c>
      <x:c r="H686" s="79" t="str">
        <x:v>QA V135</x:v>
      </x:c>
      <x:c r="I686" s="79" t="str">
        <x:v>CI technique selon cas</x:v>
      </x:c>
      <x:c r="J686" s="79" t="str">
        <x:v>P0</x:v>
      </x:c>
      <x:c r="K686" s="79" t="str">
        <x:v>https://github.com/darknigthmare/yautja-la-longue-chasse/actions/runs/41196187434</x:v>
      </x:c>
      <x:c r="L686" s="79" t="str">
        <x:v>Propstore costume ADI</x:v>
      </x:c>
    </x:row>
    <x:row r="687" ht="29" customHeight="1">
      <x:c r="A687" s="79" t="str">
        <x:v>18_V135_QA</x:v>
      </x:c>
      <x:c r="B687" s="79" t="n">
        <x:v>11</x:v>
      </x:c>
      <x:c r="C687" s="79" t="str">
        <x:v>V135-Q07</x:v>
      </x:c>
      <x:c r="D687" s="79" t="str">
        <x:v>V135</x:v>
      </x:c>
      <x:c r="E687" s="79" t="str">
        <x:v>Feral : gauntlet film</x:v>
      </x:c>
      <x:c r="F687" s="79" t="str">
        <x:v>Source indicative seulement ; reconstitution 1:1 toujours ouverte</x:v>
      </x:c>
      <x:c r="G687" s="79" t="str">
        <x:v>Étude pièce détaillée à trouver</x:v>
      </x:c>
      <x:c r="H687" s="79" t="str">
        <x:v>QA V135</x:v>
      </x:c>
      <x:c r="I687" s="79" t="str">
        <x:v>CI technique selon cas</x:v>
      </x:c>
      <x:c r="J687" s="79" t="str">
        <x:v>P0</x:v>
      </x:c>
      <x:c r="K687" s="79" t="str">
        <x:v>https://github.com/darknigthmare/yautja-la-longue-chasse/actions/runs/41196187434</x:v>
      </x:c>
      <x:c r="L687" s="79" t="str">
        <x:v>TV spot 2022</x:v>
      </x:c>
    </x:row>
    <x:row r="688" ht="29" customHeight="1">
      <x:c r="A688" s="79" t="str">
        <x:v>18_V135_QA</x:v>
      </x:c>
      <x:c r="B688" s="79" t="n">
        <x:v>12</x:v>
      </x:c>
      <x:c r="C688" s="79" t="str">
        <x:v>V135-Q08</x:v>
      </x:c>
      <x:c r="D688" s="79" t="str">
        <x:v>V135</x:v>
      </x:c>
      <x:c r="E688" s="79" t="str">
        <x:v>Dek : Wētā</x:v>
      </x:c>
      <x:c r="F688" s="79" t="str">
        <x:v>Source indicative seulement ; reconstitution 1:1 toujours ouverte</x:v>
      </x:c>
      <x:c r="G688" s="79" t="str">
        <x:v>Scanner exact non certifié</x:v>
      </x:c>
      <x:c r="H688" s="79" t="str">
        <x:v>QA V135</x:v>
      </x:c>
      <x:c r="I688" s="79" t="str">
        <x:v>CI technique selon cas</x:v>
      </x:c>
      <x:c r="J688" s="79" t="str">
        <x:v>P0</x:v>
      </x:c>
      <x:c r="K688" s="79" t="str">
        <x:v>https://github.com/darknigthmare/yautja-la-longue-chasse/actions/runs/41196187434</x:v>
      </x:c>
      <x:c r="L688" s="79" t="str">
        <x:v>Atelier fabrication</x:v>
      </x:c>
    </x:row>
    <x:row r="689" ht="29" customHeight="1">
      <x:c r="A689" s="79" t="str">
        <x:v>22_V136_Backlog</x:v>
      </x:c>
      <x:c r="B689" s="79" t="n">
        <x:v>5</x:v>
      </x:c>
      <x:c r="C689" s="79" t="str">
        <x:v>V136-jungle-hunter-01</x:v>
      </x:c>
      <x:c r="D689" s="79" t="str">
        <x:v>jungle-hunter</x:v>
      </x:c>
      <x:c r="E689" s="79" t="str">
        <x:v>Plan face/dessus/profil</x:v>
      </x:c>
      <x:c r="F689" s="79" t="str">
        <x:v>OUVERT · plusieurs vues source film/jeu non relevées</x:v>
      </x:c>
      <x:c r="G689" s="79" t="str">
        <x:v>Photo, prop, capture jeu propre au gauntlet</x:v>
      </x:c>
      <x:c r="H689" s="79" t="str">
        <x:v>ART 1:1</x:v>
      </x:c>
      <x:c r="I689" s="79" t="str">
        <x:v>Non : preuve humaine requise</x:v>
      </x:c>
      <x:c r="J689" s="79" t="str">
        <x:v>P0</x:v>
      </x:c>
      <x:c r="K689" s="79" t="str">
        <x:v>https://store.necaonline.com/products/predator-ultimate-jungle-hunter-7-scale-action-figure</x:v>
      </x:c>
      <x:c r="L689" s="79" t="str">
        <x:v>Avancement technique indicatif 0 %</x:v>
      </x:c>
    </x:row>
    <x:row r="690" ht="29" customHeight="1">
      <x:c r="A690" s="79" t="str">
        <x:v>22_V136_Backlog</x:v>
      </x:c>
      <x:c r="B690" s="79" t="n">
        <x:v>6</x:v>
      </x:c>
      <x:c r="C690" s="79" t="str">
        <x:v>V136-jungle-hunter-02</x:v>
      </x:c>
      <x:c r="D690" s="79" t="str">
        <x:v>jungle-hunter</x:v>
      </x:c>
      <x:c r="E690" s="79" t="str">
        <x:v>Proportions et silhouette</x:v>
      </x:c>
      <x:c r="F690" s="79" t="str">
        <x:v>PARTIEL · silhouette SVG originale, proportions non mesurées</x:v>
      </x:c>
      <x:c r="G690" s="79" t="str">
        <x:v>Contrôle alignement poignet et pièces</x:v>
      </x:c>
      <x:c r="H690" s="79" t="str">
        <x:v>ART 1:1</x:v>
      </x:c>
      <x:c r="I690" s="79" t="str">
        <x:v>Non : preuve humaine requise</x:v>
      </x:c>
      <x:c r="J690" s="79" t="str">
        <x:v>P0</x:v>
      </x:c>
      <x:c r="K690" s="79" t="str">
        <x:v>https://store.necaonline.com/products/predator-ultimate-jungle-hunter-7-scale-action-figure</x:v>
      </x:c>
      <x:c r="L690" s="79" t="str">
        <x:v>Avancement technique indicatif 25 %</x:v>
      </x:c>
    </x:row>
    <x:row r="691" ht="29" customHeight="1">
      <x:c r="A691" s="79" t="str">
        <x:v>22_V136_Backlog</x:v>
      </x:c>
      <x:c r="B691" s="79" t="n">
        <x:v>7</x:v>
      </x:c>
      <x:c r="C691" s="79" t="str">
        <x:v>V136-jungle-hunter-03</x:v>
      </x:c>
      <x:c r="D691" s="79" t="str">
        <x:v>jungle-hunter</x:v>
      </x:c>
      <x:c r="E691" s="79" t="str">
        <x:v>Textures UV et matériaux</x:v>
      </x:c>
      <x:c r="F691" s="79" t="str">
        <x:v>OUVERT · textures UV/PNG 1:1 et patine à produire</x:v>
      </x:c>
      <x:c r="G691" s="79" t="str">
        <x:v>PNG indépendants aux bons détails et reflets</x:v>
      </x:c>
      <x:c r="H691" s="79" t="str">
        <x:v>ART 1:1</x:v>
      </x:c>
      <x:c r="I691" s="79" t="str">
        <x:v>Non : preuve humaine requise</x:v>
      </x:c>
      <x:c r="J691" s="79" t="str">
        <x:v>P0</x:v>
      </x:c>
      <x:c r="K691" s="79" t="str">
        <x:v>https://store.necaonline.com/products/predator-ultimate-jungle-hunter-7-scale-action-figure</x:v>
      </x:c>
      <x:c r="L691" s="79" t="str">
        <x:v>Avancement technique indicatif 0 %</x:v>
      </x:c>
    </x:row>
    <x:row r="692" ht="29" customHeight="1">
      <x:c r="A692" s="79" t="str">
        <x:v>22_V136_Backlog</x:v>
      </x:c>
      <x:c r="B692" s="79" t="n">
        <x:v>8</x:v>
      </x:c>
      <x:c r="C692" s="79" t="str">
        <x:v>V136-jungle-hunter-04</x:v>
      </x:c>
      <x:c r="D692" s="79" t="str">
        <x:v>jungle-hunter</x:v>
      </x:c>
      <x:c r="E692" s="79" t="str">
        <x:v>Charnière et animations</x:v>
      </x:c>
      <x:c r="F692" s="79" t="str">
        <x:v>PARTIEL · capot CSS ; 3 gestes / rig 1:1 manquants</x:v>
      </x:c>
      <x:c r="G692" s="79" t="str">
        <x:v>Cohérence rig / armurerie / hologramme</x:v>
      </x:c>
      <x:c r="H692" s="79" t="str">
        <x:v>ART 1:1</x:v>
      </x:c>
      <x:c r="I692" s="79" t="str">
        <x:v>Non : preuve humaine requise</x:v>
      </x:c>
      <x:c r="J692" s="79" t="str">
        <x:v>P0</x:v>
      </x:c>
      <x:c r="K692" s="79" t="str">
        <x:v>https://store.necaonline.com/products/predator-ultimate-jungle-hunter-7-scale-action-figure</x:v>
      </x:c>
      <x:c r="L692" s="79" t="str">
        <x:v>Avancement technique indicatif 25 %</x:v>
      </x:c>
    </x:row>
    <x:row r="693" ht="29" customHeight="1">
      <x:c r="A693" s="79" t="str">
        <x:v>22_V136_Backlog</x:v>
      </x:c>
      <x:c r="B693" s="79" t="n">
        <x:v>9</x:v>
      </x:c>
      <x:c r="C693" s="79" t="str">
        <x:v>V136-jungle-hunter-05</x:v>
      </x:c>
      <x:c r="D693" s="79" t="str">
        <x:v>jungle-hunter</x:v>
      </x:c>
      <x:c r="E693" s="79" t="str">
        <x:v>Rendu jeu et contrôle</x:v>
      </x:c>
      <x:c r="F693" s="79" t="str">
        <x:v>PARTIEL · rendu React + QA autonome, jeu complet à tester</x:v>
      </x:c>
      <x:c r="G693" s="79" t="str">
        <x:v>Comparaison toutes vues et modes</x:v>
      </x:c>
      <x:c r="H693" s="79" t="str">
        <x:v>ART 1:1</x:v>
      </x:c>
      <x:c r="I693" s="79" t="str">
        <x:v>Non : preuve humaine requise</x:v>
      </x:c>
      <x:c r="J693" s="79" t="str">
        <x:v>P0</x:v>
      </x:c>
      <x:c r="K693" s="79" t="str">
        <x:v>https://store.necaonline.com/products/predator-ultimate-jungle-hunter-7-scale-action-figure</x:v>
      </x:c>
      <x:c r="L693" s="79" t="str">
        <x:v>Avancement technique indicatif 45 %</x:v>
      </x:c>
    </x:row>
    <x:row r="694" ht="29" customHeight="1">
      <x:c r="A694" s="79" t="str">
        <x:v>22_V136_Backlog</x:v>
      </x:c>
      <x:c r="B694" s="79" t="n">
        <x:v>10</x:v>
      </x:c>
      <x:c r="C694" s="79" t="str">
        <x:v>V136-jungle-hunter-06</x:v>
      </x:c>
      <x:c r="D694" s="79" t="str">
        <x:v>jungle-hunter</x:v>
      </x:c>
      <x:c r="E694" s="79" t="str">
        <x:v>Revue artistique et droits</x:v>
      </x:c>
      <x:c r="F694" s="79" t="str">
        <x:v>OUVERT · revue humaine et autorisation IP nécessaires</x:v>
      </x:c>
      <x:c r="G694" s="79" t="str">
        <x:v>Ne jamais certifier sans approbation manuelle</x:v>
      </x:c>
      <x:c r="H694" s="79" t="str">
        <x:v>ART 1:1</x:v>
      </x:c>
      <x:c r="I694" s="79" t="str">
        <x:v>Non : preuve humaine requise</x:v>
      </x:c>
      <x:c r="J694" s="79" t="str">
        <x:v>P0</x:v>
      </x:c>
      <x:c r="K694" s="79" t="str">
        <x:v>https://store.necaonline.com/products/predator-ultimate-jungle-hunter-7-scale-action-figure</x:v>
      </x:c>
      <x:c r="L694" s="79" t="str">
        <x:v>Avancement technique indicatif 0 %</x:v>
      </x:c>
    </x:row>
    <x:row r="695" ht="29" customHeight="1">
      <x:c r="A695" s="79" t="str">
        <x:v>22_V136_Backlog</x:v>
      </x:c>
      <x:c r="B695" s="79" t="n">
        <x:v>11</x:v>
      </x:c>
      <x:c r="C695" s="79" t="str">
        <x:v>V136-city-hunter-01</x:v>
      </x:c>
      <x:c r="D695" s="79" t="str">
        <x:v>city-hunter</x:v>
      </x:c>
      <x:c r="E695" s="79" t="str">
        <x:v>Plan face/dessus/profil</x:v>
      </x:c>
      <x:c r="F695" s="79" t="str">
        <x:v>OUVERT · plusieurs vues source film/jeu non relevées</x:v>
      </x:c>
      <x:c r="G695" s="79" t="str">
        <x:v>Photo, prop, capture jeu propre au gauntlet</x:v>
      </x:c>
      <x:c r="H695" s="79" t="str">
        <x:v>ART 1:1</x:v>
      </x:c>
      <x:c r="I695" s="79" t="str">
        <x:v>Non : preuve humaine requise</x:v>
      </x:c>
      <x:c r="J695" s="79" t="str">
        <x:v>P0</x:v>
      </x:c>
      <x:c r="K695" s="79" t="str">
        <x:v>https://propstoreauction.com/lot-details/index/catalog/496/lot/193088/</x:v>
      </x:c>
      <x:c r="L695" s="79" t="str">
        <x:v>Avancement technique indicatif 0 %</x:v>
      </x:c>
    </x:row>
    <x:row r="696" ht="29" customHeight="1">
      <x:c r="A696" s="79" t="str">
        <x:v>22_V136_Backlog</x:v>
      </x:c>
      <x:c r="B696" s="79" t="n">
        <x:v>12</x:v>
      </x:c>
      <x:c r="C696" s="79" t="str">
        <x:v>V136-city-hunter-02</x:v>
      </x:c>
      <x:c r="D696" s="79" t="str">
        <x:v>city-hunter</x:v>
      </x:c>
      <x:c r="E696" s="79" t="str">
        <x:v>Proportions et silhouette</x:v>
      </x:c>
      <x:c r="F696" s="79" t="str">
        <x:v>PARTIEL · silhouette SVG originale, proportions non mesurées</x:v>
      </x:c>
      <x:c r="G696" s="79" t="str">
        <x:v>Contrôle alignement poignet et pièces</x:v>
      </x:c>
      <x:c r="H696" s="79" t="str">
        <x:v>ART 1:1</x:v>
      </x:c>
      <x:c r="I696" s="79" t="str">
        <x:v>Non : preuve humaine requise</x:v>
      </x:c>
      <x:c r="J696" s="79" t="str">
        <x:v>P0</x:v>
      </x:c>
      <x:c r="K696" s="79" t="str">
        <x:v>https://propstoreauction.com/lot-details/index/catalog/496/lot/193088/</x:v>
      </x:c>
      <x:c r="L696" s="79" t="str">
        <x:v>Avancement technique indicatif 25 %</x:v>
      </x:c>
    </x:row>
    <x:row r="697" ht="29" customHeight="1">
      <x:c r="A697" s="79" t="str">
        <x:v>22_V136_Backlog</x:v>
      </x:c>
      <x:c r="B697" s="79" t="n">
        <x:v>13</x:v>
      </x:c>
      <x:c r="C697" s="79" t="str">
        <x:v>V136-city-hunter-03</x:v>
      </x:c>
      <x:c r="D697" s="79" t="str">
        <x:v>city-hunter</x:v>
      </x:c>
      <x:c r="E697" s="79" t="str">
        <x:v>Textures UV et matériaux</x:v>
      </x:c>
      <x:c r="F697" s="79" t="str">
        <x:v>OUVERT · textures UV/PNG 1:1 et patine à produire</x:v>
      </x:c>
      <x:c r="G697" s="79" t="str">
        <x:v>PNG indépendants aux bons détails et reflets</x:v>
      </x:c>
      <x:c r="H697" s="79" t="str">
        <x:v>ART 1:1</x:v>
      </x:c>
      <x:c r="I697" s="79" t="str">
        <x:v>Non : preuve humaine requise</x:v>
      </x:c>
      <x:c r="J697" s="79" t="str">
        <x:v>P0</x:v>
      </x:c>
      <x:c r="K697" s="79" t="str">
        <x:v>https://propstoreauction.com/lot-details/index/catalog/496/lot/193088/</x:v>
      </x:c>
      <x:c r="L697" s="79" t="str">
        <x:v>Avancement technique indicatif 0 %</x:v>
      </x:c>
    </x:row>
    <x:row r="698" ht="29" customHeight="1">
      <x:c r="A698" s="79" t="str">
        <x:v>22_V136_Backlog</x:v>
      </x:c>
      <x:c r="B698" s="79" t="n">
        <x:v>14</x:v>
      </x:c>
      <x:c r="C698" s="79" t="str">
        <x:v>V136-city-hunter-04</x:v>
      </x:c>
      <x:c r="D698" s="79" t="str">
        <x:v>city-hunter</x:v>
      </x:c>
      <x:c r="E698" s="79" t="str">
        <x:v>Charnière et animations</x:v>
      </x:c>
      <x:c r="F698" s="79" t="str">
        <x:v>PARTIEL · capot CSS ; 3 gestes / rig 1:1 manquants</x:v>
      </x:c>
      <x:c r="G698" s="79" t="str">
        <x:v>Cohérence rig / armurerie / hologramme</x:v>
      </x:c>
      <x:c r="H698" s="79" t="str">
        <x:v>ART 1:1</x:v>
      </x:c>
      <x:c r="I698" s="79" t="str">
        <x:v>Non : preuve humaine requise</x:v>
      </x:c>
      <x:c r="J698" s="79" t="str">
        <x:v>P0</x:v>
      </x:c>
      <x:c r="K698" s="79" t="str">
        <x:v>https://propstoreauction.com/lot-details/index/catalog/496/lot/193088/</x:v>
      </x:c>
      <x:c r="L698" s="79" t="str">
        <x:v>Avancement technique indicatif 25 %</x:v>
      </x:c>
    </x:row>
    <x:row r="699" ht="29" customHeight="1">
      <x:c r="A699" s="79" t="str">
        <x:v>22_V136_Backlog</x:v>
      </x:c>
      <x:c r="B699" s="79" t="n">
        <x:v>15</x:v>
      </x:c>
      <x:c r="C699" s="79" t="str">
        <x:v>V136-city-hunter-05</x:v>
      </x:c>
      <x:c r="D699" s="79" t="str">
        <x:v>city-hunter</x:v>
      </x:c>
      <x:c r="E699" s="79" t="str">
        <x:v>Rendu jeu et contrôle</x:v>
      </x:c>
      <x:c r="F699" s="79" t="str">
        <x:v>PARTIEL · rendu React + QA autonome, jeu complet à tester</x:v>
      </x:c>
      <x:c r="G699" s="79" t="str">
        <x:v>Comparaison toutes vues et modes</x:v>
      </x:c>
      <x:c r="H699" s="79" t="str">
        <x:v>ART 1:1</x:v>
      </x:c>
      <x:c r="I699" s="79" t="str">
        <x:v>Non : preuve humaine requise</x:v>
      </x:c>
      <x:c r="J699" s="79" t="str">
        <x:v>P0</x:v>
      </x:c>
      <x:c r="K699" s="79" t="str">
        <x:v>https://propstoreauction.com/lot-details/index/catalog/496/lot/193088/</x:v>
      </x:c>
      <x:c r="L699" s="79" t="str">
        <x:v>Avancement technique indicatif 45 %</x:v>
      </x:c>
    </x:row>
    <x:row r="700" ht="29" customHeight="1">
      <x:c r="A700" s="79" t="str">
        <x:v>22_V136_Backlog</x:v>
      </x:c>
      <x:c r="B700" s="79" t="n">
        <x:v>16</x:v>
      </x:c>
      <x:c r="C700" s="79" t="str">
        <x:v>V136-city-hunter-06</x:v>
      </x:c>
      <x:c r="D700" s="79" t="str">
        <x:v>city-hunter</x:v>
      </x:c>
      <x:c r="E700" s="79" t="str">
        <x:v>Revue artistique et droits</x:v>
      </x:c>
      <x:c r="F700" s="79" t="str">
        <x:v>OUVERT · revue humaine et autorisation IP nécessaires</x:v>
      </x:c>
      <x:c r="G700" s="79" t="str">
        <x:v>Ne jamais certifier sans approbation manuelle</x:v>
      </x:c>
      <x:c r="H700" s="79" t="str">
        <x:v>ART 1:1</x:v>
      </x:c>
      <x:c r="I700" s="79" t="str">
        <x:v>Non : preuve humaine requise</x:v>
      </x:c>
      <x:c r="J700" s="79" t="str">
        <x:v>P0</x:v>
      </x:c>
      <x:c r="K700" s="79" t="str">
        <x:v>https://propstoreauction.com/lot-details/index/catalog/496/lot/193088/</x:v>
      </x:c>
      <x:c r="L700" s="79" t="str">
        <x:v>Avancement technique indicatif 0 %</x:v>
      </x:c>
    </x:row>
    <x:row r="701" ht="29" customHeight="1">
      <x:c r="A701" s="79" t="str">
        <x:v>22_V136_Backlog</x:v>
      </x:c>
      <x:c r="B701" s="79" t="n">
        <x:v>17</x:v>
      </x:c>
      <x:c r="C701" s="79" t="str">
        <x:v>V136-greyback-01</x:v>
      </x:c>
      <x:c r="D701" s="79" t="str">
        <x:v>greyback</x:v>
      </x:c>
      <x:c r="E701" s="79" t="str">
        <x:v>Plan face/dessus/profil</x:v>
      </x:c>
      <x:c r="F701" s="79" t="str">
        <x:v>OUVERT · plusieurs vues source film/jeu non relevées</x:v>
      </x:c>
      <x:c r="G701" s="79" t="str">
        <x:v>Photo, prop, capture jeu propre au gauntlet</x:v>
      </x:c>
      <x:c r="H701" s="79" t="str">
        <x:v>ART 1:1</x:v>
      </x:c>
      <x:c r="I701" s="79" t="str">
        <x:v>Non : preuve humaine requise</x:v>
      </x:c>
      <x:c r="J701" s="79" t="str">
        <x:v>P1</x:v>
      </x:c>
      <x:c r="K701" s="79" t="str">
        <x:v>https://www.20thcenturystudios.com/movies/predator-2</x:v>
      </x:c>
      <x:c r="L701" s="79" t="str">
        <x:v>Avancement technique indicatif 0 %</x:v>
      </x:c>
    </x:row>
    <x:row r="702" ht="29" customHeight="1">
      <x:c r="A702" s="79" t="str">
        <x:v>22_V136_Backlog</x:v>
      </x:c>
      <x:c r="B702" s="79" t="n">
        <x:v>18</x:v>
      </x:c>
      <x:c r="C702" s="79" t="str">
        <x:v>V136-greyback-02</x:v>
      </x:c>
      <x:c r="D702" s="79" t="str">
        <x:v>greyback</x:v>
      </x:c>
      <x:c r="E702" s="79" t="str">
        <x:v>Proportions et silhouette</x:v>
      </x:c>
      <x:c r="F702" s="79" t="str">
        <x:v>PARTIEL · silhouette SVG originale, proportions non mesurées</x:v>
      </x:c>
      <x:c r="G702" s="79" t="str">
        <x:v>Contrôle alignement poignet et pièces</x:v>
      </x:c>
      <x:c r="H702" s="79" t="str">
        <x:v>ART 1:1</x:v>
      </x:c>
      <x:c r="I702" s="79" t="str">
        <x:v>Non : preuve humaine requise</x:v>
      </x:c>
      <x:c r="J702" s="79" t="str">
        <x:v>P1</x:v>
      </x:c>
      <x:c r="K702" s="79" t="str">
        <x:v>https://www.20thcenturystudios.com/movies/predator-2</x:v>
      </x:c>
      <x:c r="L702" s="79" t="str">
        <x:v>Avancement technique indicatif 25 %</x:v>
      </x:c>
    </x:row>
    <x:row r="703" ht="29" customHeight="1">
      <x:c r="A703" s="79" t="str">
        <x:v>22_V136_Backlog</x:v>
      </x:c>
      <x:c r="B703" s="79" t="n">
        <x:v>19</x:v>
      </x:c>
      <x:c r="C703" s="79" t="str">
        <x:v>V136-greyback-03</x:v>
      </x:c>
      <x:c r="D703" s="79" t="str">
        <x:v>greyback</x:v>
      </x:c>
      <x:c r="E703" s="79" t="str">
        <x:v>Textures UV et matériaux</x:v>
      </x:c>
      <x:c r="F703" s="79" t="str">
        <x:v>OUVERT · textures UV/PNG 1:1 et patine à produire</x:v>
      </x:c>
      <x:c r="G703" s="79" t="str">
        <x:v>PNG indépendants aux bons détails et reflets</x:v>
      </x:c>
      <x:c r="H703" s="79" t="str">
        <x:v>ART 1:1</x:v>
      </x:c>
      <x:c r="I703" s="79" t="str">
        <x:v>Non : preuve humaine requise</x:v>
      </x:c>
      <x:c r="J703" s="79" t="str">
        <x:v>P1</x:v>
      </x:c>
      <x:c r="K703" s="79" t="str">
        <x:v>https://www.20thcenturystudios.com/movies/predator-2</x:v>
      </x:c>
      <x:c r="L703" s="79" t="str">
        <x:v>Avancement technique indicatif 0 %</x:v>
      </x:c>
    </x:row>
    <x:row r="704" ht="29" customHeight="1">
      <x:c r="A704" s="79" t="str">
        <x:v>22_V136_Backlog</x:v>
      </x:c>
      <x:c r="B704" s="79" t="n">
        <x:v>20</x:v>
      </x:c>
      <x:c r="C704" s="79" t="str">
        <x:v>V136-greyback-04</x:v>
      </x:c>
      <x:c r="D704" s="79" t="str">
        <x:v>greyback</x:v>
      </x:c>
      <x:c r="E704" s="79" t="str">
        <x:v>Charnière et animations</x:v>
      </x:c>
      <x:c r="F704" s="79" t="str">
        <x:v>PARTIEL · capot CSS ; 3 gestes / rig 1:1 manquants</x:v>
      </x:c>
      <x:c r="G704" s="79" t="str">
        <x:v>Cohérence rig / armurerie / hologramme</x:v>
      </x:c>
      <x:c r="H704" s="79" t="str">
        <x:v>ART 1:1</x:v>
      </x:c>
      <x:c r="I704" s="79" t="str">
        <x:v>Non : preuve humaine requise</x:v>
      </x:c>
      <x:c r="J704" s="79" t="str">
        <x:v>P1</x:v>
      </x:c>
      <x:c r="K704" s="79" t="str">
        <x:v>https://www.20thcenturystudios.com/movies/predator-2</x:v>
      </x:c>
      <x:c r="L704" s="79" t="str">
        <x:v>Avancement technique indicatif 25 %</x:v>
      </x:c>
    </x:row>
    <x:row r="705" ht="29" customHeight="1">
      <x:c r="A705" s="79" t="str">
        <x:v>22_V136_Backlog</x:v>
      </x:c>
      <x:c r="B705" s="79" t="n">
        <x:v>21</x:v>
      </x:c>
      <x:c r="C705" s="79" t="str">
        <x:v>V136-greyback-05</x:v>
      </x:c>
      <x:c r="D705" s="79" t="str">
        <x:v>greyback</x:v>
      </x:c>
      <x:c r="E705" s="79" t="str">
        <x:v>Rendu jeu et contrôle</x:v>
      </x:c>
      <x:c r="F705" s="79" t="str">
        <x:v>PARTIEL · rendu React + QA autonome, jeu complet à tester</x:v>
      </x:c>
      <x:c r="G705" s="79" t="str">
        <x:v>Comparaison toutes vues et modes</x:v>
      </x:c>
      <x:c r="H705" s="79" t="str">
        <x:v>ART 1:1</x:v>
      </x:c>
      <x:c r="I705" s="79" t="str">
        <x:v>Non : preuve humaine requise</x:v>
      </x:c>
      <x:c r="J705" s="79" t="str">
        <x:v>P1</x:v>
      </x:c>
      <x:c r="K705" s="79" t="str">
        <x:v>https://www.20thcenturystudios.com/movies/predator-2</x:v>
      </x:c>
      <x:c r="L705" s="79" t="str">
        <x:v>Avancement technique indicatif 45 %</x:v>
      </x:c>
    </x:row>
    <x:row r="706" ht="29" customHeight="1">
      <x:c r="A706" s="79" t="str">
        <x:v>22_V136_Backlog</x:v>
      </x:c>
      <x:c r="B706" s="79" t="n">
        <x:v>22</x:v>
      </x:c>
      <x:c r="C706" s="79" t="str">
        <x:v>V136-greyback-06</x:v>
      </x:c>
      <x:c r="D706" s="79" t="str">
        <x:v>greyback</x:v>
      </x:c>
      <x:c r="E706" s="79" t="str">
        <x:v>Revue artistique et droits</x:v>
      </x:c>
      <x:c r="F706" s="79" t="str">
        <x:v>OUVERT · revue humaine et autorisation IP nécessaires</x:v>
      </x:c>
      <x:c r="G706" s="79" t="str">
        <x:v>Ne jamais certifier sans approbation manuelle</x:v>
      </x:c>
      <x:c r="H706" s="79" t="str">
        <x:v>ART 1:1</x:v>
      </x:c>
      <x:c r="I706" s="79" t="str">
        <x:v>Non : preuve humaine requise</x:v>
      </x:c>
      <x:c r="J706" s="79" t="str">
        <x:v>P1</x:v>
      </x:c>
      <x:c r="K706" s="79" t="str">
        <x:v>https://www.20thcenturystudios.com/movies/predator-2</x:v>
      </x:c>
      <x:c r="L706" s="79" t="str">
        <x:v>Avancement technique indicatif 0 %</x:v>
      </x:c>
    </x:row>
    <x:row r="707" ht="29" customHeight="1">
      <x:c r="A707" s="79" t="str">
        <x:v>22_V136_Backlog</x:v>
      </x:c>
      <x:c r="B707" s="79" t="n">
        <x:v>23</x:v>
      </x:c>
      <x:c r="C707" s="79" t="str">
        <x:v>V136-lost-boar-01</x:v>
      </x:c>
      <x:c r="D707" s="79" t="str">
        <x:v>lost-boar</x:v>
      </x:c>
      <x:c r="E707" s="79" t="str">
        <x:v>Plan face/dessus/profil</x:v>
      </x:c>
      <x:c r="F707" s="79" t="str">
        <x:v>OUVERT · plusieurs vues source film/jeu non relevées</x:v>
      </x:c>
      <x:c r="G707" s="79" t="str">
        <x:v>Photo, prop, capture jeu propre au gauntlet</x:v>
      </x:c>
      <x:c r="H707" s="79" t="str">
        <x:v>ART 1:1</x:v>
      </x:c>
      <x:c r="I707" s="79" t="str">
        <x:v>Non : preuve humaine requise</x:v>
      </x:c>
      <x:c r="J707" s="79" t="str">
        <x:v>P1</x:v>
      </x:c>
      <x:c r="K707" s="79" t="str">
        <x:v>https://store.necaonline.com/blogs/news/predators-introducing-the-lost-tribe-from-our-series-6-action-figures</x:v>
      </x:c>
      <x:c r="L707" s="79" t="str">
        <x:v>Avancement technique indicatif 0 %</x:v>
      </x:c>
    </x:row>
    <x:row r="708" ht="29" customHeight="1">
      <x:c r="A708" s="79" t="str">
        <x:v>22_V136_Backlog</x:v>
      </x:c>
      <x:c r="B708" s="79" t="n">
        <x:v>24</x:v>
      </x:c>
      <x:c r="C708" s="79" t="str">
        <x:v>V136-lost-boar-02</x:v>
      </x:c>
      <x:c r="D708" s="79" t="str">
        <x:v>lost-boar</x:v>
      </x:c>
      <x:c r="E708" s="79" t="str">
        <x:v>Proportions et silhouette</x:v>
      </x:c>
      <x:c r="F708" s="79" t="str">
        <x:v>PARTIEL · silhouette SVG originale, proportions non mesurées</x:v>
      </x:c>
      <x:c r="G708" s="79" t="str">
        <x:v>Contrôle alignement poignet et pièces</x:v>
      </x:c>
      <x:c r="H708" s="79" t="str">
        <x:v>ART 1:1</x:v>
      </x:c>
      <x:c r="I708" s="79" t="str">
        <x:v>Non : preuve humaine requise</x:v>
      </x:c>
      <x:c r="J708" s="79" t="str">
        <x:v>P1</x:v>
      </x:c>
      <x:c r="K708" s="79" t="str">
        <x:v>https://store.necaonline.com/blogs/news/predators-introducing-the-lost-tribe-from-our-series-6-action-figures</x:v>
      </x:c>
      <x:c r="L708" s="79" t="str">
        <x:v>Avancement technique indicatif 25 %</x:v>
      </x:c>
    </x:row>
    <x:row r="709" ht="29" customHeight="1">
      <x:c r="A709" s="79" t="str">
        <x:v>22_V136_Backlog</x:v>
      </x:c>
      <x:c r="B709" s="79" t="n">
        <x:v>25</x:v>
      </x:c>
      <x:c r="C709" s="79" t="str">
        <x:v>V136-lost-boar-03</x:v>
      </x:c>
      <x:c r="D709" s="79" t="str">
        <x:v>lost-boar</x:v>
      </x:c>
      <x:c r="E709" s="79" t="str">
        <x:v>Textures UV et matériaux</x:v>
      </x:c>
      <x:c r="F709" s="79" t="str">
        <x:v>OUVERT · textures UV/PNG 1:1 et patine à produire</x:v>
      </x:c>
      <x:c r="G709" s="79" t="str">
        <x:v>PNG indépendants aux bons détails et reflets</x:v>
      </x:c>
      <x:c r="H709" s="79" t="str">
        <x:v>ART 1:1</x:v>
      </x:c>
      <x:c r="I709" s="79" t="str">
        <x:v>Non : preuve humaine requise</x:v>
      </x:c>
      <x:c r="J709" s="79" t="str">
        <x:v>P1</x:v>
      </x:c>
      <x:c r="K709" s="79" t="str">
        <x:v>https://store.necaonline.com/blogs/news/predators-introducing-the-lost-tribe-from-our-series-6-action-figures</x:v>
      </x:c>
      <x:c r="L709" s="79" t="str">
        <x:v>Avancement technique indicatif 0 %</x:v>
      </x:c>
    </x:row>
    <x:row r="710" ht="29" customHeight="1">
      <x:c r="A710" s="79" t="str">
        <x:v>22_V136_Backlog</x:v>
      </x:c>
      <x:c r="B710" s="79" t="n">
        <x:v>26</x:v>
      </x:c>
      <x:c r="C710" s="79" t="str">
        <x:v>V136-lost-boar-04</x:v>
      </x:c>
      <x:c r="D710" s="79" t="str">
        <x:v>lost-boar</x:v>
      </x:c>
      <x:c r="E710" s="79" t="str">
        <x:v>Charnière et animations</x:v>
      </x:c>
      <x:c r="F710" s="79" t="str">
        <x:v>PARTIEL · capot CSS ; 3 gestes / rig 1:1 manquants</x:v>
      </x:c>
      <x:c r="G710" s="79" t="str">
        <x:v>Cohérence rig / armurerie / hologramme</x:v>
      </x:c>
      <x:c r="H710" s="79" t="str">
        <x:v>ART 1:1</x:v>
      </x:c>
      <x:c r="I710" s="79" t="str">
        <x:v>Non : preuve humaine requise</x:v>
      </x:c>
      <x:c r="J710" s="79" t="str">
        <x:v>P1</x:v>
      </x:c>
      <x:c r="K710" s="79" t="str">
        <x:v>https://store.necaonline.com/blogs/news/predators-introducing-the-lost-tribe-from-our-series-6-action-figures</x:v>
      </x:c>
      <x:c r="L710" s="79" t="str">
        <x:v>Avancement technique indicatif 25 %</x:v>
      </x:c>
    </x:row>
    <x:row r="711" ht="29" customHeight="1">
      <x:c r="A711" s="79" t="str">
        <x:v>22_V136_Backlog</x:v>
      </x:c>
      <x:c r="B711" s="79" t="n">
        <x:v>27</x:v>
      </x:c>
      <x:c r="C711" s="79" t="str">
        <x:v>V136-lost-boar-05</x:v>
      </x:c>
      <x:c r="D711" s="79" t="str">
        <x:v>lost-boar</x:v>
      </x:c>
      <x:c r="E711" s="79" t="str">
        <x:v>Rendu jeu et contrôle</x:v>
      </x:c>
      <x:c r="F711" s="79" t="str">
        <x:v>PARTIEL · rendu React + QA autonome, jeu complet à tester</x:v>
      </x:c>
      <x:c r="G711" s="79" t="str">
        <x:v>Comparaison toutes vues et modes</x:v>
      </x:c>
      <x:c r="H711" s="79" t="str">
        <x:v>ART 1:1</x:v>
      </x:c>
      <x:c r="I711" s="79" t="str">
        <x:v>Non : preuve humaine requise</x:v>
      </x:c>
      <x:c r="J711" s="79" t="str">
        <x:v>P1</x:v>
      </x:c>
      <x:c r="K711" s="79" t="str">
        <x:v>https://store.necaonline.com/blogs/news/predators-introducing-the-lost-tribe-from-our-series-6-action-figures</x:v>
      </x:c>
      <x:c r="L711" s="79" t="str">
        <x:v>Avancement technique indicatif 45 %</x:v>
      </x:c>
    </x:row>
    <x:row r="712" ht="29" customHeight="1">
      <x:c r="A712" s="79" t="str">
        <x:v>22_V136_Backlog</x:v>
      </x:c>
      <x:c r="B712" s="79" t="n">
        <x:v>28</x:v>
      </x:c>
      <x:c r="C712" s="79" t="str">
        <x:v>V136-lost-boar-06</x:v>
      </x:c>
      <x:c r="D712" s="79" t="str">
        <x:v>lost-boar</x:v>
      </x:c>
      <x:c r="E712" s="79" t="str">
        <x:v>Revue artistique et droits</x:v>
      </x:c>
      <x:c r="F712" s="79" t="str">
        <x:v>OUVERT · revue humaine et autorisation IP nécessaires</x:v>
      </x:c>
      <x:c r="G712" s="79" t="str">
        <x:v>Ne jamais certifier sans approbation manuelle</x:v>
      </x:c>
      <x:c r="H712" s="79" t="str">
        <x:v>ART 1:1</x:v>
      </x:c>
      <x:c r="I712" s="79" t="str">
        <x:v>Non : preuve humaine requise</x:v>
      </x:c>
      <x:c r="J712" s="79" t="str">
        <x:v>P1</x:v>
      </x:c>
      <x:c r="K712" s="79" t="str">
        <x:v>https://store.necaonline.com/blogs/news/predators-introducing-the-lost-tribe-from-our-series-6-action-figures</x:v>
      </x:c>
      <x:c r="L712" s="79" t="str">
        <x:v>Avancement technique indicatif 0 %</x:v>
      </x:c>
    </x:row>
    <x:row r="713" ht="29" customHeight="1">
      <x:c r="A713" s="79" t="str">
        <x:v>22_V136_Backlog</x:v>
      </x:c>
      <x:c r="B713" s="79" t="n">
        <x:v>29</x:v>
      </x:c>
      <x:c r="C713" s="79" t="str">
        <x:v>V136-lost-shaman-01</x:v>
      </x:c>
      <x:c r="D713" s="79" t="str">
        <x:v>lost-shaman</x:v>
      </x:c>
      <x:c r="E713" s="79" t="str">
        <x:v>Plan face/dessus/profil</x:v>
      </x:c>
      <x:c r="F713" s="79" t="str">
        <x:v>OUVERT · plusieurs vues source film/jeu non relevées</x:v>
      </x:c>
      <x:c r="G713" s="79" t="str">
        <x:v>Photo, prop, capture jeu propre au gauntlet</x:v>
      </x:c>
      <x:c r="H713" s="79" t="str">
        <x:v>ART 1:1</x:v>
      </x:c>
      <x:c r="I713" s="79" t="str">
        <x:v>Non : preuve humaine requise</x:v>
      </x:c>
      <x:c r="J713" s="79" t="str">
        <x:v>P1</x:v>
      </x:c>
      <x:c r="K713" s="79" t="str">
        <x:v>https://store.necaonline.com/blogs/news/predators-introducing-the-lost-tribe-from-our-series-6-action-figures</x:v>
      </x:c>
      <x:c r="L713" s="79" t="str">
        <x:v>Avancement technique indicatif 0 %</x:v>
      </x:c>
    </x:row>
    <x:row r="714" ht="29" customHeight="1">
      <x:c r="A714" s="79" t="str">
        <x:v>22_V136_Backlog</x:v>
      </x:c>
      <x:c r="B714" s="79" t="n">
        <x:v>30</x:v>
      </x:c>
      <x:c r="C714" s="79" t="str">
        <x:v>V136-lost-shaman-02</x:v>
      </x:c>
      <x:c r="D714" s="79" t="str">
        <x:v>lost-shaman</x:v>
      </x:c>
      <x:c r="E714" s="79" t="str">
        <x:v>Proportions et silhouette</x:v>
      </x:c>
      <x:c r="F714" s="79" t="str">
        <x:v>PARTIEL · silhouette SVG originale, proportions non mesurées</x:v>
      </x:c>
      <x:c r="G714" s="79" t="str">
        <x:v>Contrôle alignement poignet et pièces</x:v>
      </x:c>
      <x:c r="H714" s="79" t="str">
        <x:v>ART 1:1</x:v>
      </x:c>
      <x:c r="I714" s="79" t="str">
        <x:v>Non : preuve humaine requise</x:v>
      </x:c>
      <x:c r="J714" s="79" t="str">
        <x:v>P1</x:v>
      </x:c>
      <x:c r="K714" s="79" t="str">
        <x:v>https://store.necaonline.com/blogs/news/predators-introducing-the-lost-tribe-from-our-series-6-action-figures</x:v>
      </x:c>
      <x:c r="L714" s="79" t="str">
        <x:v>Avancement technique indicatif 25 %</x:v>
      </x:c>
    </x:row>
    <x:row r="715" ht="29" customHeight="1">
      <x:c r="A715" s="79" t="str">
        <x:v>22_V136_Backlog</x:v>
      </x:c>
      <x:c r="B715" s="79" t="n">
        <x:v>31</x:v>
      </x:c>
      <x:c r="C715" s="79" t="str">
        <x:v>V136-lost-shaman-03</x:v>
      </x:c>
      <x:c r="D715" s="79" t="str">
        <x:v>lost-shaman</x:v>
      </x:c>
      <x:c r="E715" s="79" t="str">
        <x:v>Textures UV et matériaux</x:v>
      </x:c>
      <x:c r="F715" s="79" t="str">
        <x:v>OUVERT · textures UV/PNG 1:1 et patine à produire</x:v>
      </x:c>
      <x:c r="G715" s="79" t="str">
        <x:v>PNG indépendants aux bons détails et reflets</x:v>
      </x:c>
      <x:c r="H715" s="79" t="str">
        <x:v>ART 1:1</x:v>
      </x:c>
      <x:c r="I715" s="79" t="str">
        <x:v>Non : preuve humaine requise</x:v>
      </x:c>
      <x:c r="J715" s="79" t="str">
        <x:v>P1</x:v>
      </x:c>
      <x:c r="K715" s="79" t="str">
        <x:v>https://store.necaonline.com/blogs/news/predators-introducing-the-lost-tribe-from-our-series-6-action-figures</x:v>
      </x:c>
      <x:c r="L715" s="79" t="str">
        <x:v>Avancement technique indicatif 0 %</x:v>
      </x:c>
    </x:row>
    <x:row r="716" ht="29" customHeight="1">
      <x:c r="A716" s="79" t="str">
        <x:v>22_V136_Backlog</x:v>
      </x:c>
      <x:c r="B716" s="79" t="n">
        <x:v>32</x:v>
      </x:c>
      <x:c r="C716" s="79" t="str">
        <x:v>V136-lost-shaman-04</x:v>
      </x:c>
      <x:c r="D716" s="79" t="str">
        <x:v>lost-shaman</x:v>
      </x:c>
      <x:c r="E716" s="79" t="str">
        <x:v>Charnière et animations</x:v>
      </x:c>
      <x:c r="F716" s="79" t="str">
        <x:v>PARTIEL · capot CSS ; 3 gestes / rig 1:1 manquants</x:v>
      </x:c>
      <x:c r="G716" s="79" t="str">
        <x:v>Cohérence rig / armurerie / hologramme</x:v>
      </x:c>
      <x:c r="H716" s="79" t="str">
        <x:v>ART 1:1</x:v>
      </x:c>
      <x:c r="I716" s="79" t="str">
        <x:v>Non : preuve humaine requise</x:v>
      </x:c>
      <x:c r="J716" s="79" t="str">
        <x:v>P1</x:v>
      </x:c>
      <x:c r="K716" s="79" t="str">
        <x:v>https://store.necaonline.com/blogs/news/predators-introducing-the-lost-tribe-from-our-series-6-action-figures</x:v>
      </x:c>
      <x:c r="L716" s="79" t="str">
        <x:v>Avancement technique indicatif 25 %</x:v>
      </x:c>
    </x:row>
    <x:row r="717" ht="29" customHeight="1">
      <x:c r="A717" s="79" t="str">
        <x:v>22_V136_Backlog</x:v>
      </x:c>
      <x:c r="B717" s="79" t="n">
        <x:v>33</x:v>
      </x:c>
      <x:c r="C717" s="79" t="str">
        <x:v>V136-lost-shaman-05</x:v>
      </x:c>
      <x:c r="D717" s="79" t="str">
        <x:v>lost-shaman</x:v>
      </x:c>
      <x:c r="E717" s="79" t="str">
        <x:v>Rendu jeu et contrôle</x:v>
      </x:c>
      <x:c r="F717" s="79" t="str">
        <x:v>PARTIEL · rendu React + QA autonome, jeu complet à tester</x:v>
      </x:c>
      <x:c r="G717" s="79" t="str">
        <x:v>Comparaison toutes vues et modes</x:v>
      </x:c>
      <x:c r="H717" s="79" t="str">
        <x:v>ART 1:1</x:v>
      </x:c>
      <x:c r="I717" s="79" t="str">
        <x:v>Non : preuve humaine requise</x:v>
      </x:c>
      <x:c r="J717" s="79" t="str">
        <x:v>P1</x:v>
      </x:c>
      <x:c r="K717" s="79" t="str">
        <x:v>https://store.necaonline.com/blogs/news/predators-introducing-the-lost-tribe-from-our-series-6-action-figures</x:v>
      </x:c>
      <x:c r="L717" s="79" t="str">
        <x:v>Avancement technique indicatif 45 %</x:v>
      </x:c>
    </x:row>
    <x:row r="718" ht="29" customHeight="1">
      <x:c r="A718" s="79" t="str">
        <x:v>22_V136_Backlog</x:v>
      </x:c>
      <x:c r="B718" s="79" t="n">
        <x:v>34</x:v>
      </x:c>
      <x:c r="C718" s="79" t="str">
        <x:v>V136-lost-shaman-06</x:v>
      </x:c>
      <x:c r="D718" s="79" t="str">
        <x:v>lost-shaman</x:v>
      </x:c>
      <x:c r="E718" s="79" t="str">
        <x:v>Revue artistique et droits</x:v>
      </x:c>
      <x:c r="F718" s="79" t="str">
        <x:v>OUVERT · revue humaine et autorisation IP nécessaires</x:v>
      </x:c>
      <x:c r="G718" s="79" t="str">
        <x:v>Ne jamais certifier sans approbation manuelle</x:v>
      </x:c>
      <x:c r="H718" s="79" t="str">
        <x:v>ART 1:1</x:v>
      </x:c>
      <x:c r="I718" s="79" t="str">
        <x:v>Non : preuve humaine requise</x:v>
      </x:c>
      <x:c r="J718" s="79" t="str">
        <x:v>P1</x:v>
      </x:c>
      <x:c r="K718" s="79" t="str">
        <x:v>https://store.necaonline.com/blogs/news/predators-introducing-the-lost-tribe-from-our-series-6-action-figures</x:v>
      </x:c>
      <x:c r="L718" s="79" t="str">
        <x:v>Avancement technique indicatif 0 %</x:v>
      </x:c>
    </x:row>
    <x:row r="719" ht="29" customHeight="1">
      <x:c r="A719" s="79" t="str">
        <x:v>22_V136_Backlog</x:v>
      </x:c>
      <x:c r="B719" s="79" t="n">
        <x:v>35</x:v>
      </x:c>
      <x:c r="C719" s="79" t="str">
        <x:v>V136-lost-guardian-01</x:v>
      </x:c>
      <x:c r="D719" s="79" t="str">
        <x:v>lost-guardian</x:v>
      </x:c>
      <x:c r="E719" s="79" t="str">
        <x:v>Plan face/dessus/profil</x:v>
      </x:c>
      <x:c r="F719" s="79" t="str">
        <x:v>OUVERT · plusieurs vues source film/jeu non relevées</x:v>
      </x:c>
      <x:c r="G719" s="79" t="str">
        <x:v>Photo, prop, capture jeu propre au gauntlet</x:v>
      </x:c>
      <x:c r="H719" s="79" t="str">
        <x:v>ART 1:1</x:v>
      </x:c>
      <x:c r="I719" s="79" t="str">
        <x:v>Non : preuve humaine requise</x:v>
      </x:c>
      <x:c r="J719" s="79" t="str">
        <x:v>P1</x:v>
      </x:c>
      <x:c r="K719" s="79" t="str">
        <x:v>https://store.necaonline.com/blogs/news/predators-introducing-the-lost-tribe-from-our-series-6-action-figures</x:v>
      </x:c>
      <x:c r="L719" s="79" t="str">
        <x:v>Avancement technique indicatif 0 %</x:v>
      </x:c>
    </x:row>
    <x:row r="720" ht="29" customHeight="1">
      <x:c r="A720" s="79" t="str">
        <x:v>22_V136_Backlog</x:v>
      </x:c>
      <x:c r="B720" s="79" t="n">
        <x:v>36</x:v>
      </x:c>
      <x:c r="C720" s="79" t="str">
        <x:v>V136-lost-guardian-02</x:v>
      </x:c>
      <x:c r="D720" s="79" t="str">
        <x:v>lost-guardian</x:v>
      </x:c>
      <x:c r="E720" s="79" t="str">
        <x:v>Proportions et silhouette</x:v>
      </x:c>
      <x:c r="F720" s="79" t="str">
        <x:v>PARTIEL · silhouette SVG originale, proportions non mesurées</x:v>
      </x:c>
      <x:c r="G720" s="79" t="str">
        <x:v>Contrôle alignement poignet et pièces</x:v>
      </x:c>
      <x:c r="H720" s="79" t="str">
        <x:v>ART 1:1</x:v>
      </x:c>
      <x:c r="I720" s="79" t="str">
        <x:v>Non : preuve humaine requise</x:v>
      </x:c>
      <x:c r="J720" s="79" t="str">
        <x:v>P1</x:v>
      </x:c>
      <x:c r="K720" s="79" t="str">
        <x:v>https://store.necaonline.com/blogs/news/predators-introducing-the-lost-tribe-from-our-series-6-action-figures</x:v>
      </x:c>
      <x:c r="L720" s="79" t="str">
        <x:v>Avancement technique indicatif 25 %</x:v>
      </x:c>
    </x:row>
    <x:row r="721" ht="29" customHeight="1">
      <x:c r="A721" s="79" t="str">
        <x:v>22_V136_Backlog</x:v>
      </x:c>
      <x:c r="B721" s="79" t="n">
        <x:v>37</x:v>
      </x:c>
      <x:c r="C721" s="79" t="str">
        <x:v>V136-lost-guardian-03</x:v>
      </x:c>
      <x:c r="D721" s="79" t="str">
        <x:v>lost-guardian</x:v>
      </x:c>
      <x:c r="E721" s="79" t="str">
        <x:v>Textures UV et matériaux</x:v>
      </x:c>
      <x:c r="F721" s="79" t="str">
        <x:v>OUVERT · textures UV/PNG 1:1 et patine à produire</x:v>
      </x:c>
      <x:c r="G721" s="79" t="str">
        <x:v>PNG indépendants aux bons détails et reflets</x:v>
      </x:c>
      <x:c r="H721" s="79" t="str">
        <x:v>ART 1:1</x:v>
      </x:c>
      <x:c r="I721" s="79" t="str">
        <x:v>Non : preuve humaine requise</x:v>
      </x:c>
      <x:c r="J721" s="79" t="str">
        <x:v>P1</x:v>
      </x:c>
      <x:c r="K721" s="79" t="str">
        <x:v>https://store.necaonline.com/blogs/news/predators-introducing-the-lost-tribe-from-our-series-6-action-figures</x:v>
      </x:c>
      <x:c r="L721" s="79" t="str">
        <x:v>Avancement technique indicatif 0 %</x:v>
      </x:c>
    </x:row>
    <x:row r="722" ht="29" customHeight="1">
      <x:c r="A722" s="79" t="str">
        <x:v>22_V136_Backlog</x:v>
      </x:c>
      <x:c r="B722" s="79" t="n">
        <x:v>38</x:v>
      </x:c>
      <x:c r="C722" s="79" t="str">
        <x:v>V136-lost-guardian-04</x:v>
      </x:c>
      <x:c r="D722" s="79" t="str">
        <x:v>lost-guardian</x:v>
      </x:c>
      <x:c r="E722" s="79" t="str">
        <x:v>Charnière et animations</x:v>
      </x:c>
      <x:c r="F722" s="79" t="str">
        <x:v>PARTIEL · capot CSS ; 3 gestes / rig 1:1 manquants</x:v>
      </x:c>
      <x:c r="G722" s="79" t="str">
        <x:v>Cohérence rig / armurerie / hologramme</x:v>
      </x:c>
      <x:c r="H722" s="79" t="str">
        <x:v>ART 1:1</x:v>
      </x:c>
      <x:c r="I722" s="79" t="str">
        <x:v>Non : preuve humaine requise</x:v>
      </x:c>
      <x:c r="J722" s="79" t="str">
        <x:v>P1</x:v>
      </x:c>
      <x:c r="K722" s="79" t="str">
        <x:v>https://store.necaonline.com/blogs/news/predators-introducing-the-lost-tribe-from-our-series-6-action-figures</x:v>
      </x:c>
      <x:c r="L722" s="79" t="str">
        <x:v>Avancement technique indicatif 25 %</x:v>
      </x:c>
    </x:row>
    <x:row r="723" ht="29" customHeight="1">
      <x:c r="A723" s="79" t="str">
        <x:v>22_V136_Backlog</x:v>
      </x:c>
      <x:c r="B723" s="79" t="n">
        <x:v>39</x:v>
      </x:c>
      <x:c r="C723" s="79" t="str">
        <x:v>V136-lost-guardian-05</x:v>
      </x:c>
      <x:c r="D723" s="79" t="str">
        <x:v>lost-guardian</x:v>
      </x:c>
      <x:c r="E723" s="79" t="str">
        <x:v>Rendu jeu et contrôle</x:v>
      </x:c>
      <x:c r="F723" s="79" t="str">
        <x:v>PARTIEL · rendu React + QA autonome, jeu complet à tester</x:v>
      </x:c>
      <x:c r="G723" s="79" t="str">
        <x:v>Comparaison toutes vues et modes</x:v>
      </x:c>
      <x:c r="H723" s="79" t="str">
        <x:v>ART 1:1</x:v>
      </x:c>
      <x:c r="I723" s="79" t="str">
        <x:v>Non : preuve humaine requise</x:v>
      </x:c>
      <x:c r="J723" s="79" t="str">
        <x:v>P1</x:v>
      </x:c>
      <x:c r="K723" s="79" t="str">
        <x:v>https://store.necaonline.com/blogs/news/predators-introducing-the-lost-tribe-from-our-series-6-action-figures</x:v>
      </x:c>
      <x:c r="L723" s="79" t="str">
        <x:v>Avancement technique indicatif 45 %</x:v>
      </x:c>
    </x:row>
    <x:row r="724" ht="29" customHeight="1">
      <x:c r="A724" s="79" t="str">
        <x:v>22_V136_Backlog</x:v>
      </x:c>
      <x:c r="B724" s="79" t="n">
        <x:v>40</x:v>
      </x:c>
      <x:c r="C724" s="79" t="str">
        <x:v>V136-lost-guardian-06</x:v>
      </x:c>
      <x:c r="D724" s="79" t="str">
        <x:v>lost-guardian</x:v>
      </x:c>
      <x:c r="E724" s="79" t="str">
        <x:v>Revue artistique et droits</x:v>
      </x:c>
      <x:c r="F724" s="79" t="str">
        <x:v>OUVERT · revue humaine et autorisation IP nécessaires</x:v>
      </x:c>
      <x:c r="G724" s="79" t="str">
        <x:v>Ne jamais certifier sans approbation manuelle</x:v>
      </x:c>
      <x:c r="H724" s="79" t="str">
        <x:v>ART 1:1</x:v>
      </x:c>
      <x:c r="I724" s="79" t="str">
        <x:v>Non : preuve humaine requise</x:v>
      </x:c>
      <x:c r="J724" s="79" t="str">
        <x:v>P1</x:v>
      </x:c>
      <x:c r="K724" s="79" t="str">
        <x:v>https://store.necaonline.com/blogs/news/predators-introducing-the-lost-tribe-from-our-series-6-action-figures</x:v>
      </x:c>
      <x:c r="L724" s="79" t="str">
        <x:v>Avancement technique indicatif 0 %</x:v>
      </x:c>
    </x:row>
    <x:row r="725" ht="29" customHeight="1">
      <x:c r="A725" s="79" t="str">
        <x:v>22_V136_Backlog</x:v>
      </x:c>
      <x:c r="B725" s="79" t="n">
        <x:v>41</x:v>
      </x:c>
      <x:c r="C725" s="79" t="str">
        <x:v>V136-lost-stalker-01</x:v>
      </x:c>
      <x:c r="D725" s="79" t="str">
        <x:v>lost-stalker</x:v>
      </x:c>
      <x:c r="E725" s="79" t="str">
        <x:v>Plan face/dessus/profil</x:v>
      </x:c>
      <x:c r="F725" s="79" t="str">
        <x:v>OUVERT · plusieurs vues source film/jeu non relevées</x:v>
      </x:c>
      <x:c r="G725" s="79" t="str">
        <x:v>Photo, prop, capture jeu propre au gauntlet</x:v>
      </x:c>
      <x:c r="H725" s="79" t="str">
        <x:v>ART 1:1</x:v>
      </x:c>
      <x:c r="I725" s="79" t="str">
        <x:v>Non : preuve humaine requise</x:v>
      </x:c>
      <x:c r="J725" s="79" t="str">
        <x:v>P1</x:v>
      </x:c>
      <x:c r="K725" s="79" t="str">
        <x:v>https://store.necaonline.com/blogs/news/predators-introducing-the-lost-tribe-from-our-series-6-action-figures</x:v>
      </x:c>
      <x:c r="L725" s="79" t="str">
        <x:v>Avancement technique indicatif 0 %</x:v>
      </x:c>
    </x:row>
    <x:row r="726" ht="29" customHeight="1">
      <x:c r="A726" s="79" t="str">
        <x:v>22_V136_Backlog</x:v>
      </x:c>
      <x:c r="B726" s="79" t="n">
        <x:v>42</x:v>
      </x:c>
      <x:c r="C726" s="79" t="str">
        <x:v>V136-lost-stalker-02</x:v>
      </x:c>
      <x:c r="D726" s="79" t="str">
        <x:v>lost-stalker</x:v>
      </x:c>
      <x:c r="E726" s="79" t="str">
        <x:v>Proportions et silhouette</x:v>
      </x:c>
      <x:c r="F726" s="79" t="str">
        <x:v>PARTIEL · silhouette SVG originale, proportions non mesurées</x:v>
      </x:c>
      <x:c r="G726" s="79" t="str">
        <x:v>Contrôle alignement poignet et pièces</x:v>
      </x:c>
      <x:c r="H726" s="79" t="str">
        <x:v>ART 1:1</x:v>
      </x:c>
      <x:c r="I726" s="79" t="str">
        <x:v>Non : preuve humaine requise</x:v>
      </x:c>
      <x:c r="J726" s="79" t="str">
        <x:v>P1</x:v>
      </x:c>
      <x:c r="K726" s="79" t="str">
        <x:v>https://store.necaonline.com/blogs/news/predators-introducing-the-lost-tribe-from-our-series-6-action-figures</x:v>
      </x:c>
      <x:c r="L726" s="79" t="str">
        <x:v>Avancement technique indicatif 25 %</x:v>
      </x:c>
    </x:row>
    <x:row r="727" ht="29" customHeight="1">
      <x:c r="A727" s="79" t="str">
        <x:v>22_V136_Backlog</x:v>
      </x:c>
      <x:c r="B727" s="79" t="n">
        <x:v>43</x:v>
      </x:c>
      <x:c r="C727" s="79" t="str">
        <x:v>V136-lost-stalker-03</x:v>
      </x:c>
      <x:c r="D727" s="79" t="str">
        <x:v>lost-stalker</x:v>
      </x:c>
      <x:c r="E727" s="79" t="str">
        <x:v>Textures UV et matériaux</x:v>
      </x:c>
      <x:c r="F727" s="79" t="str">
        <x:v>OUVERT · textures UV/PNG 1:1 et patine à produire</x:v>
      </x:c>
      <x:c r="G727" s="79" t="str">
        <x:v>PNG indépendants aux bons détails et reflets</x:v>
      </x:c>
      <x:c r="H727" s="79" t="str">
        <x:v>ART 1:1</x:v>
      </x:c>
      <x:c r="I727" s="79" t="str">
        <x:v>Non : preuve humaine requise</x:v>
      </x:c>
      <x:c r="J727" s="79" t="str">
        <x:v>P1</x:v>
      </x:c>
      <x:c r="K727" s="79" t="str">
        <x:v>https://store.necaonline.com/blogs/news/predators-introducing-the-lost-tribe-from-our-series-6-action-figures</x:v>
      </x:c>
      <x:c r="L727" s="79" t="str">
        <x:v>Avancement technique indicatif 0 %</x:v>
      </x:c>
    </x:row>
    <x:row r="728" ht="29" customHeight="1">
      <x:c r="A728" s="79" t="str">
        <x:v>22_V136_Backlog</x:v>
      </x:c>
      <x:c r="B728" s="79" t="n">
        <x:v>44</x:v>
      </x:c>
      <x:c r="C728" s="79" t="str">
        <x:v>V136-lost-stalker-04</x:v>
      </x:c>
      <x:c r="D728" s="79" t="str">
        <x:v>lost-stalker</x:v>
      </x:c>
      <x:c r="E728" s="79" t="str">
        <x:v>Charnière et animations</x:v>
      </x:c>
      <x:c r="F728" s="79" t="str">
        <x:v>PARTIEL · capot CSS ; 3 gestes / rig 1:1 manquants</x:v>
      </x:c>
      <x:c r="G728" s="79" t="str">
        <x:v>Cohérence rig / armurerie / hologramme</x:v>
      </x:c>
      <x:c r="H728" s="79" t="str">
        <x:v>ART 1:1</x:v>
      </x:c>
      <x:c r="I728" s="79" t="str">
        <x:v>Non : preuve humaine requise</x:v>
      </x:c>
      <x:c r="J728" s="79" t="str">
        <x:v>P1</x:v>
      </x:c>
      <x:c r="K728" s="79" t="str">
        <x:v>https://store.necaonline.com/blogs/news/predators-introducing-the-lost-tribe-from-our-series-6-action-figures</x:v>
      </x:c>
      <x:c r="L728" s="79" t="str">
        <x:v>Avancement technique indicatif 25 %</x:v>
      </x:c>
    </x:row>
    <x:row r="729" ht="29" customHeight="1">
      <x:c r="A729" s="79" t="str">
        <x:v>22_V136_Backlog</x:v>
      </x:c>
      <x:c r="B729" s="79" t="n">
        <x:v>45</x:v>
      </x:c>
      <x:c r="C729" s="79" t="str">
        <x:v>V136-lost-stalker-05</x:v>
      </x:c>
      <x:c r="D729" s="79" t="str">
        <x:v>lost-stalker</x:v>
      </x:c>
      <x:c r="E729" s="79" t="str">
        <x:v>Rendu jeu et contrôle</x:v>
      </x:c>
      <x:c r="F729" s="79" t="str">
        <x:v>PARTIEL · rendu React + QA autonome, jeu complet à tester</x:v>
      </x:c>
      <x:c r="G729" s="79" t="str">
        <x:v>Comparaison toutes vues et modes</x:v>
      </x:c>
      <x:c r="H729" s="79" t="str">
        <x:v>ART 1:1</x:v>
      </x:c>
      <x:c r="I729" s="79" t="str">
        <x:v>Non : preuve humaine requise</x:v>
      </x:c>
      <x:c r="J729" s="79" t="str">
        <x:v>P1</x:v>
      </x:c>
      <x:c r="K729" s="79" t="str">
        <x:v>https://store.necaonline.com/blogs/news/predators-introducing-the-lost-tribe-from-our-series-6-action-figures</x:v>
      </x:c>
      <x:c r="L729" s="79" t="str">
        <x:v>Avancement technique indicatif 45 %</x:v>
      </x:c>
    </x:row>
    <x:row r="730" ht="29" customHeight="1">
      <x:c r="A730" s="79" t="str">
        <x:v>22_V136_Backlog</x:v>
      </x:c>
      <x:c r="B730" s="79" t="n">
        <x:v>46</x:v>
      </x:c>
      <x:c r="C730" s="79" t="str">
        <x:v>V136-lost-stalker-06</x:v>
      </x:c>
      <x:c r="D730" s="79" t="str">
        <x:v>lost-stalker</x:v>
      </x:c>
      <x:c r="E730" s="79" t="str">
        <x:v>Revue artistique et droits</x:v>
      </x:c>
      <x:c r="F730" s="79" t="str">
        <x:v>OUVERT · revue humaine et autorisation IP nécessaires</x:v>
      </x:c>
      <x:c r="G730" s="79" t="str">
        <x:v>Ne jamais certifier sans approbation manuelle</x:v>
      </x:c>
      <x:c r="H730" s="79" t="str">
        <x:v>ART 1:1</x:v>
      </x:c>
      <x:c r="I730" s="79" t="str">
        <x:v>Non : preuve humaine requise</x:v>
      </x:c>
      <x:c r="J730" s="79" t="str">
        <x:v>P1</x:v>
      </x:c>
      <x:c r="K730" s="79" t="str">
        <x:v>https://store.necaonline.com/blogs/news/predators-introducing-the-lost-tribe-from-our-series-6-action-figures</x:v>
      </x:c>
      <x:c r="L730" s="79" t="str">
        <x:v>Avancement technique indicatif 0 %</x:v>
      </x:c>
    </x:row>
    <x:row r="731" ht="29" customHeight="1">
      <x:c r="A731" s="79" t="str">
        <x:v>22_V136_Backlog</x:v>
      </x:c>
      <x:c r="B731" s="79" t="n">
        <x:v>47</x:v>
      </x:c>
      <x:c r="C731" s="79" t="str">
        <x:v>V136-lost-snake-01</x:v>
      </x:c>
      <x:c r="D731" s="79" t="str">
        <x:v>lost-snake</x:v>
      </x:c>
      <x:c r="E731" s="79" t="str">
        <x:v>Plan face/dessus/profil</x:v>
      </x:c>
      <x:c r="F731" s="79" t="str">
        <x:v>OUVERT · plusieurs vues source film/jeu non relevées</x:v>
      </x:c>
      <x:c r="G731" s="79" t="str">
        <x:v>Photo, prop, capture jeu propre au gauntlet</x:v>
      </x:c>
      <x:c r="H731" s="79" t="str">
        <x:v>ART 1:1</x:v>
      </x:c>
      <x:c r="I731" s="79" t="str">
        <x:v>Non : preuve humaine requise</x:v>
      </x:c>
      <x:c r="J731" s="79" t="str">
        <x:v>P1</x:v>
      </x:c>
      <x:c r="K731" s="79" t="str">
        <x:v>https://store.necaonline.com/blogs/news/predators-introducing-the-lost-tribe-from-our-series-6-action-figures</x:v>
      </x:c>
      <x:c r="L731" s="79" t="str">
        <x:v>Avancement technique indicatif 0 %</x:v>
      </x:c>
    </x:row>
    <x:row r="732" ht="29" customHeight="1">
      <x:c r="A732" s="79" t="str">
        <x:v>22_V136_Backlog</x:v>
      </x:c>
      <x:c r="B732" s="79" t="n">
        <x:v>48</x:v>
      </x:c>
      <x:c r="C732" s="79" t="str">
        <x:v>V136-lost-snake-02</x:v>
      </x:c>
      <x:c r="D732" s="79" t="str">
        <x:v>lost-snake</x:v>
      </x:c>
      <x:c r="E732" s="79" t="str">
        <x:v>Proportions et silhouette</x:v>
      </x:c>
      <x:c r="F732" s="79" t="str">
        <x:v>PARTIEL · silhouette SVG originale, proportions non mesurées</x:v>
      </x:c>
      <x:c r="G732" s="79" t="str">
        <x:v>Contrôle alignement poignet et pièces</x:v>
      </x:c>
      <x:c r="H732" s="79" t="str">
        <x:v>ART 1:1</x:v>
      </x:c>
      <x:c r="I732" s="79" t="str">
        <x:v>Non : preuve humaine requise</x:v>
      </x:c>
      <x:c r="J732" s="79" t="str">
        <x:v>P1</x:v>
      </x:c>
      <x:c r="K732" s="79" t="str">
        <x:v>https://store.necaonline.com/blogs/news/predators-introducing-the-lost-tribe-from-our-series-6-action-figures</x:v>
      </x:c>
      <x:c r="L732" s="79" t="str">
        <x:v>Avancement technique indicatif 25 %</x:v>
      </x:c>
    </x:row>
    <x:row r="733" ht="29" customHeight="1">
      <x:c r="A733" s="79" t="str">
        <x:v>22_V136_Backlog</x:v>
      </x:c>
      <x:c r="B733" s="79" t="n">
        <x:v>49</x:v>
      </x:c>
      <x:c r="C733" s="79" t="str">
        <x:v>V136-lost-snake-03</x:v>
      </x:c>
      <x:c r="D733" s="79" t="str">
        <x:v>lost-snake</x:v>
      </x:c>
      <x:c r="E733" s="79" t="str">
        <x:v>Textures UV et matériaux</x:v>
      </x:c>
      <x:c r="F733" s="79" t="str">
        <x:v>OUVERT · textures UV/PNG 1:1 et patine à produire</x:v>
      </x:c>
      <x:c r="G733" s="79" t="str">
        <x:v>PNG indépendants aux bons détails et reflets</x:v>
      </x:c>
      <x:c r="H733" s="79" t="str">
        <x:v>ART 1:1</x:v>
      </x:c>
      <x:c r="I733" s="79" t="str">
        <x:v>Non : preuve humaine requise</x:v>
      </x:c>
      <x:c r="J733" s="79" t="str">
        <x:v>P1</x:v>
      </x:c>
      <x:c r="K733" s="79" t="str">
        <x:v>https://store.necaonline.com/blogs/news/predators-introducing-the-lost-tribe-from-our-series-6-action-figures</x:v>
      </x:c>
      <x:c r="L733" s="79" t="str">
        <x:v>Avancement technique indicatif 0 %</x:v>
      </x:c>
    </x:row>
    <x:row r="734" ht="29" customHeight="1">
      <x:c r="A734" s="79" t="str">
        <x:v>22_V136_Backlog</x:v>
      </x:c>
      <x:c r="B734" s="79" t="n">
        <x:v>50</x:v>
      </x:c>
      <x:c r="C734" s="79" t="str">
        <x:v>V136-lost-snake-04</x:v>
      </x:c>
      <x:c r="D734" s="79" t="str">
        <x:v>lost-snake</x:v>
      </x:c>
      <x:c r="E734" s="79" t="str">
        <x:v>Charnière et animations</x:v>
      </x:c>
      <x:c r="F734" s="79" t="str">
        <x:v>PARTIEL · capot CSS ; 3 gestes / rig 1:1 manquants</x:v>
      </x:c>
      <x:c r="G734" s="79" t="str">
        <x:v>Cohérence rig / armurerie / hologramme</x:v>
      </x:c>
      <x:c r="H734" s="79" t="str">
        <x:v>ART 1:1</x:v>
      </x:c>
      <x:c r="I734" s="79" t="str">
        <x:v>Non : preuve humaine requise</x:v>
      </x:c>
      <x:c r="J734" s="79" t="str">
        <x:v>P1</x:v>
      </x:c>
      <x:c r="K734" s="79" t="str">
        <x:v>https://store.necaonline.com/blogs/news/predators-introducing-the-lost-tribe-from-our-series-6-action-figures</x:v>
      </x:c>
      <x:c r="L734" s="79" t="str">
        <x:v>Avancement technique indicatif 25 %</x:v>
      </x:c>
    </x:row>
    <x:row r="735" ht="29" customHeight="1">
      <x:c r="A735" s="79" t="str">
        <x:v>22_V136_Backlog</x:v>
      </x:c>
      <x:c r="B735" s="79" t="n">
        <x:v>51</x:v>
      </x:c>
      <x:c r="C735" s="79" t="str">
        <x:v>V136-lost-snake-05</x:v>
      </x:c>
      <x:c r="D735" s="79" t="str">
        <x:v>lost-snake</x:v>
      </x:c>
      <x:c r="E735" s="79" t="str">
        <x:v>Rendu jeu et contrôle</x:v>
      </x:c>
      <x:c r="F735" s="79" t="str">
        <x:v>PARTIEL · rendu React + QA autonome, jeu complet à tester</x:v>
      </x:c>
      <x:c r="G735" s="79" t="str">
        <x:v>Comparaison toutes vues et modes</x:v>
      </x:c>
      <x:c r="H735" s="79" t="str">
        <x:v>ART 1:1</x:v>
      </x:c>
      <x:c r="I735" s="79" t="str">
        <x:v>Non : preuve humaine requise</x:v>
      </x:c>
      <x:c r="J735" s="79" t="str">
        <x:v>P1</x:v>
      </x:c>
      <x:c r="K735" s="79" t="str">
        <x:v>https://store.necaonline.com/blogs/news/predators-introducing-the-lost-tribe-from-our-series-6-action-figures</x:v>
      </x:c>
      <x:c r="L735" s="79" t="str">
        <x:v>Avancement technique indicatif 45 %</x:v>
      </x:c>
    </x:row>
    <x:row r="736" ht="29" customHeight="1">
      <x:c r="A736" s="79" t="str">
        <x:v>22_V136_Backlog</x:v>
      </x:c>
      <x:c r="B736" s="79" t="n">
        <x:v>52</x:v>
      </x:c>
      <x:c r="C736" s="79" t="str">
        <x:v>V136-lost-snake-06</x:v>
      </x:c>
      <x:c r="D736" s="79" t="str">
        <x:v>lost-snake</x:v>
      </x:c>
      <x:c r="E736" s="79" t="str">
        <x:v>Revue artistique et droits</x:v>
      </x:c>
      <x:c r="F736" s="79" t="str">
        <x:v>OUVERT · revue humaine et autorisation IP nécessaires</x:v>
      </x:c>
      <x:c r="G736" s="79" t="str">
        <x:v>Ne jamais certifier sans approbation manuelle</x:v>
      </x:c>
      <x:c r="H736" s="79" t="str">
        <x:v>ART 1:1</x:v>
      </x:c>
      <x:c r="I736" s="79" t="str">
        <x:v>Non : preuve humaine requise</x:v>
      </x:c>
      <x:c r="J736" s="79" t="str">
        <x:v>P1</x:v>
      </x:c>
      <x:c r="K736" s="79" t="str">
        <x:v>https://store.necaonline.com/blogs/news/predators-introducing-the-lost-tribe-from-our-series-6-action-figures</x:v>
      </x:c>
      <x:c r="L736" s="79" t="str">
        <x:v>Avancement technique indicatif 0 %</x:v>
      </x:c>
    </x:row>
    <x:row r="737" ht="29" customHeight="1">
      <x:c r="A737" s="79" t="str">
        <x:v>22_V136_Backlog</x:v>
      </x:c>
      <x:c r="B737" s="79" t="n">
        <x:v>53</x:v>
      </x:c>
      <x:c r="C737" s="79" t="str">
        <x:v>V136-lost-warrior-01</x:v>
      </x:c>
      <x:c r="D737" s="79" t="str">
        <x:v>lost-warrior</x:v>
      </x:c>
      <x:c r="E737" s="79" t="str">
        <x:v>Plan face/dessus/profil</x:v>
      </x:c>
      <x:c r="F737" s="79" t="str">
        <x:v>OUVERT · plusieurs vues source film/jeu non relevées</x:v>
      </x:c>
      <x:c r="G737" s="79" t="str">
        <x:v>Photo, prop, capture jeu propre au gauntlet</x:v>
      </x:c>
      <x:c r="H737" s="79" t="str">
        <x:v>ART 1:1</x:v>
      </x:c>
      <x:c r="I737" s="79" t="str">
        <x:v>Non : preuve humaine requise</x:v>
      </x:c>
      <x:c r="J737" s="79" t="str">
        <x:v>P1</x:v>
      </x:c>
      <x:c r="K737" s="79" t="str">
        <x:v>https://store.necaonline.com/blogs/news/predators-introducing-the-lost-tribe-from-our-series-6-action-figures</x:v>
      </x:c>
      <x:c r="L737" s="79" t="str">
        <x:v>Avancement technique indicatif 0 %</x:v>
      </x:c>
    </x:row>
    <x:row r="738" ht="29" customHeight="1">
      <x:c r="A738" s="79" t="str">
        <x:v>22_V136_Backlog</x:v>
      </x:c>
      <x:c r="B738" s="79" t="n">
        <x:v>54</x:v>
      </x:c>
      <x:c r="C738" s="79" t="str">
        <x:v>V136-lost-warrior-02</x:v>
      </x:c>
      <x:c r="D738" s="79" t="str">
        <x:v>lost-warrior</x:v>
      </x:c>
      <x:c r="E738" s="79" t="str">
        <x:v>Proportions et silhouette</x:v>
      </x:c>
      <x:c r="F738" s="79" t="str">
        <x:v>PARTIEL · silhouette SVG originale, proportions non mesurées</x:v>
      </x:c>
      <x:c r="G738" s="79" t="str">
        <x:v>Contrôle alignement poignet et pièces</x:v>
      </x:c>
      <x:c r="H738" s="79" t="str">
        <x:v>ART 1:1</x:v>
      </x:c>
      <x:c r="I738" s="79" t="str">
        <x:v>Non : preuve humaine requise</x:v>
      </x:c>
      <x:c r="J738" s="79" t="str">
        <x:v>P1</x:v>
      </x:c>
      <x:c r="K738" s="79" t="str">
        <x:v>https://store.necaonline.com/blogs/news/predators-introducing-the-lost-tribe-from-our-series-6-action-figures</x:v>
      </x:c>
      <x:c r="L738" s="79" t="str">
        <x:v>Avancement technique indicatif 25 %</x:v>
      </x:c>
    </x:row>
    <x:row r="739" ht="29" customHeight="1">
      <x:c r="A739" s="79" t="str">
        <x:v>22_V136_Backlog</x:v>
      </x:c>
      <x:c r="B739" s="79" t="n">
        <x:v>55</x:v>
      </x:c>
      <x:c r="C739" s="79" t="str">
        <x:v>V136-lost-warrior-03</x:v>
      </x:c>
      <x:c r="D739" s="79" t="str">
        <x:v>lost-warrior</x:v>
      </x:c>
      <x:c r="E739" s="79" t="str">
        <x:v>Textures UV et matériaux</x:v>
      </x:c>
      <x:c r="F739" s="79" t="str">
        <x:v>OUVERT · textures UV/PNG 1:1 et patine à produire</x:v>
      </x:c>
      <x:c r="G739" s="79" t="str">
        <x:v>PNG indépendants aux bons détails et reflets</x:v>
      </x:c>
      <x:c r="H739" s="79" t="str">
        <x:v>ART 1:1</x:v>
      </x:c>
      <x:c r="I739" s="79" t="str">
        <x:v>Non : preuve humaine requise</x:v>
      </x:c>
      <x:c r="J739" s="79" t="str">
        <x:v>P1</x:v>
      </x:c>
      <x:c r="K739" s="79" t="str">
        <x:v>https://store.necaonline.com/blogs/news/predators-introducing-the-lost-tribe-from-our-series-6-action-figures</x:v>
      </x:c>
      <x:c r="L739" s="79" t="str">
        <x:v>Avancement technique indicatif 0 %</x:v>
      </x:c>
    </x:row>
    <x:row r="740" ht="29" customHeight="1">
      <x:c r="A740" s="79" t="str">
        <x:v>22_V136_Backlog</x:v>
      </x:c>
      <x:c r="B740" s="79" t="n">
        <x:v>56</x:v>
      </x:c>
      <x:c r="C740" s="79" t="str">
        <x:v>V136-lost-warrior-04</x:v>
      </x:c>
      <x:c r="D740" s="79" t="str">
        <x:v>lost-warrior</x:v>
      </x:c>
      <x:c r="E740" s="79" t="str">
        <x:v>Charnière et animations</x:v>
      </x:c>
      <x:c r="F740" s="79" t="str">
        <x:v>PARTIEL · capot CSS ; 3 gestes / rig 1:1 manquants</x:v>
      </x:c>
      <x:c r="G740" s="79" t="str">
        <x:v>Cohérence rig / armurerie / hologramme</x:v>
      </x:c>
      <x:c r="H740" s="79" t="str">
        <x:v>ART 1:1</x:v>
      </x:c>
      <x:c r="I740" s="79" t="str">
        <x:v>Non : preuve humaine requise</x:v>
      </x:c>
      <x:c r="J740" s="79" t="str">
        <x:v>P1</x:v>
      </x:c>
      <x:c r="K740" s="79" t="str">
        <x:v>https://store.necaonline.com/blogs/news/predators-introducing-the-lost-tribe-from-our-series-6-action-figures</x:v>
      </x:c>
      <x:c r="L740" s="79" t="str">
        <x:v>Avancement technique indicatif 25 %</x:v>
      </x:c>
    </x:row>
    <x:row r="741" ht="29" customHeight="1">
      <x:c r="A741" s="79" t="str">
        <x:v>22_V136_Backlog</x:v>
      </x:c>
      <x:c r="B741" s="79" t="n">
        <x:v>57</x:v>
      </x:c>
      <x:c r="C741" s="79" t="str">
        <x:v>V136-lost-warrior-05</x:v>
      </x:c>
      <x:c r="D741" s="79" t="str">
        <x:v>lost-warrior</x:v>
      </x:c>
      <x:c r="E741" s="79" t="str">
        <x:v>Rendu jeu et contrôle</x:v>
      </x:c>
      <x:c r="F741" s="79" t="str">
        <x:v>PARTIEL · rendu React + QA autonome, jeu complet à tester</x:v>
      </x:c>
      <x:c r="G741" s="79" t="str">
        <x:v>Comparaison toutes vues et modes</x:v>
      </x:c>
      <x:c r="H741" s="79" t="str">
        <x:v>ART 1:1</x:v>
      </x:c>
      <x:c r="I741" s="79" t="str">
        <x:v>Non : preuve humaine requise</x:v>
      </x:c>
      <x:c r="J741" s="79" t="str">
        <x:v>P1</x:v>
      </x:c>
      <x:c r="K741" s="79" t="str">
        <x:v>https://store.necaonline.com/blogs/news/predators-introducing-the-lost-tribe-from-our-series-6-action-figures</x:v>
      </x:c>
      <x:c r="L741" s="79" t="str">
        <x:v>Avancement technique indicatif 45 %</x:v>
      </x:c>
    </x:row>
    <x:row r="742" ht="29" customHeight="1">
      <x:c r="A742" s="79" t="str">
        <x:v>22_V136_Backlog</x:v>
      </x:c>
      <x:c r="B742" s="79" t="n">
        <x:v>58</x:v>
      </x:c>
      <x:c r="C742" s="79" t="str">
        <x:v>V136-lost-warrior-06</x:v>
      </x:c>
      <x:c r="D742" s="79" t="str">
        <x:v>lost-warrior</x:v>
      </x:c>
      <x:c r="E742" s="79" t="str">
        <x:v>Revue artistique et droits</x:v>
      </x:c>
      <x:c r="F742" s="79" t="str">
        <x:v>OUVERT · revue humaine et autorisation IP nécessaires</x:v>
      </x:c>
      <x:c r="G742" s="79" t="str">
        <x:v>Ne jamais certifier sans approbation manuelle</x:v>
      </x:c>
      <x:c r="H742" s="79" t="str">
        <x:v>ART 1:1</x:v>
      </x:c>
      <x:c r="I742" s="79" t="str">
        <x:v>Non : preuve humaine requise</x:v>
      </x:c>
      <x:c r="J742" s="79" t="str">
        <x:v>P1</x:v>
      </x:c>
      <x:c r="K742" s="79" t="str">
        <x:v>https://store.necaonline.com/blogs/news/predators-introducing-the-lost-tribe-from-our-series-6-action-figures</x:v>
      </x:c>
      <x:c r="L742" s="79" t="str">
        <x:v>Avancement technique indicatif 0 %</x:v>
      </x:c>
    </x:row>
    <x:row r="743" ht="29" customHeight="1">
      <x:c r="A743" s="79" t="str">
        <x:v>22_V136_Backlog</x:v>
      </x:c>
      <x:c r="B743" s="79" t="n">
        <x:v>59</x:v>
      </x:c>
      <x:c r="C743" s="79" t="str">
        <x:v>V136-lost-scout-01</x:v>
      </x:c>
      <x:c r="D743" s="79" t="str">
        <x:v>lost-scout</x:v>
      </x:c>
      <x:c r="E743" s="79" t="str">
        <x:v>Plan face/dessus/profil</x:v>
      </x:c>
      <x:c r="F743" s="79" t="str">
        <x:v>OUVERT · plusieurs vues source film/jeu non relevées</x:v>
      </x:c>
      <x:c r="G743" s="79" t="str">
        <x:v>Photo, prop, capture jeu propre au gauntlet</x:v>
      </x:c>
      <x:c r="H743" s="79" t="str">
        <x:v>ART 1:1</x:v>
      </x:c>
      <x:c r="I743" s="79" t="str">
        <x:v>Non : preuve humaine requise</x:v>
      </x:c>
      <x:c r="J743" s="79" t="str">
        <x:v>P1</x:v>
      </x:c>
      <x:c r="K743" s="79" t="str">
        <x:v>https://store.necaonline.com/blogs/news/predators-introducing-the-lost-tribe-from-our-series-6-action-figures</x:v>
      </x:c>
      <x:c r="L743" s="79" t="str">
        <x:v>Avancement technique indicatif 0 %</x:v>
      </x:c>
    </x:row>
    <x:row r="744" ht="29" customHeight="1">
      <x:c r="A744" s="79" t="str">
        <x:v>22_V136_Backlog</x:v>
      </x:c>
      <x:c r="B744" s="79" t="n">
        <x:v>60</x:v>
      </x:c>
      <x:c r="C744" s="79" t="str">
        <x:v>V136-lost-scout-02</x:v>
      </x:c>
      <x:c r="D744" s="79" t="str">
        <x:v>lost-scout</x:v>
      </x:c>
      <x:c r="E744" s="79" t="str">
        <x:v>Proportions et silhouette</x:v>
      </x:c>
      <x:c r="F744" s="79" t="str">
        <x:v>PARTIEL · silhouette SVG originale, proportions non mesurées</x:v>
      </x:c>
      <x:c r="G744" s="79" t="str">
        <x:v>Contrôle alignement poignet et pièces</x:v>
      </x:c>
      <x:c r="H744" s="79" t="str">
        <x:v>ART 1:1</x:v>
      </x:c>
      <x:c r="I744" s="79" t="str">
        <x:v>Non : preuve humaine requise</x:v>
      </x:c>
      <x:c r="J744" s="79" t="str">
        <x:v>P1</x:v>
      </x:c>
      <x:c r="K744" s="79" t="str">
        <x:v>https://store.necaonline.com/blogs/news/predators-introducing-the-lost-tribe-from-our-series-6-action-figures</x:v>
      </x:c>
      <x:c r="L744" s="79" t="str">
        <x:v>Avancement technique indicatif 25 %</x:v>
      </x:c>
    </x:row>
    <x:row r="745" ht="29" customHeight="1">
      <x:c r="A745" s="79" t="str">
        <x:v>22_V136_Backlog</x:v>
      </x:c>
      <x:c r="B745" s="79" t="n">
        <x:v>61</x:v>
      </x:c>
      <x:c r="C745" s="79" t="str">
        <x:v>V136-lost-scout-03</x:v>
      </x:c>
      <x:c r="D745" s="79" t="str">
        <x:v>lost-scout</x:v>
      </x:c>
      <x:c r="E745" s="79" t="str">
        <x:v>Textures UV et matériaux</x:v>
      </x:c>
      <x:c r="F745" s="79" t="str">
        <x:v>OUVERT · textures UV/PNG 1:1 et patine à produire</x:v>
      </x:c>
      <x:c r="G745" s="79" t="str">
        <x:v>PNG indépendants aux bons détails et reflets</x:v>
      </x:c>
      <x:c r="H745" s="79" t="str">
        <x:v>ART 1:1</x:v>
      </x:c>
      <x:c r="I745" s="79" t="str">
        <x:v>Non : preuve humaine requise</x:v>
      </x:c>
      <x:c r="J745" s="79" t="str">
        <x:v>P1</x:v>
      </x:c>
      <x:c r="K745" s="79" t="str">
        <x:v>https://store.necaonline.com/blogs/news/predators-introducing-the-lost-tribe-from-our-series-6-action-figures</x:v>
      </x:c>
      <x:c r="L745" s="79" t="str">
        <x:v>Avancement technique indicatif 0 %</x:v>
      </x:c>
    </x:row>
    <x:row r="746" ht="29" customHeight="1">
      <x:c r="A746" s="79" t="str">
        <x:v>22_V136_Backlog</x:v>
      </x:c>
      <x:c r="B746" s="79" t="n">
        <x:v>62</x:v>
      </x:c>
      <x:c r="C746" s="79" t="str">
        <x:v>V136-lost-scout-04</x:v>
      </x:c>
      <x:c r="D746" s="79" t="str">
        <x:v>lost-scout</x:v>
      </x:c>
      <x:c r="E746" s="79" t="str">
        <x:v>Charnière et animations</x:v>
      </x:c>
      <x:c r="F746" s="79" t="str">
        <x:v>PARTIEL · capot CSS ; 3 gestes / rig 1:1 manquants</x:v>
      </x:c>
      <x:c r="G746" s="79" t="str">
        <x:v>Cohérence rig / armurerie / hologramme</x:v>
      </x:c>
      <x:c r="H746" s="79" t="str">
        <x:v>ART 1:1</x:v>
      </x:c>
      <x:c r="I746" s="79" t="str">
        <x:v>Non : preuve humaine requise</x:v>
      </x:c>
      <x:c r="J746" s="79" t="str">
        <x:v>P1</x:v>
      </x:c>
      <x:c r="K746" s="79" t="str">
        <x:v>https://store.necaonline.com/blogs/news/predators-introducing-the-lost-tribe-from-our-series-6-action-figures</x:v>
      </x:c>
      <x:c r="L746" s="79" t="str">
        <x:v>Avancement technique indicatif 25 %</x:v>
      </x:c>
    </x:row>
    <x:row r="747" ht="29" customHeight="1">
      <x:c r="A747" s="79" t="str">
        <x:v>22_V136_Backlog</x:v>
      </x:c>
      <x:c r="B747" s="79" t="n">
        <x:v>63</x:v>
      </x:c>
      <x:c r="C747" s="79" t="str">
        <x:v>V136-lost-scout-05</x:v>
      </x:c>
      <x:c r="D747" s="79" t="str">
        <x:v>lost-scout</x:v>
      </x:c>
      <x:c r="E747" s="79" t="str">
        <x:v>Rendu jeu et contrôle</x:v>
      </x:c>
      <x:c r="F747" s="79" t="str">
        <x:v>PARTIEL · rendu React + QA autonome, jeu complet à tester</x:v>
      </x:c>
      <x:c r="G747" s="79" t="str">
        <x:v>Comparaison toutes vues et modes</x:v>
      </x:c>
      <x:c r="H747" s="79" t="str">
        <x:v>ART 1:1</x:v>
      </x:c>
      <x:c r="I747" s="79" t="str">
        <x:v>Non : preuve humaine requise</x:v>
      </x:c>
      <x:c r="J747" s="79" t="str">
        <x:v>P1</x:v>
      </x:c>
      <x:c r="K747" s="79" t="str">
        <x:v>https://store.necaonline.com/blogs/news/predators-introducing-the-lost-tribe-from-our-series-6-action-figures</x:v>
      </x:c>
      <x:c r="L747" s="79" t="str">
        <x:v>Avancement technique indicatif 45 %</x:v>
      </x:c>
    </x:row>
    <x:row r="748" ht="29" customHeight="1">
      <x:c r="A748" s="79" t="str">
        <x:v>22_V136_Backlog</x:v>
      </x:c>
      <x:c r="B748" s="79" t="n">
        <x:v>64</x:v>
      </x:c>
      <x:c r="C748" s="79" t="str">
        <x:v>V136-lost-scout-06</x:v>
      </x:c>
      <x:c r="D748" s="79" t="str">
        <x:v>lost-scout</x:v>
      </x:c>
      <x:c r="E748" s="79" t="str">
        <x:v>Revue artistique et droits</x:v>
      </x:c>
      <x:c r="F748" s="79" t="str">
        <x:v>OUVERT · revue humaine et autorisation IP nécessaires</x:v>
      </x:c>
      <x:c r="G748" s="79" t="str">
        <x:v>Ne jamais certifier sans approbation manuelle</x:v>
      </x:c>
      <x:c r="H748" s="79" t="str">
        <x:v>ART 1:1</x:v>
      </x:c>
      <x:c r="I748" s="79" t="str">
        <x:v>Non : preuve humaine requise</x:v>
      </x:c>
      <x:c r="J748" s="79" t="str">
        <x:v>P1</x:v>
      </x:c>
      <x:c r="K748" s="79" t="str">
        <x:v>https://store.necaonline.com/blogs/news/predators-introducing-the-lost-tribe-from-our-series-6-action-figures</x:v>
      </x:c>
      <x:c r="L748" s="79" t="str">
        <x:v>Avancement technique indicatif 0 %</x:v>
      </x:c>
    </x:row>
    <x:row r="749" ht="29" customHeight="1">
      <x:c r="A749" s="79" t="str">
        <x:v>22_V136_Backlog</x:v>
      </x:c>
      <x:c r="B749" s="79" t="n">
        <x:v>65</x:v>
      </x:c>
      <x:c r="C749" s="79" t="str">
        <x:v>V136-lost-borg-01</x:v>
      </x:c>
      <x:c r="D749" s="79" t="str">
        <x:v>lost-borg</x:v>
      </x:c>
      <x:c r="E749" s="79" t="str">
        <x:v>Plan face/dessus/profil</x:v>
      </x:c>
      <x:c r="F749" s="79" t="str">
        <x:v>OUVERT · plusieurs vues source film/jeu non relevées</x:v>
      </x:c>
      <x:c r="G749" s="79" t="str">
        <x:v>Photo, prop, capture jeu propre au gauntlet</x:v>
      </x:c>
      <x:c r="H749" s="79" t="str">
        <x:v>ART 1:1</x:v>
      </x:c>
      <x:c r="I749" s="79" t="str">
        <x:v>Non : preuve humaine requise</x:v>
      </x:c>
      <x:c r="J749" s="79" t="str">
        <x:v>P1</x:v>
      </x:c>
      <x:c r="K749" s="79" t="str">
        <x:v>https://store.necaonline.com/blogs/news/predators-introducing-the-lost-tribe-from-our-series-6-action-figures</x:v>
      </x:c>
      <x:c r="L749" s="79" t="str">
        <x:v>Avancement technique indicatif 0 %</x:v>
      </x:c>
    </x:row>
    <x:row r="750" ht="29" customHeight="1">
      <x:c r="A750" s="79" t="str">
        <x:v>22_V136_Backlog</x:v>
      </x:c>
      <x:c r="B750" s="79" t="n">
        <x:v>66</x:v>
      </x:c>
      <x:c r="C750" s="79" t="str">
        <x:v>V136-lost-borg-02</x:v>
      </x:c>
      <x:c r="D750" s="79" t="str">
        <x:v>lost-borg</x:v>
      </x:c>
      <x:c r="E750" s="79" t="str">
        <x:v>Proportions et silhouette</x:v>
      </x:c>
      <x:c r="F750" s="79" t="str">
        <x:v>PARTIEL · silhouette SVG originale, proportions non mesurées</x:v>
      </x:c>
      <x:c r="G750" s="79" t="str">
        <x:v>Contrôle alignement poignet et pièces</x:v>
      </x:c>
      <x:c r="H750" s="79" t="str">
        <x:v>ART 1:1</x:v>
      </x:c>
      <x:c r="I750" s="79" t="str">
        <x:v>Non : preuve humaine requise</x:v>
      </x:c>
      <x:c r="J750" s="79" t="str">
        <x:v>P1</x:v>
      </x:c>
      <x:c r="K750" s="79" t="str">
        <x:v>https://store.necaonline.com/blogs/news/predators-introducing-the-lost-tribe-from-our-series-6-action-figures</x:v>
      </x:c>
      <x:c r="L750" s="79" t="str">
        <x:v>Avancement technique indicatif 25 %</x:v>
      </x:c>
    </x:row>
    <x:row r="751" ht="29" customHeight="1">
      <x:c r="A751" s="79" t="str">
        <x:v>22_V136_Backlog</x:v>
      </x:c>
      <x:c r="B751" s="79" t="n">
        <x:v>67</x:v>
      </x:c>
      <x:c r="C751" s="79" t="str">
        <x:v>V136-lost-borg-03</x:v>
      </x:c>
      <x:c r="D751" s="79" t="str">
        <x:v>lost-borg</x:v>
      </x:c>
      <x:c r="E751" s="79" t="str">
        <x:v>Textures UV et matériaux</x:v>
      </x:c>
      <x:c r="F751" s="79" t="str">
        <x:v>OUVERT · textures UV/PNG 1:1 et patine à produire</x:v>
      </x:c>
      <x:c r="G751" s="79" t="str">
        <x:v>PNG indépendants aux bons détails et reflets</x:v>
      </x:c>
      <x:c r="H751" s="79" t="str">
        <x:v>ART 1:1</x:v>
      </x:c>
      <x:c r="I751" s="79" t="str">
        <x:v>Non : preuve humaine requise</x:v>
      </x:c>
      <x:c r="J751" s="79" t="str">
        <x:v>P1</x:v>
      </x:c>
      <x:c r="K751" s="79" t="str">
        <x:v>https://store.necaonline.com/blogs/news/predators-introducing-the-lost-tribe-from-our-series-6-action-figures</x:v>
      </x:c>
      <x:c r="L751" s="79" t="str">
        <x:v>Avancement technique indicatif 0 %</x:v>
      </x:c>
    </x:row>
    <x:row r="752" ht="29" customHeight="1">
      <x:c r="A752" s="79" t="str">
        <x:v>22_V136_Backlog</x:v>
      </x:c>
      <x:c r="B752" s="79" t="n">
        <x:v>68</x:v>
      </x:c>
      <x:c r="C752" s="79" t="str">
        <x:v>V136-lost-borg-04</x:v>
      </x:c>
      <x:c r="D752" s="79" t="str">
        <x:v>lost-borg</x:v>
      </x:c>
      <x:c r="E752" s="79" t="str">
        <x:v>Charnière et animations</x:v>
      </x:c>
      <x:c r="F752" s="79" t="str">
        <x:v>PARTIEL · capot CSS ; 3 gestes / rig 1:1 manquants</x:v>
      </x:c>
      <x:c r="G752" s="79" t="str">
        <x:v>Cohérence rig / armurerie / hologramme</x:v>
      </x:c>
      <x:c r="H752" s="79" t="str">
        <x:v>ART 1:1</x:v>
      </x:c>
      <x:c r="I752" s="79" t="str">
        <x:v>Non : preuve humaine requise</x:v>
      </x:c>
      <x:c r="J752" s="79" t="str">
        <x:v>P1</x:v>
      </x:c>
      <x:c r="K752" s="79" t="str">
        <x:v>https://store.necaonline.com/blogs/news/predators-introducing-the-lost-tribe-from-our-series-6-action-figures</x:v>
      </x:c>
      <x:c r="L752" s="79" t="str">
        <x:v>Avancement technique indicatif 25 %</x:v>
      </x:c>
    </x:row>
    <x:row r="753" ht="29" customHeight="1">
      <x:c r="A753" s="79" t="str">
        <x:v>22_V136_Backlog</x:v>
      </x:c>
      <x:c r="B753" s="79" t="n">
        <x:v>69</x:v>
      </x:c>
      <x:c r="C753" s="79" t="str">
        <x:v>V136-lost-borg-05</x:v>
      </x:c>
      <x:c r="D753" s="79" t="str">
        <x:v>lost-borg</x:v>
      </x:c>
      <x:c r="E753" s="79" t="str">
        <x:v>Rendu jeu et contrôle</x:v>
      </x:c>
      <x:c r="F753" s="79" t="str">
        <x:v>PARTIEL · rendu React + QA autonome, jeu complet à tester</x:v>
      </x:c>
      <x:c r="G753" s="79" t="str">
        <x:v>Comparaison toutes vues et modes</x:v>
      </x:c>
      <x:c r="H753" s="79" t="str">
        <x:v>ART 1:1</x:v>
      </x:c>
      <x:c r="I753" s="79" t="str">
        <x:v>Non : preuve humaine requise</x:v>
      </x:c>
      <x:c r="J753" s="79" t="str">
        <x:v>P1</x:v>
      </x:c>
      <x:c r="K753" s="79" t="str">
        <x:v>https://store.necaonline.com/blogs/news/predators-introducing-the-lost-tribe-from-our-series-6-action-figures</x:v>
      </x:c>
      <x:c r="L753" s="79" t="str">
        <x:v>Avancement technique indicatif 45 %</x:v>
      </x:c>
    </x:row>
    <x:row r="754" ht="29" customHeight="1">
      <x:c r="A754" s="79" t="str">
        <x:v>22_V136_Backlog</x:v>
      </x:c>
      <x:c r="B754" s="79" t="n">
        <x:v>70</x:v>
      </x:c>
      <x:c r="C754" s="79" t="str">
        <x:v>V136-lost-borg-06</x:v>
      </x:c>
      <x:c r="D754" s="79" t="str">
        <x:v>lost-borg</x:v>
      </x:c>
      <x:c r="E754" s="79" t="str">
        <x:v>Revue artistique et droits</x:v>
      </x:c>
      <x:c r="F754" s="79" t="str">
        <x:v>OUVERT · revue humaine et autorisation IP nécessaires</x:v>
      </x:c>
      <x:c r="G754" s="79" t="str">
        <x:v>Ne jamais certifier sans approbation manuelle</x:v>
      </x:c>
      <x:c r="H754" s="79" t="str">
        <x:v>ART 1:1</x:v>
      </x:c>
      <x:c r="I754" s="79" t="str">
        <x:v>Non : preuve humaine requise</x:v>
      </x:c>
      <x:c r="J754" s="79" t="str">
        <x:v>P1</x:v>
      </x:c>
      <x:c r="K754" s="79" t="str">
        <x:v>https://store.necaonline.com/blogs/news/predators-introducing-the-lost-tribe-from-our-series-6-action-figures</x:v>
      </x:c>
      <x:c r="L754" s="79" t="str">
        <x:v>Avancement technique indicatif 0 %</x:v>
      </x:c>
    </x:row>
    <x:row r="755" ht="29" customHeight="1">
      <x:c r="A755" s="79" t="str">
        <x:v>22_V136_Backlog</x:v>
      </x:c>
      <x:c r="B755" s="79" t="n">
        <x:v>71</x:v>
      </x:c>
      <x:c r="C755" s="79" t="str">
        <x:v>V136-scar-01</x:v>
      </x:c>
      <x:c r="D755" s="79" t="str">
        <x:v>scar</x:v>
      </x:c>
      <x:c r="E755" s="79" t="str">
        <x:v>Plan face/dessus/profil</x:v>
      </x:c>
      <x:c r="F755" s="79" t="str">
        <x:v>OUVERT · plusieurs vues source film/jeu non relevées</x:v>
      </x:c>
      <x:c r="G755" s="79" t="str">
        <x:v>Photo, prop, capture jeu propre au gauntlet</x:v>
      </x:c>
      <x:c r="H755" s="79" t="str">
        <x:v>ART 1:1</x:v>
      </x:c>
      <x:c r="I755" s="79" t="str">
        <x:v>Non : preuve humaine requise</x:v>
      </x:c>
      <x:c r="J755" s="79" t="str">
        <x:v>P1</x:v>
      </x:c>
      <x:c r="K755" s="79" t="str">
        <x:v>https://predator.illfonic.com/</x:v>
      </x:c>
      <x:c r="L755" s="79" t="str">
        <x:v>Avancement technique indicatif 0 %</x:v>
      </x:c>
    </x:row>
    <x:row r="756" ht="29" customHeight="1">
      <x:c r="A756" s="79" t="str">
        <x:v>22_V136_Backlog</x:v>
      </x:c>
      <x:c r="B756" s="79" t="n">
        <x:v>72</x:v>
      </x:c>
      <x:c r="C756" s="79" t="str">
        <x:v>V136-scar-02</x:v>
      </x:c>
      <x:c r="D756" s="79" t="str">
        <x:v>scar</x:v>
      </x:c>
      <x:c r="E756" s="79" t="str">
        <x:v>Proportions et silhouette</x:v>
      </x:c>
      <x:c r="F756" s="79" t="str">
        <x:v>PARTIEL · silhouette SVG originale, proportions non mesurées</x:v>
      </x:c>
      <x:c r="G756" s="79" t="str">
        <x:v>Contrôle alignement poignet et pièces</x:v>
      </x:c>
      <x:c r="H756" s="79" t="str">
        <x:v>ART 1:1</x:v>
      </x:c>
      <x:c r="I756" s="79" t="str">
        <x:v>Non : preuve humaine requise</x:v>
      </x:c>
      <x:c r="J756" s="79" t="str">
        <x:v>P1</x:v>
      </x:c>
      <x:c r="K756" s="79" t="str">
        <x:v>https://predator.illfonic.com/</x:v>
      </x:c>
      <x:c r="L756" s="79" t="str">
        <x:v>Avancement technique indicatif 25 %</x:v>
      </x:c>
    </x:row>
    <x:row r="757" ht="29" customHeight="1">
      <x:c r="A757" s="79" t="str">
        <x:v>22_V136_Backlog</x:v>
      </x:c>
      <x:c r="B757" s="79" t="n">
        <x:v>73</x:v>
      </x:c>
      <x:c r="C757" s="79" t="str">
        <x:v>V136-scar-03</x:v>
      </x:c>
      <x:c r="D757" s="79" t="str">
        <x:v>scar</x:v>
      </x:c>
      <x:c r="E757" s="79" t="str">
        <x:v>Textures UV et matériaux</x:v>
      </x:c>
      <x:c r="F757" s="79" t="str">
        <x:v>OUVERT · textures UV/PNG 1:1 et patine à produire</x:v>
      </x:c>
      <x:c r="G757" s="79" t="str">
        <x:v>PNG indépendants aux bons détails et reflets</x:v>
      </x:c>
      <x:c r="H757" s="79" t="str">
        <x:v>ART 1:1</x:v>
      </x:c>
      <x:c r="I757" s="79" t="str">
        <x:v>Non : preuve humaine requise</x:v>
      </x:c>
      <x:c r="J757" s="79" t="str">
        <x:v>P1</x:v>
      </x:c>
      <x:c r="K757" s="79" t="str">
        <x:v>https://predator.illfonic.com/</x:v>
      </x:c>
      <x:c r="L757" s="79" t="str">
        <x:v>Avancement technique indicatif 0 %</x:v>
      </x:c>
    </x:row>
    <x:row r="758" ht="29" customHeight="1">
      <x:c r="A758" s="79" t="str">
        <x:v>22_V136_Backlog</x:v>
      </x:c>
      <x:c r="B758" s="79" t="n">
        <x:v>74</x:v>
      </x:c>
      <x:c r="C758" s="79" t="str">
        <x:v>V136-scar-04</x:v>
      </x:c>
      <x:c r="D758" s="79" t="str">
        <x:v>scar</x:v>
      </x:c>
      <x:c r="E758" s="79" t="str">
        <x:v>Charnière et animations</x:v>
      </x:c>
      <x:c r="F758" s="79" t="str">
        <x:v>PARTIEL · capot CSS ; 3 gestes / rig 1:1 manquants</x:v>
      </x:c>
      <x:c r="G758" s="79" t="str">
        <x:v>Cohérence rig / armurerie / hologramme</x:v>
      </x:c>
      <x:c r="H758" s="79" t="str">
        <x:v>ART 1:1</x:v>
      </x:c>
      <x:c r="I758" s="79" t="str">
        <x:v>Non : preuve humaine requise</x:v>
      </x:c>
      <x:c r="J758" s="79" t="str">
        <x:v>P1</x:v>
      </x:c>
      <x:c r="K758" s="79" t="str">
        <x:v>https://predator.illfonic.com/</x:v>
      </x:c>
      <x:c r="L758" s="79" t="str">
        <x:v>Avancement technique indicatif 25 %</x:v>
      </x:c>
    </x:row>
    <x:row r="759" ht="29" customHeight="1">
      <x:c r="A759" s="79" t="str">
        <x:v>22_V136_Backlog</x:v>
      </x:c>
      <x:c r="B759" s="79" t="n">
        <x:v>75</x:v>
      </x:c>
      <x:c r="C759" s="79" t="str">
        <x:v>V136-scar-05</x:v>
      </x:c>
      <x:c r="D759" s="79" t="str">
        <x:v>scar</x:v>
      </x:c>
      <x:c r="E759" s="79" t="str">
        <x:v>Rendu jeu et contrôle</x:v>
      </x:c>
      <x:c r="F759" s="79" t="str">
        <x:v>PARTIEL · rendu React + QA autonome, jeu complet à tester</x:v>
      </x:c>
      <x:c r="G759" s="79" t="str">
        <x:v>Comparaison toutes vues et modes</x:v>
      </x:c>
      <x:c r="H759" s="79" t="str">
        <x:v>ART 1:1</x:v>
      </x:c>
      <x:c r="I759" s="79" t="str">
        <x:v>Non : preuve humaine requise</x:v>
      </x:c>
      <x:c r="J759" s="79" t="str">
        <x:v>P1</x:v>
      </x:c>
      <x:c r="K759" s="79" t="str">
        <x:v>https://predator.illfonic.com/</x:v>
      </x:c>
      <x:c r="L759" s="79" t="str">
        <x:v>Avancement technique indicatif 45 %</x:v>
      </x:c>
    </x:row>
    <x:row r="760" ht="29" customHeight="1">
      <x:c r="A760" s="79" t="str">
        <x:v>22_V136_Backlog</x:v>
      </x:c>
      <x:c r="B760" s="79" t="n">
        <x:v>76</x:v>
      </x:c>
      <x:c r="C760" s="79" t="str">
        <x:v>V136-scar-06</x:v>
      </x:c>
      <x:c r="D760" s="79" t="str">
        <x:v>scar</x:v>
      </x:c>
      <x:c r="E760" s="79" t="str">
        <x:v>Revue artistique et droits</x:v>
      </x:c>
      <x:c r="F760" s="79" t="str">
        <x:v>OUVERT · revue humaine et autorisation IP nécessaires</x:v>
      </x:c>
      <x:c r="G760" s="79" t="str">
        <x:v>Ne jamais certifier sans approbation manuelle</x:v>
      </x:c>
      <x:c r="H760" s="79" t="str">
        <x:v>ART 1:1</x:v>
      </x:c>
      <x:c r="I760" s="79" t="str">
        <x:v>Non : preuve humaine requise</x:v>
      </x:c>
      <x:c r="J760" s="79" t="str">
        <x:v>P1</x:v>
      </x:c>
      <x:c r="K760" s="79" t="str">
        <x:v>https://predator.illfonic.com/</x:v>
      </x:c>
      <x:c r="L760" s="79" t="str">
        <x:v>Avancement technique indicatif 0 %</x:v>
      </x:c>
    </x:row>
    <x:row r="761" ht="29" customHeight="1">
      <x:c r="A761" s="79" t="str">
        <x:v>22_V136_Backlog</x:v>
      </x:c>
      <x:c r="B761" s="79" t="n">
        <x:v>77</x:v>
      </x:c>
      <x:c r="C761" s="79" t="str">
        <x:v>V136-celtic-01</x:v>
      </x:c>
      <x:c r="D761" s="79" t="str">
        <x:v>celtic</x:v>
      </x:c>
      <x:c r="E761" s="79" t="str">
        <x:v>Plan face/dessus/profil</x:v>
      </x:c>
      <x:c r="F761" s="79" t="str">
        <x:v>OUVERT · plusieurs vues source film/jeu non relevées</x:v>
      </x:c>
      <x:c r="G761" s="79" t="str">
        <x:v>Photo, prop, capture jeu propre au gauntlet</x:v>
      </x:c>
      <x:c r="H761" s="79" t="str">
        <x:v>ART 1:1</x:v>
      </x:c>
      <x:c r="I761" s="79" t="str">
        <x:v>Non : preuve humaine requise</x:v>
      </x:c>
      <x:c r="J761" s="79" t="str">
        <x:v>P1</x:v>
      </x:c>
      <x:c r="K761" s="79" t="str">
        <x:v>https://predator.illfonic.com/</x:v>
      </x:c>
      <x:c r="L761" s="79" t="str">
        <x:v>Avancement technique indicatif 0 %</x:v>
      </x:c>
    </x:row>
    <x:row r="762" ht="29" customHeight="1">
      <x:c r="A762" s="79" t="str">
        <x:v>22_V136_Backlog</x:v>
      </x:c>
      <x:c r="B762" s="79" t="n">
        <x:v>78</x:v>
      </x:c>
      <x:c r="C762" s="79" t="str">
        <x:v>V136-celtic-02</x:v>
      </x:c>
      <x:c r="D762" s="79" t="str">
        <x:v>celtic</x:v>
      </x:c>
      <x:c r="E762" s="79" t="str">
        <x:v>Proportions et silhouette</x:v>
      </x:c>
      <x:c r="F762" s="79" t="str">
        <x:v>PARTIEL · silhouette SVG originale, proportions non mesurées</x:v>
      </x:c>
      <x:c r="G762" s="79" t="str">
        <x:v>Contrôle alignement poignet et pièces</x:v>
      </x:c>
      <x:c r="H762" s="79" t="str">
        <x:v>ART 1:1</x:v>
      </x:c>
      <x:c r="I762" s="79" t="str">
        <x:v>Non : preuve humaine requise</x:v>
      </x:c>
      <x:c r="J762" s="79" t="str">
        <x:v>P1</x:v>
      </x:c>
      <x:c r="K762" s="79" t="str">
        <x:v>https://predator.illfonic.com/</x:v>
      </x:c>
      <x:c r="L762" s="79" t="str">
        <x:v>Avancement technique indicatif 25 %</x:v>
      </x:c>
    </x:row>
    <x:row r="763" ht="29" customHeight="1">
      <x:c r="A763" s="79" t="str">
        <x:v>22_V136_Backlog</x:v>
      </x:c>
      <x:c r="B763" s="79" t="n">
        <x:v>79</x:v>
      </x:c>
      <x:c r="C763" s="79" t="str">
        <x:v>V136-celtic-03</x:v>
      </x:c>
      <x:c r="D763" s="79" t="str">
        <x:v>celtic</x:v>
      </x:c>
      <x:c r="E763" s="79" t="str">
        <x:v>Textures UV et matériaux</x:v>
      </x:c>
      <x:c r="F763" s="79" t="str">
        <x:v>OUVERT · textures UV/PNG 1:1 et patine à produire</x:v>
      </x:c>
      <x:c r="G763" s="79" t="str">
        <x:v>PNG indépendants aux bons détails et reflets</x:v>
      </x:c>
      <x:c r="H763" s="79" t="str">
        <x:v>ART 1:1</x:v>
      </x:c>
      <x:c r="I763" s="79" t="str">
        <x:v>Non : preuve humaine requise</x:v>
      </x:c>
      <x:c r="J763" s="79" t="str">
        <x:v>P1</x:v>
      </x:c>
      <x:c r="K763" s="79" t="str">
        <x:v>https://predator.illfonic.com/</x:v>
      </x:c>
      <x:c r="L763" s="79" t="str">
        <x:v>Avancement technique indicatif 0 %</x:v>
      </x:c>
    </x:row>
    <x:row r="764" ht="29" customHeight="1">
      <x:c r="A764" s="79" t="str">
        <x:v>22_V136_Backlog</x:v>
      </x:c>
      <x:c r="B764" s="79" t="n">
        <x:v>80</x:v>
      </x:c>
      <x:c r="C764" s="79" t="str">
        <x:v>V136-celtic-04</x:v>
      </x:c>
      <x:c r="D764" s="79" t="str">
        <x:v>celtic</x:v>
      </x:c>
      <x:c r="E764" s="79" t="str">
        <x:v>Charnière et animations</x:v>
      </x:c>
      <x:c r="F764" s="79" t="str">
        <x:v>PARTIEL · capot CSS ; 3 gestes / rig 1:1 manquants</x:v>
      </x:c>
      <x:c r="G764" s="79" t="str">
        <x:v>Cohérence rig / armurerie / hologramme</x:v>
      </x:c>
      <x:c r="H764" s="79" t="str">
        <x:v>ART 1:1</x:v>
      </x:c>
      <x:c r="I764" s="79" t="str">
        <x:v>Non : preuve humaine requise</x:v>
      </x:c>
      <x:c r="J764" s="79" t="str">
        <x:v>P1</x:v>
      </x:c>
      <x:c r="K764" s="79" t="str">
        <x:v>https://predator.illfonic.com/</x:v>
      </x:c>
      <x:c r="L764" s="79" t="str">
        <x:v>Avancement technique indicatif 25 %</x:v>
      </x:c>
    </x:row>
    <x:row r="765" ht="29" customHeight="1">
      <x:c r="A765" s="79" t="str">
        <x:v>22_V136_Backlog</x:v>
      </x:c>
      <x:c r="B765" s="79" t="n">
        <x:v>81</x:v>
      </x:c>
      <x:c r="C765" s="79" t="str">
        <x:v>V136-celtic-05</x:v>
      </x:c>
      <x:c r="D765" s="79" t="str">
        <x:v>celtic</x:v>
      </x:c>
      <x:c r="E765" s="79" t="str">
        <x:v>Rendu jeu et contrôle</x:v>
      </x:c>
      <x:c r="F765" s="79" t="str">
        <x:v>PARTIEL · rendu React + QA autonome, jeu complet à tester</x:v>
      </x:c>
      <x:c r="G765" s="79" t="str">
        <x:v>Comparaison toutes vues et modes</x:v>
      </x:c>
      <x:c r="H765" s="79" t="str">
        <x:v>ART 1:1</x:v>
      </x:c>
      <x:c r="I765" s="79" t="str">
        <x:v>Non : preuve humaine requise</x:v>
      </x:c>
      <x:c r="J765" s="79" t="str">
        <x:v>P1</x:v>
      </x:c>
      <x:c r="K765" s="79" t="str">
        <x:v>https://predator.illfonic.com/</x:v>
      </x:c>
      <x:c r="L765" s="79" t="str">
        <x:v>Avancement technique indicatif 45 %</x:v>
      </x:c>
    </x:row>
    <x:row r="766" ht="29" customHeight="1">
      <x:c r="A766" s="79" t="str">
        <x:v>22_V136_Backlog</x:v>
      </x:c>
      <x:c r="B766" s="79" t="n">
        <x:v>82</x:v>
      </x:c>
      <x:c r="C766" s="79" t="str">
        <x:v>V136-celtic-06</x:v>
      </x:c>
      <x:c r="D766" s="79" t="str">
        <x:v>celtic</x:v>
      </x:c>
      <x:c r="E766" s="79" t="str">
        <x:v>Revue artistique et droits</x:v>
      </x:c>
      <x:c r="F766" s="79" t="str">
        <x:v>OUVERT · revue humaine et autorisation IP nécessaires</x:v>
      </x:c>
      <x:c r="G766" s="79" t="str">
        <x:v>Ne jamais certifier sans approbation manuelle</x:v>
      </x:c>
      <x:c r="H766" s="79" t="str">
        <x:v>ART 1:1</x:v>
      </x:c>
      <x:c r="I766" s="79" t="str">
        <x:v>Non : preuve humaine requise</x:v>
      </x:c>
      <x:c r="J766" s="79" t="str">
        <x:v>P1</x:v>
      </x:c>
      <x:c r="K766" s="79" t="str">
        <x:v>https://predator.illfonic.com/</x:v>
      </x:c>
      <x:c r="L766" s="79" t="str">
        <x:v>Avancement technique indicatif 0 %</x:v>
      </x:c>
    </x:row>
    <x:row r="767" ht="29" customHeight="1">
      <x:c r="A767" s="79" t="str">
        <x:v>22_V136_Backlog</x:v>
      </x:c>
      <x:c r="B767" s="79" t="n">
        <x:v>83</x:v>
      </x:c>
      <x:c r="C767" s="79" t="str">
        <x:v>V136-chopper-01</x:v>
      </x:c>
      <x:c r="D767" s="79" t="str">
        <x:v>chopper</x:v>
      </x:c>
      <x:c r="E767" s="79" t="str">
        <x:v>Plan face/dessus/profil</x:v>
      </x:c>
      <x:c r="F767" s="79" t="str">
        <x:v>OUVERT · plusieurs vues source film/jeu non relevées</x:v>
      </x:c>
      <x:c r="G767" s="79" t="str">
        <x:v>Photo, prop, capture jeu propre au gauntlet</x:v>
      </x:c>
      <x:c r="H767" s="79" t="str">
        <x:v>ART 1:1</x:v>
      </x:c>
      <x:c r="I767" s="79" t="str">
        <x:v>Non : preuve humaine requise</x:v>
      </x:c>
      <x:c r="J767" s="79" t="str">
        <x:v>P1</x:v>
      </x:c>
      <x:c r="K767" s="79" t="str">
        <x:v>https://predator.illfonic.com/</x:v>
      </x:c>
      <x:c r="L767" s="79" t="str">
        <x:v>Avancement technique indicatif 0 %</x:v>
      </x:c>
    </x:row>
    <x:row r="768" ht="29" customHeight="1">
      <x:c r="A768" s="79" t="str">
        <x:v>22_V136_Backlog</x:v>
      </x:c>
      <x:c r="B768" s="79" t="n">
        <x:v>84</x:v>
      </x:c>
      <x:c r="C768" s="79" t="str">
        <x:v>V136-chopper-02</x:v>
      </x:c>
      <x:c r="D768" s="79" t="str">
        <x:v>chopper</x:v>
      </x:c>
      <x:c r="E768" s="79" t="str">
        <x:v>Proportions et silhouette</x:v>
      </x:c>
      <x:c r="F768" s="79" t="str">
        <x:v>PARTIEL · silhouette SVG originale, proportions non mesurées</x:v>
      </x:c>
      <x:c r="G768" s="79" t="str">
        <x:v>Contrôle alignement poignet et pièces</x:v>
      </x:c>
      <x:c r="H768" s="79" t="str">
        <x:v>ART 1:1</x:v>
      </x:c>
      <x:c r="I768" s="79" t="str">
        <x:v>Non : preuve humaine requise</x:v>
      </x:c>
      <x:c r="J768" s="79" t="str">
        <x:v>P1</x:v>
      </x:c>
      <x:c r="K768" s="79" t="str">
        <x:v>https://predator.illfonic.com/</x:v>
      </x:c>
      <x:c r="L768" s="79" t="str">
        <x:v>Avancement technique indicatif 25 %</x:v>
      </x:c>
    </x:row>
    <x:row r="769" ht="29" customHeight="1">
      <x:c r="A769" s="79" t="str">
        <x:v>22_V136_Backlog</x:v>
      </x:c>
      <x:c r="B769" s="79" t="n">
        <x:v>85</x:v>
      </x:c>
      <x:c r="C769" s="79" t="str">
        <x:v>V136-chopper-03</x:v>
      </x:c>
      <x:c r="D769" s="79" t="str">
        <x:v>chopper</x:v>
      </x:c>
      <x:c r="E769" s="79" t="str">
        <x:v>Textures UV et matériaux</x:v>
      </x:c>
      <x:c r="F769" s="79" t="str">
        <x:v>OUVERT · textures UV/PNG 1:1 et patine à produire</x:v>
      </x:c>
      <x:c r="G769" s="79" t="str">
        <x:v>PNG indépendants aux bons détails et reflets</x:v>
      </x:c>
      <x:c r="H769" s="79" t="str">
        <x:v>ART 1:1</x:v>
      </x:c>
      <x:c r="I769" s="79" t="str">
        <x:v>Non : preuve humaine requise</x:v>
      </x:c>
      <x:c r="J769" s="79" t="str">
        <x:v>P1</x:v>
      </x:c>
      <x:c r="K769" s="79" t="str">
        <x:v>https://predator.illfonic.com/</x:v>
      </x:c>
      <x:c r="L769" s="79" t="str">
        <x:v>Avancement technique indicatif 0 %</x:v>
      </x:c>
    </x:row>
    <x:row r="770" ht="29" customHeight="1">
      <x:c r="A770" s="79" t="str">
        <x:v>22_V136_Backlog</x:v>
      </x:c>
      <x:c r="B770" s="79" t="n">
        <x:v>86</x:v>
      </x:c>
      <x:c r="C770" s="79" t="str">
        <x:v>V136-chopper-04</x:v>
      </x:c>
      <x:c r="D770" s="79" t="str">
        <x:v>chopper</x:v>
      </x:c>
      <x:c r="E770" s="79" t="str">
        <x:v>Charnière et animations</x:v>
      </x:c>
      <x:c r="F770" s="79" t="str">
        <x:v>PARTIEL · capot CSS ; 3 gestes / rig 1:1 manquants</x:v>
      </x:c>
      <x:c r="G770" s="79" t="str">
        <x:v>Cohérence rig / armurerie / hologramme</x:v>
      </x:c>
      <x:c r="H770" s="79" t="str">
        <x:v>ART 1:1</x:v>
      </x:c>
      <x:c r="I770" s="79" t="str">
        <x:v>Non : preuve humaine requise</x:v>
      </x:c>
      <x:c r="J770" s="79" t="str">
        <x:v>P1</x:v>
      </x:c>
      <x:c r="K770" s="79" t="str">
        <x:v>https://predator.illfonic.com/</x:v>
      </x:c>
      <x:c r="L770" s="79" t="str">
        <x:v>Avancement technique indicatif 25 %</x:v>
      </x:c>
    </x:row>
    <x:row r="771" ht="29" customHeight="1">
      <x:c r="A771" s="79" t="str">
        <x:v>22_V136_Backlog</x:v>
      </x:c>
      <x:c r="B771" s="79" t="n">
        <x:v>87</x:v>
      </x:c>
      <x:c r="C771" s="79" t="str">
        <x:v>V136-chopper-05</x:v>
      </x:c>
      <x:c r="D771" s="79" t="str">
        <x:v>chopper</x:v>
      </x:c>
      <x:c r="E771" s="79" t="str">
        <x:v>Rendu jeu et contrôle</x:v>
      </x:c>
      <x:c r="F771" s="79" t="str">
        <x:v>PARTIEL · rendu React + QA autonome, jeu complet à tester</x:v>
      </x:c>
      <x:c r="G771" s="79" t="str">
        <x:v>Comparaison toutes vues et modes</x:v>
      </x:c>
      <x:c r="H771" s="79" t="str">
        <x:v>ART 1:1</x:v>
      </x:c>
      <x:c r="I771" s="79" t="str">
        <x:v>Non : preuve humaine requise</x:v>
      </x:c>
      <x:c r="J771" s="79" t="str">
        <x:v>P1</x:v>
      </x:c>
      <x:c r="K771" s="79" t="str">
        <x:v>https://predator.illfonic.com/</x:v>
      </x:c>
      <x:c r="L771" s="79" t="str">
        <x:v>Avancement technique indicatif 45 %</x:v>
      </x:c>
    </x:row>
    <x:row r="772" ht="29" customHeight="1">
      <x:c r="A772" s="79" t="str">
        <x:v>22_V136_Backlog</x:v>
      </x:c>
      <x:c r="B772" s="79" t="n">
        <x:v>88</x:v>
      </x:c>
      <x:c r="C772" s="79" t="str">
        <x:v>V136-chopper-06</x:v>
      </x:c>
      <x:c r="D772" s="79" t="str">
        <x:v>chopper</x:v>
      </x:c>
      <x:c r="E772" s="79" t="str">
        <x:v>Revue artistique et droits</x:v>
      </x:c>
      <x:c r="F772" s="79" t="str">
        <x:v>OUVERT · revue humaine et autorisation IP nécessaires</x:v>
      </x:c>
      <x:c r="G772" s="79" t="str">
        <x:v>Ne jamais certifier sans approbation manuelle</x:v>
      </x:c>
      <x:c r="H772" s="79" t="str">
        <x:v>ART 1:1</x:v>
      </x:c>
      <x:c r="I772" s="79" t="str">
        <x:v>Non : preuve humaine requise</x:v>
      </x:c>
      <x:c r="J772" s="79" t="str">
        <x:v>P1</x:v>
      </x:c>
      <x:c r="K772" s="79" t="str">
        <x:v>https://predator.illfonic.com/</x:v>
      </x:c>
      <x:c r="L772" s="79" t="str">
        <x:v>Avancement technique indicatif 0 %</x:v>
      </x:c>
    </x:row>
    <x:row r="773" ht="29" customHeight="1">
      <x:c r="A773" s="79" t="str">
        <x:v>22_V136_Backlog</x:v>
      </x:c>
      <x:c r="B773" s="79" t="n">
        <x:v>89</x:v>
      </x:c>
      <x:c r="C773" s="79" t="str">
        <x:v>V136-avp-elder-01</x:v>
      </x:c>
      <x:c r="D773" s="79" t="str">
        <x:v>avp-elder</x:v>
      </x:c>
      <x:c r="E773" s="79" t="str">
        <x:v>Plan face/dessus/profil</x:v>
      </x:c>
      <x:c r="F773" s="79" t="str">
        <x:v>OUVERT · plusieurs vues source film/jeu non relevées</x:v>
      </x:c>
      <x:c r="G773" s="79" t="str">
        <x:v>Photo, prop, capture jeu propre au gauntlet</x:v>
      </x:c>
      <x:c r="H773" s="79" t="str">
        <x:v>ART 1:1</x:v>
      </x:c>
      <x:c r="I773" s="79" t="str">
        <x:v>Non : preuve humaine requise</x:v>
      </x:c>
      <x:c r="J773" s="79" t="str">
        <x:v>P1</x:v>
      </x:c>
      <x:c r="K773" s="79" t="str">
        <x:v>https://www.avpgalaxy.net/merch/neca/predator/series/</x:v>
      </x:c>
      <x:c r="L773" s="79" t="str">
        <x:v>Avancement technique indicatif 0 %</x:v>
      </x:c>
    </x:row>
    <x:row r="774" ht="29" customHeight="1">
      <x:c r="A774" s="79" t="str">
        <x:v>22_V136_Backlog</x:v>
      </x:c>
      <x:c r="B774" s="79" t="n">
        <x:v>90</x:v>
      </x:c>
      <x:c r="C774" s="79" t="str">
        <x:v>V136-avp-elder-02</x:v>
      </x:c>
      <x:c r="D774" s="79" t="str">
        <x:v>avp-elder</x:v>
      </x:c>
      <x:c r="E774" s="79" t="str">
        <x:v>Proportions et silhouette</x:v>
      </x:c>
      <x:c r="F774" s="79" t="str">
        <x:v>PARTIEL · silhouette SVG originale, proportions non mesurées</x:v>
      </x:c>
      <x:c r="G774" s="79" t="str">
        <x:v>Contrôle alignement poignet et pièces</x:v>
      </x:c>
      <x:c r="H774" s="79" t="str">
        <x:v>ART 1:1</x:v>
      </x:c>
      <x:c r="I774" s="79" t="str">
        <x:v>Non : preuve humaine requise</x:v>
      </x:c>
      <x:c r="J774" s="79" t="str">
        <x:v>P1</x:v>
      </x:c>
      <x:c r="K774" s="79" t="str">
        <x:v>https://www.avpgalaxy.net/merch/neca/predator/series/</x:v>
      </x:c>
      <x:c r="L774" s="79" t="str">
        <x:v>Avancement technique indicatif 25 %</x:v>
      </x:c>
    </x:row>
    <x:row r="775" ht="29" customHeight="1">
      <x:c r="A775" s="79" t="str">
        <x:v>22_V136_Backlog</x:v>
      </x:c>
      <x:c r="B775" s="79" t="n">
        <x:v>91</x:v>
      </x:c>
      <x:c r="C775" s="79" t="str">
        <x:v>V136-avp-elder-03</x:v>
      </x:c>
      <x:c r="D775" s="79" t="str">
        <x:v>avp-elder</x:v>
      </x:c>
      <x:c r="E775" s="79" t="str">
        <x:v>Textures UV et matériaux</x:v>
      </x:c>
      <x:c r="F775" s="79" t="str">
        <x:v>OUVERT · textures UV/PNG 1:1 et patine à produire</x:v>
      </x:c>
      <x:c r="G775" s="79" t="str">
        <x:v>PNG indépendants aux bons détails et reflets</x:v>
      </x:c>
      <x:c r="H775" s="79" t="str">
        <x:v>ART 1:1</x:v>
      </x:c>
      <x:c r="I775" s="79" t="str">
        <x:v>Non : preuve humaine requise</x:v>
      </x:c>
      <x:c r="J775" s="79" t="str">
        <x:v>P1</x:v>
      </x:c>
      <x:c r="K775" s="79" t="str">
        <x:v>https://www.avpgalaxy.net/merch/neca/predator/series/</x:v>
      </x:c>
      <x:c r="L775" s="79" t="str">
        <x:v>Avancement technique indicatif 0 %</x:v>
      </x:c>
    </x:row>
    <x:row r="776" ht="29" customHeight="1">
      <x:c r="A776" s="79" t="str">
        <x:v>22_V136_Backlog</x:v>
      </x:c>
      <x:c r="B776" s="79" t="n">
        <x:v>92</x:v>
      </x:c>
      <x:c r="C776" s="79" t="str">
        <x:v>V136-avp-elder-04</x:v>
      </x:c>
      <x:c r="D776" s="79" t="str">
        <x:v>avp-elder</x:v>
      </x:c>
      <x:c r="E776" s="79" t="str">
        <x:v>Charnière et animations</x:v>
      </x:c>
      <x:c r="F776" s="79" t="str">
        <x:v>PARTIEL · capot CSS ; 3 gestes / rig 1:1 manquants</x:v>
      </x:c>
      <x:c r="G776" s="79" t="str">
        <x:v>Cohérence rig / armurerie / hologramme</x:v>
      </x:c>
      <x:c r="H776" s="79" t="str">
        <x:v>ART 1:1</x:v>
      </x:c>
      <x:c r="I776" s="79" t="str">
        <x:v>Non : preuve humaine requise</x:v>
      </x:c>
      <x:c r="J776" s="79" t="str">
        <x:v>P1</x:v>
      </x:c>
      <x:c r="K776" s="79" t="str">
        <x:v>https://www.avpgalaxy.net/merch/neca/predator/series/</x:v>
      </x:c>
      <x:c r="L776" s="79" t="str">
        <x:v>Avancement technique indicatif 25 %</x:v>
      </x:c>
    </x:row>
    <x:row r="777" ht="29" customHeight="1">
      <x:c r="A777" s="79" t="str">
        <x:v>22_V136_Backlog</x:v>
      </x:c>
      <x:c r="B777" s="79" t="n">
        <x:v>93</x:v>
      </x:c>
      <x:c r="C777" s="79" t="str">
        <x:v>V136-avp-elder-05</x:v>
      </x:c>
      <x:c r="D777" s="79" t="str">
        <x:v>avp-elder</x:v>
      </x:c>
      <x:c r="E777" s="79" t="str">
        <x:v>Rendu jeu et contrôle</x:v>
      </x:c>
      <x:c r="F777" s="79" t="str">
        <x:v>PARTIEL · rendu React + QA autonome, jeu complet à tester</x:v>
      </x:c>
      <x:c r="G777" s="79" t="str">
        <x:v>Comparaison toutes vues et modes</x:v>
      </x:c>
      <x:c r="H777" s="79" t="str">
        <x:v>ART 1:1</x:v>
      </x:c>
      <x:c r="I777" s="79" t="str">
        <x:v>Non : preuve humaine requise</x:v>
      </x:c>
      <x:c r="J777" s="79" t="str">
        <x:v>P1</x:v>
      </x:c>
      <x:c r="K777" s="79" t="str">
        <x:v>https://www.avpgalaxy.net/merch/neca/predator/series/</x:v>
      </x:c>
      <x:c r="L777" s="79" t="str">
        <x:v>Avancement technique indicatif 45 %</x:v>
      </x:c>
    </x:row>
    <x:row r="778" ht="29" customHeight="1">
      <x:c r="A778" s="79" t="str">
        <x:v>22_V136_Backlog</x:v>
      </x:c>
      <x:c r="B778" s="79" t="n">
        <x:v>94</x:v>
      </x:c>
      <x:c r="C778" s="79" t="str">
        <x:v>V136-avp-elder-06</x:v>
      </x:c>
      <x:c r="D778" s="79" t="str">
        <x:v>avp-elder</x:v>
      </x:c>
      <x:c r="E778" s="79" t="str">
        <x:v>Revue artistique et droits</x:v>
      </x:c>
      <x:c r="F778" s="79" t="str">
        <x:v>OUVERT · revue humaine et autorisation IP nécessaires</x:v>
      </x:c>
      <x:c r="G778" s="79" t="str">
        <x:v>Ne jamais certifier sans approbation manuelle</x:v>
      </x:c>
      <x:c r="H778" s="79" t="str">
        <x:v>ART 1:1</x:v>
      </x:c>
      <x:c r="I778" s="79" t="str">
        <x:v>Non : preuve humaine requise</x:v>
      </x:c>
      <x:c r="J778" s="79" t="str">
        <x:v>P1</x:v>
      </x:c>
      <x:c r="K778" s="79" t="str">
        <x:v>https://www.avpgalaxy.net/merch/neca/predator/series/</x:v>
      </x:c>
      <x:c r="L778" s="79" t="str">
        <x:v>Avancement technique indicatif 0 %</x:v>
      </x:c>
    </x:row>
    <x:row r="779" ht="29" customHeight="1">
      <x:c r="A779" s="79" t="str">
        <x:v>22_V136_Backlog</x:v>
      </x:c>
      <x:c r="B779" s="79" t="n">
        <x:v>95</x:v>
      </x:c>
      <x:c r="C779" s="79" t="str">
        <x:v>V136-wolf-01</x:v>
      </x:c>
      <x:c r="D779" s="79" t="str">
        <x:v>wolf</x:v>
      </x:c>
      <x:c r="E779" s="79" t="str">
        <x:v>Plan face/dessus/profil</x:v>
      </x:c>
      <x:c r="F779" s="79" t="str">
        <x:v>OUVERT · plusieurs vues source film/jeu non relevées</x:v>
      </x:c>
      <x:c r="G779" s="79" t="str">
        <x:v>Photo, prop, capture jeu propre au gauntlet</x:v>
      </x:c>
      <x:c r="H779" s="79" t="str">
        <x:v>ART 1:1</x:v>
      </x:c>
      <x:c r="I779" s="79" t="str">
        <x:v>Non : preuve humaine requise</x:v>
      </x:c>
      <x:c r="J779" s="79" t="str">
        <x:v>P0</x:v>
      </x:c>
      <x:c r="K779" s="79" t="str">
        <x:v>https://propstoreauction.com/lot-details/index/catalog/347/lot/112704</x:v>
      </x:c>
      <x:c r="L779" s="79" t="str">
        <x:v>Avancement technique indicatif 0 %</x:v>
      </x:c>
    </x:row>
    <x:row r="780" ht="29" customHeight="1">
      <x:c r="A780" s="79" t="str">
        <x:v>22_V136_Backlog</x:v>
      </x:c>
      <x:c r="B780" s="79" t="n">
        <x:v>96</x:v>
      </x:c>
      <x:c r="C780" s="79" t="str">
        <x:v>V136-wolf-02</x:v>
      </x:c>
      <x:c r="D780" s="79" t="str">
        <x:v>wolf</x:v>
      </x:c>
      <x:c r="E780" s="79" t="str">
        <x:v>Proportions et silhouette</x:v>
      </x:c>
      <x:c r="F780" s="79" t="str">
        <x:v>PARTIEL · silhouette SVG originale, proportions non mesurées</x:v>
      </x:c>
      <x:c r="G780" s="79" t="str">
        <x:v>Contrôle alignement poignet et pièces</x:v>
      </x:c>
      <x:c r="H780" s="79" t="str">
        <x:v>ART 1:1</x:v>
      </x:c>
      <x:c r="I780" s="79" t="str">
        <x:v>Non : preuve humaine requise</x:v>
      </x:c>
      <x:c r="J780" s="79" t="str">
        <x:v>P0</x:v>
      </x:c>
      <x:c r="K780" s="79" t="str">
        <x:v>https://propstoreauction.com/lot-details/index/catalog/347/lot/112704</x:v>
      </x:c>
      <x:c r="L780" s="79" t="str">
        <x:v>Avancement technique indicatif 25 %</x:v>
      </x:c>
    </x:row>
    <x:row r="781" ht="29" customHeight="1">
      <x:c r="A781" s="79" t="str">
        <x:v>22_V136_Backlog</x:v>
      </x:c>
      <x:c r="B781" s="79" t="n">
        <x:v>97</x:v>
      </x:c>
      <x:c r="C781" s="79" t="str">
        <x:v>V136-wolf-03</x:v>
      </x:c>
      <x:c r="D781" s="79" t="str">
        <x:v>wolf</x:v>
      </x:c>
      <x:c r="E781" s="79" t="str">
        <x:v>Textures UV et matériaux</x:v>
      </x:c>
      <x:c r="F781" s="79" t="str">
        <x:v>OUVERT · textures UV/PNG 1:1 et patine à produire</x:v>
      </x:c>
      <x:c r="G781" s="79" t="str">
        <x:v>PNG indépendants aux bons détails et reflets</x:v>
      </x:c>
      <x:c r="H781" s="79" t="str">
        <x:v>ART 1:1</x:v>
      </x:c>
      <x:c r="I781" s="79" t="str">
        <x:v>Non : preuve humaine requise</x:v>
      </x:c>
      <x:c r="J781" s="79" t="str">
        <x:v>P0</x:v>
      </x:c>
      <x:c r="K781" s="79" t="str">
        <x:v>https://propstoreauction.com/lot-details/index/catalog/347/lot/112704</x:v>
      </x:c>
      <x:c r="L781" s="79" t="str">
        <x:v>Avancement technique indicatif 0 %</x:v>
      </x:c>
    </x:row>
    <x:row r="782" ht="29" customHeight="1">
      <x:c r="A782" s="79" t="str">
        <x:v>22_V136_Backlog</x:v>
      </x:c>
      <x:c r="B782" s="79" t="n">
        <x:v>98</x:v>
      </x:c>
      <x:c r="C782" s="79" t="str">
        <x:v>V136-wolf-04</x:v>
      </x:c>
      <x:c r="D782" s="79" t="str">
        <x:v>wolf</x:v>
      </x:c>
      <x:c r="E782" s="79" t="str">
        <x:v>Charnière et animations</x:v>
      </x:c>
      <x:c r="F782" s="79" t="str">
        <x:v>PARTIEL · capot CSS ; 3 gestes / rig 1:1 manquants</x:v>
      </x:c>
      <x:c r="G782" s="79" t="str">
        <x:v>Cohérence rig / armurerie / hologramme</x:v>
      </x:c>
      <x:c r="H782" s="79" t="str">
        <x:v>ART 1:1</x:v>
      </x:c>
      <x:c r="I782" s="79" t="str">
        <x:v>Non : preuve humaine requise</x:v>
      </x:c>
      <x:c r="J782" s="79" t="str">
        <x:v>P0</x:v>
      </x:c>
      <x:c r="K782" s="79" t="str">
        <x:v>https://propstoreauction.com/lot-details/index/catalog/347/lot/112704</x:v>
      </x:c>
      <x:c r="L782" s="79" t="str">
        <x:v>Avancement technique indicatif 25 %</x:v>
      </x:c>
    </x:row>
    <x:row r="783" ht="29" customHeight="1">
      <x:c r="A783" s="79" t="str">
        <x:v>22_V136_Backlog</x:v>
      </x:c>
      <x:c r="B783" s="79" t="n">
        <x:v>99</x:v>
      </x:c>
      <x:c r="C783" s="79" t="str">
        <x:v>V136-wolf-05</x:v>
      </x:c>
      <x:c r="D783" s="79" t="str">
        <x:v>wolf</x:v>
      </x:c>
      <x:c r="E783" s="79" t="str">
        <x:v>Rendu jeu et contrôle</x:v>
      </x:c>
      <x:c r="F783" s="79" t="str">
        <x:v>PARTIEL · rendu React + QA autonome, jeu complet à tester</x:v>
      </x:c>
      <x:c r="G783" s="79" t="str">
        <x:v>Comparaison toutes vues et modes</x:v>
      </x:c>
      <x:c r="H783" s="79" t="str">
        <x:v>ART 1:1</x:v>
      </x:c>
      <x:c r="I783" s="79" t="str">
        <x:v>Non : preuve humaine requise</x:v>
      </x:c>
      <x:c r="J783" s="79" t="str">
        <x:v>P0</x:v>
      </x:c>
      <x:c r="K783" s="79" t="str">
        <x:v>https://propstoreauction.com/lot-details/index/catalog/347/lot/112704</x:v>
      </x:c>
      <x:c r="L783" s="79" t="str">
        <x:v>Avancement technique indicatif 45 %</x:v>
      </x:c>
    </x:row>
    <x:row r="784" ht="29" customHeight="1">
      <x:c r="A784" s="79" t="str">
        <x:v>22_V136_Backlog</x:v>
      </x:c>
      <x:c r="B784" s="79" t="n">
        <x:v>100</x:v>
      </x:c>
      <x:c r="C784" s="79" t="str">
        <x:v>V136-wolf-06</x:v>
      </x:c>
      <x:c r="D784" s="79" t="str">
        <x:v>wolf</x:v>
      </x:c>
      <x:c r="E784" s="79" t="str">
        <x:v>Revue artistique et droits</x:v>
      </x:c>
      <x:c r="F784" s="79" t="str">
        <x:v>OUVERT · revue humaine et autorisation IP nécessaires</x:v>
      </x:c>
      <x:c r="G784" s="79" t="str">
        <x:v>Ne jamais certifier sans approbation manuelle</x:v>
      </x:c>
      <x:c r="H784" s="79" t="str">
        <x:v>ART 1:1</x:v>
      </x:c>
      <x:c r="I784" s="79" t="str">
        <x:v>Non : preuve humaine requise</x:v>
      </x:c>
      <x:c r="J784" s="79" t="str">
        <x:v>P0</x:v>
      </x:c>
      <x:c r="K784" s="79" t="str">
        <x:v>https://propstoreauction.com/lot-details/index/catalog/347/lot/112704</x:v>
      </x:c>
      <x:c r="L784" s="79" t="str">
        <x:v>Avancement technique indicatif 0 %</x:v>
      </x:c>
    </x:row>
    <x:row r="785" ht="29" customHeight="1">
      <x:c r="A785" s="79" t="str">
        <x:v>22_V136_Backlog</x:v>
      </x:c>
      <x:c r="B785" s="79" t="n">
        <x:v>101</x:v>
      </x:c>
      <x:c r="C785" s="79" t="str">
        <x:v>V136-captured-classic-01</x:v>
      </x:c>
      <x:c r="D785" s="79" t="str">
        <x:v>captured-classic</x:v>
      </x:c>
      <x:c r="E785" s="79" t="str">
        <x:v>Plan face/dessus/profil</x:v>
      </x:c>
      <x:c r="F785" s="79" t="str">
        <x:v>OUVERT · plusieurs vues source film/jeu non relevées</x:v>
      </x:c>
      <x:c r="G785" s="79" t="str">
        <x:v>Photo, prop, capture jeu propre au gauntlet</x:v>
      </x:c>
      <x:c r="H785" s="79" t="str">
        <x:v>ART 1:1</x:v>
      </x:c>
      <x:c r="I785" s="79" t="str">
        <x:v>Non : preuve humaine requise</x:v>
      </x:c>
      <x:c r="J785" s="79" t="str">
        <x:v>P1</x:v>
      </x:c>
      <x:c r="K785" s="79" t="str">
        <x:v>https://predator.illfonic.com/</x:v>
      </x:c>
      <x:c r="L785" s="79" t="str">
        <x:v>Avancement technique indicatif 0 %</x:v>
      </x:c>
    </x:row>
    <x:row r="786" ht="29" customHeight="1">
      <x:c r="A786" s="79" t="str">
        <x:v>22_V136_Backlog</x:v>
      </x:c>
      <x:c r="B786" s="79" t="n">
        <x:v>102</x:v>
      </x:c>
      <x:c r="C786" s="79" t="str">
        <x:v>V136-captured-classic-02</x:v>
      </x:c>
      <x:c r="D786" s="79" t="str">
        <x:v>captured-classic</x:v>
      </x:c>
      <x:c r="E786" s="79" t="str">
        <x:v>Proportions et silhouette</x:v>
      </x:c>
      <x:c r="F786" s="79" t="str">
        <x:v>PARTIEL · silhouette SVG originale, proportions non mesurées</x:v>
      </x:c>
      <x:c r="G786" s="79" t="str">
        <x:v>Contrôle alignement poignet et pièces</x:v>
      </x:c>
      <x:c r="H786" s="79" t="str">
        <x:v>ART 1:1</x:v>
      </x:c>
      <x:c r="I786" s="79" t="str">
        <x:v>Non : preuve humaine requise</x:v>
      </x:c>
      <x:c r="J786" s="79" t="str">
        <x:v>P1</x:v>
      </x:c>
      <x:c r="K786" s="79" t="str">
        <x:v>https://predator.illfonic.com/</x:v>
      </x:c>
      <x:c r="L786" s="79" t="str">
        <x:v>Avancement technique indicatif 25 %</x:v>
      </x:c>
    </x:row>
    <x:row r="787" ht="29" customHeight="1">
      <x:c r="A787" s="79" t="str">
        <x:v>22_V136_Backlog</x:v>
      </x:c>
      <x:c r="B787" s="79" t="n">
        <x:v>103</x:v>
      </x:c>
      <x:c r="C787" s="79" t="str">
        <x:v>V136-captured-classic-03</x:v>
      </x:c>
      <x:c r="D787" s="79" t="str">
        <x:v>captured-classic</x:v>
      </x:c>
      <x:c r="E787" s="79" t="str">
        <x:v>Textures UV et matériaux</x:v>
      </x:c>
      <x:c r="F787" s="79" t="str">
        <x:v>OUVERT · textures UV/PNG 1:1 et patine à produire</x:v>
      </x:c>
      <x:c r="G787" s="79" t="str">
        <x:v>PNG indépendants aux bons détails et reflets</x:v>
      </x:c>
      <x:c r="H787" s="79" t="str">
        <x:v>ART 1:1</x:v>
      </x:c>
      <x:c r="I787" s="79" t="str">
        <x:v>Non : preuve humaine requise</x:v>
      </x:c>
      <x:c r="J787" s="79" t="str">
        <x:v>P1</x:v>
      </x:c>
      <x:c r="K787" s="79" t="str">
        <x:v>https://predator.illfonic.com/</x:v>
      </x:c>
      <x:c r="L787" s="79" t="str">
        <x:v>Avancement technique indicatif 0 %</x:v>
      </x:c>
    </x:row>
    <x:row r="788" ht="29" customHeight="1">
      <x:c r="A788" s="79" t="str">
        <x:v>22_V136_Backlog</x:v>
      </x:c>
      <x:c r="B788" s="79" t="n">
        <x:v>104</x:v>
      </x:c>
      <x:c r="C788" s="79" t="str">
        <x:v>V136-captured-classic-04</x:v>
      </x:c>
      <x:c r="D788" s="79" t="str">
        <x:v>captured-classic</x:v>
      </x:c>
      <x:c r="E788" s="79" t="str">
        <x:v>Charnière et animations</x:v>
      </x:c>
      <x:c r="F788" s="79" t="str">
        <x:v>PARTIEL · capot CSS ; 3 gestes / rig 1:1 manquants</x:v>
      </x:c>
      <x:c r="G788" s="79" t="str">
        <x:v>Cohérence rig / armurerie / hologramme</x:v>
      </x:c>
      <x:c r="H788" s="79" t="str">
        <x:v>ART 1:1</x:v>
      </x:c>
      <x:c r="I788" s="79" t="str">
        <x:v>Non : preuve humaine requise</x:v>
      </x:c>
      <x:c r="J788" s="79" t="str">
        <x:v>P1</x:v>
      </x:c>
      <x:c r="K788" s="79" t="str">
        <x:v>https://predator.illfonic.com/</x:v>
      </x:c>
      <x:c r="L788" s="79" t="str">
        <x:v>Avancement technique indicatif 25 %</x:v>
      </x:c>
    </x:row>
    <x:row r="789" ht="29" customHeight="1">
      <x:c r="A789" s="79" t="str">
        <x:v>22_V136_Backlog</x:v>
      </x:c>
      <x:c r="B789" s="79" t="n">
        <x:v>105</x:v>
      </x:c>
      <x:c r="C789" s="79" t="str">
        <x:v>V136-captured-classic-05</x:v>
      </x:c>
      <x:c r="D789" s="79" t="str">
        <x:v>captured-classic</x:v>
      </x:c>
      <x:c r="E789" s="79" t="str">
        <x:v>Rendu jeu et contrôle</x:v>
      </x:c>
      <x:c r="F789" s="79" t="str">
        <x:v>PARTIEL · rendu React + QA autonome, jeu complet à tester</x:v>
      </x:c>
      <x:c r="G789" s="79" t="str">
        <x:v>Comparaison toutes vues et modes</x:v>
      </x:c>
      <x:c r="H789" s="79" t="str">
        <x:v>ART 1:1</x:v>
      </x:c>
      <x:c r="I789" s="79" t="str">
        <x:v>Non : preuve humaine requise</x:v>
      </x:c>
      <x:c r="J789" s="79" t="str">
        <x:v>P1</x:v>
      </x:c>
      <x:c r="K789" s="79" t="str">
        <x:v>https://predator.illfonic.com/</x:v>
      </x:c>
      <x:c r="L789" s="79" t="str">
        <x:v>Avancement technique indicatif 45 %</x:v>
      </x:c>
    </x:row>
    <x:row r="790" ht="29" customHeight="1">
      <x:c r="A790" s="79" t="str">
        <x:v>22_V136_Backlog</x:v>
      </x:c>
      <x:c r="B790" s="79" t="n">
        <x:v>106</x:v>
      </x:c>
      <x:c r="C790" s="79" t="str">
        <x:v>V136-captured-classic-06</x:v>
      </x:c>
      <x:c r="D790" s="79" t="str">
        <x:v>captured-classic</x:v>
      </x:c>
      <x:c r="E790" s="79" t="str">
        <x:v>Revue artistique et droits</x:v>
      </x:c>
      <x:c r="F790" s="79" t="str">
        <x:v>OUVERT · revue humaine et autorisation IP nécessaires</x:v>
      </x:c>
      <x:c r="G790" s="79" t="str">
        <x:v>Ne jamais certifier sans approbation manuelle</x:v>
      </x:c>
      <x:c r="H790" s="79" t="str">
        <x:v>ART 1:1</x:v>
      </x:c>
      <x:c r="I790" s="79" t="str">
        <x:v>Non : preuve humaine requise</x:v>
      </x:c>
      <x:c r="J790" s="79" t="str">
        <x:v>P1</x:v>
      </x:c>
      <x:c r="K790" s="79" t="str">
        <x:v>https://predator.illfonic.com/</x:v>
      </x:c>
      <x:c r="L790" s="79" t="str">
        <x:v>Avancement technique indicatif 0 %</x:v>
      </x:c>
    </x:row>
    <x:row r="791" ht="29" customHeight="1">
      <x:c r="A791" s="79" t="str">
        <x:v>22_V136_Backlog</x:v>
      </x:c>
      <x:c r="B791" s="79" t="n">
        <x:v>107</x:v>
      </x:c>
      <x:c r="C791" s="79" t="str">
        <x:v>V136-berserker-2010-01</x:v>
      </x:c>
      <x:c r="D791" s="79" t="str">
        <x:v>berserker-2010</x:v>
      </x:c>
      <x:c r="E791" s="79" t="str">
        <x:v>Plan face/dessus/profil</x:v>
      </x:c>
      <x:c r="F791" s="79" t="str">
        <x:v>OUVERT · plusieurs vues source film/jeu non relevées</x:v>
      </x:c>
      <x:c r="G791" s="79" t="str">
        <x:v>Photo, prop, capture jeu propre au gauntlet</x:v>
      </x:c>
      <x:c r="H791" s="79" t="str">
        <x:v>ART 1:1</x:v>
      </x:c>
      <x:c r="I791" s="79" t="str">
        <x:v>Non : preuve humaine requise</x:v>
      </x:c>
      <x:c r="J791" s="79" t="str">
        <x:v>P1</x:v>
      </x:c>
      <x:c r="K791" s="79" t="str">
        <x:v>https://predator.illfonic.com/</x:v>
      </x:c>
      <x:c r="L791" s="79" t="str">
        <x:v>Avancement technique indicatif 0 %</x:v>
      </x:c>
    </x:row>
    <x:row r="792" ht="29" customHeight="1">
      <x:c r="A792" s="79" t="str">
        <x:v>22_V136_Backlog</x:v>
      </x:c>
      <x:c r="B792" s="79" t="n">
        <x:v>108</x:v>
      </x:c>
      <x:c r="C792" s="79" t="str">
        <x:v>V136-berserker-2010-02</x:v>
      </x:c>
      <x:c r="D792" s="79" t="str">
        <x:v>berserker-2010</x:v>
      </x:c>
      <x:c r="E792" s="79" t="str">
        <x:v>Proportions et silhouette</x:v>
      </x:c>
      <x:c r="F792" s="79" t="str">
        <x:v>PARTIEL · silhouette SVG originale, proportions non mesurées</x:v>
      </x:c>
      <x:c r="G792" s="79" t="str">
        <x:v>Contrôle alignement poignet et pièces</x:v>
      </x:c>
      <x:c r="H792" s="79" t="str">
        <x:v>ART 1:1</x:v>
      </x:c>
      <x:c r="I792" s="79" t="str">
        <x:v>Non : preuve humaine requise</x:v>
      </x:c>
      <x:c r="J792" s="79" t="str">
        <x:v>P1</x:v>
      </x:c>
      <x:c r="K792" s="79" t="str">
        <x:v>https://predator.illfonic.com/</x:v>
      </x:c>
      <x:c r="L792" s="79" t="str">
        <x:v>Avancement technique indicatif 25 %</x:v>
      </x:c>
    </x:row>
    <x:row r="793" ht="29" customHeight="1">
      <x:c r="A793" s="79" t="str">
        <x:v>22_V136_Backlog</x:v>
      </x:c>
      <x:c r="B793" s="79" t="n">
        <x:v>109</x:v>
      </x:c>
      <x:c r="C793" s="79" t="str">
        <x:v>V136-berserker-2010-03</x:v>
      </x:c>
      <x:c r="D793" s="79" t="str">
        <x:v>berserker-2010</x:v>
      </x:c>
      <x:c r="E793" s="79" t="str">
        <x:v>Textures UV et matériaux</x:v>
      </x:c>
      <x:c r="F793" s="79" t="str">
        <x:v>OUVERT · textures UV/PNG 1:1 et patine à produire</x:v>
      </x:c>
      <x:c r="G793" s="79" t="str">
        <x:v>PNG indépendants aux bons détails et reflets</x:v>
      </x:c>
      <x:c r="H793" s="79" t="str">
        <x:v>ART 1:1</x:v>
      </x:c>
      <x:c r="I793" s="79" t="str">
        <x:v>Non : preuve humaine requise</x:v>
      </x:c>
      <x:c r="J793" s="79" t="str">
        <x:v>P1</x:v>
      </x:c>
      <x:c r="K793" s="79" t="str">
        <x:v>https://predator.illfonic.com/</x:v>
      </x:c>
      <x:c r="L793" s="79" t="str">
        <x:v>Avancement technique indicatif 0 %</x:v>
      </x:c>
    </x:row>
    <x:row r="794" ht="29" customHeight="1">
      <x:c r="A794" s="79" t="str">
        <x:v>22_V136_Backlog</x:v>
      </x:c>
      <x:c r="B794" s="79" t="n">
        <x:v>110</x:v>
      </x:c>
      <x:c r="C794" s="79" t="str">
        <x:v>V136-berserker-2010-04</x:v>
      </x:c>
      <x:c r="D794" s="79" t="str">
        <x:v>berserker-2010</x:v>
      </x:c>
      <x:c r="E794" s="79" t="str">
        <x:v>Charnière et animations</x:v>
      </x:c>
      <x:c r="F794" s="79" t="str">
        <x:v>PARTIEL · capot CSS ; 3 gestes / rig 1:1 manquants</x:v>
      </x:c>
      <x:c r="G794" s="79" t="str">
        <x:v>Cohérence rig / armurerie / hologramme</x:v>
      </x:c>
      <x:c r="H794" s="79" t="str">
        <x:v>ART 1:1</x:v>
      </x:c>
      <x:c r="I794" s="79" t="str">
        <x:v>Non : preuve humaine requise</x:v>
      </x:c>
      <x:c r="J794" s="79" t="str">
        <x:v>P1</x:v>
      </x:c>
      <x:c r="K794" s="79" t="str">
        <x:v>https://predator.illfonic.com/</x:v>
      </x:c>
      <x:c r="L794" s="79" t="str">
        <x:v>Avancement technique indicatif 25 %</x:v>
      </x:c>
    </x:row>
    <x:row r="795" ht="29" customHeight="1">
      <x:c r="A795" s="79" t="str">
        <x:v>22_V136_Backlog</x:v>
      </x:c>
      <x:c r="B795" s="79" t="n">
        <x:v>111</x:v>
      </x:c>
      <x:c r="C795" s="79" t="str">
        <x:v>V136-berserker-2010-05</x:v>
      </x:c>
      <x:c r="D795" s="79" t="str">
        <x:v>berserker-2010</x:v>
      </x:c>
      <x:c r="E795" s="79" t="str">
        <x:v>Rendu jeu et contrôle</x:v>
      </x:c>
      <x:c r="F795" s="79" t="str">
        <x:v>PARTIEL · rendu React + QA autonome, jeu complet à tester</x:v>
      </x:c>
      <x:c r="G795" s="79" t="str">
        <x:v>Comparaison toutes vues et modes</x:v>
      </x:c>
      <x:c r="H795" s="79" t="str">
        <x:v>ART 1:1</x:v>
      </x:c>
      <x:c r="I795" s="79" t="str">
        <x:v>Non : preuve humaine requise</x:v>
      </x:c>
      <x:c r="J795" s="79" t="str">
        <x:v>P1</x:v>
      </x:c>
      <x:c r="K795" s="79" t="str">
        <x:v>https://predator.illfonic.com/</x:v>
      </x:c>
      <x:c r="L795" s="79" t="str">
        <x:v>Avancement technique indicatif 45 %</x:v>
      </x:c>
    </x:row>
    <x:row r="796" ht="29" customHeight="1">
      <x:c r="A796" s="79" t="str">
        <x:v>22_V136_Backlog</x:v>
      </x:c>
      <x:c r="B796" s="79" t="n">
        <x:v>112</x:v>
      </x:c>
      <x:c r="C796" s="79" t="str">
        <x:v>V136-berserker-2010-06</x:v>
      </x:c>
      <x:c r="D796" s="79" t="str">
        <x:v>berserker-2010</x:v>
      </x:c>
      <x:c r="E796" s="79" t="str">
        <x:v>Revue artistique et droits</x:v>
      </x:c>
      <x:c r="F796" s="79" t="str">
        <x:v>OUVERT · revue humaine et autorisation IP nécessaires</x:v>
      </x:c>
      <x:c r="G796" s="79" t="str">
        <x:v>Ne jamais certifier sans approbation manuelle</x:v>
      </x:c>
      <x:c r="H796" s="79" t="str">
        <x:v>ART 1:1</x:v>
      </x:c>
      <x:c r="I796" s="79" t="str">
        <x:v>Non : preuve humaine requise</x:v>
      </x:c>
      <x:c r="J796" s="79" t="str">
        <x:v>P1</x:v>
      </x:c>
      <x:c r="K796" s="79" t="str">
        <x:v>https://predator.illfonic.com/</x:v>
      </x:c>
      <x:c r="L796" s="79" t="str">
        <x:v>Avancement technique indicatif 0 %</x:v>
      </x:c>
    </x:row>
    <x:row r="797" ht="29" customHeight="1">
      <x:c r="A797" s="79" t="str">
        <x:v>22_V136_Backlog</x:v>
      </x:c>
      <x:c r="B797" s="79" t="n">
        <x:v>113</x:v>
      </x:c>
      <x:c r="C797" s="79" t="str">
        <x:v>V136-falconer-2010-01</x:v>
      </x:c>
      <x:c r="D797" s="79" t="str">
        <x:v>falconer-2010</x:v>
      </x:c>
      <x:c r="E797" s="79" t="str">
        <x:v>Plan face/dessus/profil</x:v>
      </x:c>
      <x:c r="F797" s="79" t="str">
        <x:v>OUVERT · plusieurs vues source film/jeu non relevées</x:v>
      </x:c>
      <x:c r="G797" s="79" t="str">
        <x:v>Photo, prop, capture jeu propre au gauntlet</x:v>
      </x:c>
      <x:c r="H797" s="79" t="str">
        <x:v>ART 1:1</x:v>
      </x:c>
      <x:c r="I797" s="79" t="str">
        <x:v>Non : preuve humaine requise</x:v>
      </x:c>
      <x:c r="J797" s="79" t="str">
        <x:v>P1</x:v>
      </x:c>
      <x:c r="K797" s="79" t="str">
        <x:v>https://predator.illfonic.com/</x:v>
      </x:c>
      <x:c r="L797" s="79" t="str">
        <x:v>Avancement technique indicatif 0 %</x:v>
      </x:c>
    </x:row>
    <x:row r="798" ht="29" customHeight="1">
      <x:c r="A798" s="79" t="str">
        <x:v>22_V136_Backlog</x:v>
      </x:c>
      <x:c r="B798" s="79" t="n">
        <x:v>114</x:v>
      </x:c>
      <x:c r="C798" s="79" t="str">
        <x:v>V136-falconer-2010-02</x:v>
      </x:c>
      <x:c r="D798" s="79" t="str">
        <x:v>falconer-2010</x:v>
      </x:c>
      <x:c r="E798" s="79" t="str">
        <x:v>Proportions et silhouette</x:v>
      </x:c>
      <x:c r="F798" s="79" t="str">
        <x:v>PARTIEL · silhouette SVG originale, proportions non mesurées</x:v>
      </x:c>
      <x:c r="G798" s="79" t="str">
        <x:v>Contrôle alignement poignet et pièces</x:v>
      </x:c>
      <x:c r="H798" s="79" t="str">
        <x:v>ART 1:1</x:v>
      </x:c>
      <x:c r="I798" s="79" t="str">
        <x:v>Non : preuve humaine requise</x:v>
      </x:c>
      <x:c r="J798" s="79" t="str">
        <x:v>P1</x:v>
      </x:c>
      <x:c r="K798" s="79" t="str">
        <x:v>https://predator.illfonic.com/</x:v>
      </x:c>
      <x:c r="L798" s="79" t="str">
        <x:v>Avancement technique indicatif 25 %</x:v>
      </x:c>
    </x:row>
    <x:row r="799" ht="29" customHeight="1">
      <x:c r="A799" s="79" t="str">
        <x:v>22_V136_Backlog</x:v>
      </x:c>
      <x:c r="B799" s="79" t="n">
        <x:v>115</x:v>
      </x:c>
      <x:c r="C799" s="79" t="str">
        <x:v>V136-falconer-2010-03</x:v>
      </x:c>
      <x:c r="D799" s="79" t="str">
        <x:v>falconer-2010</x:v>
      </x:c>
      <x:c r="E799" s="79" t="str">
        <x:v>Textures UV et matériaux</x:v>
      </x:c>
      <x:c r="F799" s="79" t="str">
        <x:v>OUVERT · textures UV/PNG 1:1 et patine à produire</x:v>
      </x:c>
      <x:c r="G799" s="79" t="str">
        <x:v>PNG indépendants aux bons détails et reflets</x:v>
      </x:c>
      <x:c r="H799" s="79" t="str">
        <x:v>ART 1:1</x:v>
      </x:c>
      <x:c r="I799" s="79" t="str">
        <x:v>Non : preuve humaine requise</x:v>
      </x:c>
      <x:c r="J799" s="79" t="str">
        <x:v>P1</x:v>
      </x:c>
      <x:c r="K799" s="79" t="str">
        <x:v>https://predator.illfonic.com/</x:v>
      </x:c>
      <x:c r="L799" s="79" t="str">
        <x:v>Avancement technique indicatif 0 %</x:v>
      </x:c>
    </x:row>
    <x:row r="800" ht="29" customHeight="1">
      <x:c r="A800" s="79" t="str">
        <x:v>22_V136_Backlog</x:v>
      </x:c>
      <x:c r="B800" s="79" t="n">
        <x:v>116</x:v>
      </x:c>
      <x:c r="C800" s="79" t="str">
        <x:v>V136-falconer-2010-04</x:v>
      </x:c>
      <x:c r="D800" s="79" t="str">
        <x:v>falconer-2010</x:v>
      </x:c>
      <x:c r="E800" s="79" t="str">
        <x:v>Charnière et animations</x:v>
      </x:c>
      <x:c r="F800" s="79" t="str">
        <x:v>PARTIEL · capot CSS ; 3 gestes / rig 1:1 manquants</x:v>
      </x:c>
      <x:c r="G800" s="79" t="str">
        <x:v>Cohérence rig / armurerie / hologramme</x:v>
      </x:c>
      <x:c r="H800" s="79" t="str">
        <x:v>ART 1:1</x:v>
      </x:c>
      <x:c r="I800" s="79" t="str">
        <x:v>Non : preuve humaine requise</x:v>
      </x:c>
      <x:c r="J800" s="79" t="str">
        <x:v>P1</x:v>
      </x:c>
      <x:c r="K800" s="79" t="str">
        <x:v>https://predator.illfonic.com/</x:v>
      </x:c>
      <x:c r="L800" s="79" t="str">
        <x:v>Avancement technique indicatif 25 %</x:v>
      </x:c>
    </x:row>
    <x:row r="801" ht="29" customHeight="1">
      <x:c r="A801" s="79" t="str">
        <x:v>22_V136_Backlog</x:v>
      </x:c>
      <x:c r="B801" s="79" t="n">
        <x:v>117</x:v>
      </x:c>
      <x:c r="C801" s="79" t="str">
        <x:v>V136-falconer-2010-05</x:v>
      </x:c>
      <x:c r="D801" s="79" t="str">
        <x:v>falconer-2010</x:v>
      </x:c>
      <x:c r="E801" s="79" t="str">
        <x:v>Rendu jeu et contrôle</x:v>
      </x:c>
      <x:c r="F801" s="79" t="str">
        <x:v>PARTIEL · rendu React + QA autonome, jeu complet à tester</x:v>
      </x:c>
      <x:c r="G801" s="79" t="str">
        <x:v>Comparaison toutes vues et modes</x:v>
      </x:c>
      <x:c r="H801" s="79" t="str">
        <x:v>ART 1:1</x:v>
      </x:c>
      <x:c r="I801" s="79" t="str">
        <x:v>Non : preuve humaine requise</x:v>
      </x:c>
      <x:c r="J801" s="79" t="str">
        <x:v>P1</x:v>
      </x:c>
      <x:c r="K801" s="79" t="str">
        <x:v>https://predator.illfonic.com/</x:v>
      </x:c>
      <x:c r="L801" s="79" t="str">
        <x:v>Avancement technique indicatif 45 %</x:v>
      </x:c>
    </x:row>
    <x:row r="802" ht="29" customHeight="1">
      <x:c r="A802" s="79" t="str">
        <x:v>22_V136_Backlog</x:v>
      </x:c>
      <x:c r="B802" s="79" t="n">
        <x:v>118</x:v>
      </x:c>
      <x:c r="C802" s="79" t="str">
        <x:v>V136-falconer-2010-06</x:v>
      </x:c>
      <x:c r="D802" s="79" t="str">
        <x:v>falconer-2010</x:v>
      </x:c>
      <x:c r="E802" s="79" t="str">
        <x:v>Revue artistique et droits</x:v>
      </x:c>
      <x:c r="F802" s="79" t="str">
        <x:v>OUVERT · revue humaine et autorisation IP nécessaires</x:v>
      </x:c>
      <x:c r="G802" s="79" t="str">
        <x:v>Ne jamais certifier sans approbation manuelle</x:v>
      </x:c>
      <x:c r="H802" s="79" t="str">
        <x:v>ART 1:1</x:v>
      </x:c>
      <x:c r="I802" s="79" t="str">
        <x:v>Non : preuve humaine requise</x:v>
      </x:c>
      <x:c r="J802" s="79" t="str">
        <x:v>P1</x:v>
      </x:c>
      <x:c r="K802" s="79" t="str">
        <x:v>https://predator.illfonic.com/</x:v>
      </x:c>
      <x:c r="L802" s="79" t="str">
        <x:v>Avancement technique indicatif 0 %</x:v>
      </x:c>
    </x:row>
    <x:row r="803" ht="29" customHeight="1">
      <x:c r="A803" s="79" t="str">
        <x:v>22_V136_Backlog</x:v>
      </x:c>
      <x:c r="B803" s="79" t="n">
        <x:v>119</x:v>
      </x:c>
      <x:c r="C803" s="79" t="str">
        <x:v>V136-tracker-2010-01</x:v>
      </x:c>
      <x:c r="D803" s="79" t="str">
        <x:v>tracker-2010</x:v>
      </x:c>
      <x:c r="E803" s="79" t="str">
        <x:v>Plan face/dessus/profil</x:v>
      </x:c>
      <x:c r="F803" s="79" t="str">
        <x:v>OUVERT · plusieurs vues source film/jeu non relevées</x:v>
      </x:c>
      <x:c r="G803" s="79" t="str">
        <x:v>Photo, prop, capture jeu propre au gauntlet</x:v>
      </x:c>
      <x:c r="H803" s="79" t="str">
        <x:v>ART 1:1</x:v>
      </x:c>
      <x:c r="I803" s="79" t="str">
        <x:v>Non : preuve humaine requise</x:v>
      </x:c>
      <x:c r="J803" s="79" t="str">
        <x:v>P1</x:v>
      </x:c>
      <x:c r="K803" s="79" t="str">
        <x:v>https://predator.illfonic.com/</x:v>
      </x:c>
      <x:c r="L803" s="79" t="str">
        <x:v>Avancement technique indicatif 0 %</x:v>
      </x:c>
    </x:row>
    <x:row r="804" ht="29" customHeight="1">
      <x:c r="A804" s="79" t="str">
        <x:v>22_V136_Backlog</x:v>
      </x:c>
      <x:c r="B804" s="79" t="n">
        <x:v>120</x:v>
      </x:c>
      <x:c r="C804" s="79" t="str">
        <x:v>V136-tracker-2010-02</x:v>
      </x:c>
      <x:c r="D804" s="79" t="str">
        <x:v>tracker-2010</x:v>
      </x:c>
      <x:c r="E804" s="79" t="str">
        <x:v>Proportions et silhouette</x:v>
      </x:c>
      <x:c r="F804" s="79" t="str">
        <x:v>PARTIEL · silhouette SVG originale, proportions non mesurées</x:v>
      </x:c>
      <x:c r="G804" s="79" t="str">
        <x:v>Contrôle alignement poignet et pièces</x:v>
      </x:c>
      <x:c r="H804" s="79" t="str">
        <x:v>ART 1:1</x:v>
      </x:c>
      <x:c r="I804" s="79" t="str">
        <x:v>Non : preuve humaine requise</x:v>
      </x:c>
      <x:c r="J804" s="79" t="str">
        <x:v>P1</x:v>
      </x:c>
      <x:c r="K804" s="79" t="str">
        <x:v>https://predator.illfonic.com/</x:v>
      </x:c>
      <x:c r="L804" s="79" t="str">
        <x:v>Avancement technique indicatif 25 %</x:v>
      </x:c>
    </x:row>
    <x:row r="805" ht="29" customHeight="1">
      <x:c r="A805" s="79" t="str">
        <x:v>22_V136_Backlog</x:v>
      </x:c>
      <x:c r="B805" s="79" t="n">
        <x:v>121</x:v>
      </x:c>
      <x:c r="C805" s="79" t="str">
        <x:v>V136-tracker-2010-03</x:v>
      </x:c>
      <x:c r="D805" s="79" t="str">
        <x:v>tracker-2010</x:v>
      </x:c>
      <x:c r="E805" s="79" t="str">
        <x:v>Textures UV et matériaux</x:v>
      </x:c>
      <x:c r="F805" s="79" t="str">
        <x:v>OUVERT · textures UV/PNG 1:1 et patine à produire</x:v>
      </x:c>
      <x:c r="G805" s="79" t="str">
        <x:v>PNG indépendants aux bons détails et reflets</x:v>
      </x:c>
      <x:c r="H805" s="79" t="str">
        <x:v>ART 1:1</x:v>
      </x:c>
      <x:c r="I805" s="79" t="str">
        <x:v>Non : preuve humaine requise</x:v>
      </x:c>
      <x:c r="J805" s="79" t="str">
        <x:v>P1</x:v>
      </x:c>
      <x:c r="K805" s="79" t="str">
        <x:v>https://predator.illfonic.com/</x:v>
      </x:c>
      <x:c r="L805" s="79" t="str">
        <x:v>Avancement technique indicatif 0 %</x:v>
      </x:c>
    </x:row>
    <x:row r="806" ht="29" customHeight="1">
      <x:c r="A806" s="79" t="str">
        <x:v>22_V136_Backlog</x:v>
      </x:c>
      <x:c r="B806" s="79" t="n">
        <x:v>122</x:v>
      </x:c>
      <x:c r="C806" s="79" t="str">
        <x:v>V136-tracker-2010-04</x:v>
      </x:c>
      <x:c r="D806" s="79" t="str">
        <x:v>tracker-2010</x:v>
      </x:c>
      <x:c r="E806" s="79" t="str">
        <x:v>Charnière et animations</x:v>
      </x:c>
      <x:c r="F806" s="79" t="str">
        <x:v>PARTIEL · capot CSS ; 3 gestes / rig 1:1 manquants</x:v>
      </x:c>
      <x:c r="G806" s="79" t="str">
        <x:v>Cohérence rig / armurerie / hologramme</x:v>
      </x:c>
      <x:c r="H806" s="79" t="str">
        <x:v>ART 1:1</x:v>
      </x:c>
      <x:c r="I806" s="79" t="str">
        <x:v>Non : preuve humaine requise</x:v>
      </x:c>
      <x:c r="J806" s="79" t="str">
        <x:v>P1</x:v>
      </x:c>
      <x:c r="K806" s="79" t="str">
        <x:v>https://predator.illfonic.com/</x:v>
      </x:c>
      <x:c r="L806" s="79" t="str">
        <x:v>Avancement technique indicatif 25 %</x:v>
      </x:c>
    </x:row>
    <x:row r="807" ht="29" customHeight="1">
      <x:c r="A807" s="79" t="str">
        <x:v>22_V136_Backlog</x:v>
      </x:c>
      <x:c r="B807" s="79" t="n">
        <x:v>123</x:v>
      </x:c>
      <x:c r="C807" s="79" t="str">
        <x:v>V136-tracker-2010-05</x:v>
      </x:c>
      <x:c r="D807" s="79" t="str">
        <x:v>tracker-2010</x:v>
      </x:c>
      <x:c r="E807" s="79" t="str">
        <x:v>Rendu jeu et contrôle</x:v>
      </x:c>
      <x:c r="F807" s="79" t="str">
        <x:v>PARTIEL · rendu React + QA autonome, jeu complet à tester</x:v>
      </x:c>
      <x:c r="G807" s="79" t="str">
        <x:v>Comparaison toutes vues et modes</x:v>
      </x:c>
      <x:c r="H807" s="79" t="str">
        <x:v>ART 1:1</x:v>
      </x:c>
      <x:c r="I807" s="79" t="str">
        <x:v>Non : preuve humaine requise</x:v>
      </x:c>
      <x:c r="J807" s="79" t="str">
        <x:v>P1</x:v>
      </x:c>
      <x:c r="K807" s="79" t="str">
        <x:v>https://predator.illfonic.com/</x:v>
      </x:c>
      <x:c r="L807" s="79" t="str">
        <x:v>Avancement technique indicatif 45 %</x:v>
      </x:c>
    </x:row>
    <x:row r="808" ht="29" customHeight="1">
      <x:c r="A808" s="79" t="str">
        <x:v>22_V136_Backlog</x:v>
      </x:c>
      <x:c r="B808" s="79" t="n">
        <x:v>124</x:v>
      </x:c>
      <x:c r="C808" s="79" t="str">
        <x:v>V136-tracker-2010-06</x:v>
      </x:c>
      <x:c r="D808" s="79" t="str">
        <x:v>tracker-2010</x:v>
      </x:c>
      <x:c r="E808" s="79" t="str">
        <x:v>Revue artistique et droits</x:v>
      </x:c>
      <x:c r="F808" s="79" t="str">
        <x:v>OUVERT · revue humaine et autorisation IP nécessaires</x:v>
      </x:c>
      <x:c r="G808" s="79" t="str">
        <x:v>Ne jamais certifier sans approbation manuelle</x:v>
      </x:c>
      <x:c r="H808" s="79" t="str">
        <x:v>ART 1:1</x:v>
      </x:c>
      <x:c r="I808" s="79" t="str">
        <x:v>Non : preuve humaine requise</x:v>
      </x:c>
      <x:c r="J808" s="79" t="str">
        <x:v>P1</x:v>
      </x:c>
      <x:c r="K808" s="79" t="str">
        <x:v>https://predator.illfonic.com/</x:v>
      </x:c>
      <x:c r="L808" s="79" t="str">
        <x:v>Avancement technique indicatif 0 %</x:v>
      </x:c>
    </x:row>
    <x:row r="809" ht="29" customHeight="1">
      <x:c r="A809" s="79" t="str">
        <x:v>22_V136_Backlog</x:v>
      </x:c>
      <x:c r="B809" s="79" t="n">
        <x:v>125</x:v>
      </x:c>
      <x:c r="C809" s="79" t="str">
        <x:v>V136-fugitive-01</x:v>
      </x:c>
      <x:c r="D809" s="79" t="str">
        <x:v>fugitive</x:v>
      </x:c>
      <x:c r="E809" s="79" t="str">
        <x:v>Plan face/dessus/profil</x:v>
      </x:c>
      <x:c r="F809" s="79" t="str">
        <x:v>OUVERT · plusieurs vues source film/jeu non relevées</x:v>
      </x:c>
      <x:c r="G809" s="79" t="str">
        <x:v>Photo, prop, capture jeu propre au gauntlet</x:v>
      </x:c>
      <x:c r="H809" s="79" t="str">
        <x:v>ART 1:1</x:v>
      </x:c>
      <x:c r="I809" s="79" t="str">
        <x:v>Non : preuve humaine requise</x:v>
      </x:c>
      <x:c r="J809" s="79" t="str">
        <x:v>P1</x:v>
      </x:c>
      <x:c r="K809" s="79" t="str">
        <x:v>https://www.avpgalaxy.net/merch/neca/predator/series/</x:v>
      </x:c>
      <x:c r="L809" s="79" t="str">
        <x:v>Avancement technique indicatif 0 %</x:v>
      </x:c>
    </x:row>
    <x:row r="810" ht="29" customHeight="1">
      <x:c r="A810" s="79" t="str">
        <x:v>22_V136_Backlog</x:v>
      </x:c>
      <x:c r="B810" s="79" t="n">
        <x:v>126</x:v>
      </x:c>
      <x:c r="C810" s="79" t="str">
        <x:v>V136-fugitive-02</x:v>
      </x:c>
      <x:c r="D810" s="79" t="str">
        <x:v>fugitive</x:v>
      </x:c>
      <x:c r="E810" s="79" t="str">
        <x:v>Proportions et silhouette</x:v>
      </x:c>
      <x:c r="F810" s="79" t="str">
        <x:v>PARTIEL · silhouette SVG originale, proportions non mesurées</x:v>
      </x:c>
      <x:c r="G810" s="79" t="str">
        <x:v>Contrôle alignement poignet et pièces</x:v>
      </x:c>
      <x:c r="H810" s="79" t="str">
        <x:v>ART 1:1</x:v>
      </x:c>
      <x:c r="I810" s="79" t="str">
        <x:v>Non : preuve humaine requise</x:v>
      </x:c>
      <x:c r="J810" s="79" t="str">
        <x:v>P1</x:v>
      </x:c>
      <x:c r="K810" s="79" t="str">
        <x:v>https://www.avpgalaxy.net/merch/neca/predator/series/</x:v>
      </x:c>
      <x:c r="L810" s="79" t="str">
        <x:v>Avancement technique indicatif 25 %</x:v>
      </x:c>
    </x:row>
    <x:row r="811" ht="29" customHeight="1">
      <x:c r="A811" s="79" t="str">
        <x:v>22_V136_Backlog</x:v>
      </x:c>
      <x:c r="B811" s="79" t="n">
        <x:v>127</x:v>
      </x:c>
      <x:c r="C811" s="79" t="str">
        <x:v>V136-fugitive-03</x:v>
      </x:c>
      <x:c r="D811" s="79" t="str">
        <x:v>fugitive</x:v>
      </x:c>
      <x:c r="E811" s="79" t="str">
        <x:v>Textures UV et matériaux</x:v>
      </x:c>
      <x:c r="F811" s="79" t="str">
        <x:v>OUVERT · textures UV/PNG 1:1 et patine à produire</x:v>
      </x:c>
      <x:c r="G811" s="79" t="str">
        <x:v>PNG indépendants aux bons détails et reflets</x:v>
      </x:c>
      <x:c r="H811" s="79" t="str">
        <x:v>ART 1:1</x:v>
      </x:c>
      <x:c r="I811" s="79" t="str">
        <x:v>Non : preuve humaine requise</x:v>
      </x:c>
      <x:c r="J811" s="79" t="str">
        <x:v>P1</x:v>
      </x:c>
      <x:c r="K811" s="79" t="str">
        <x:v>https://www.avpgalaxy.net/merch/neca/predator/series/</x:v>
      </x:c>
      <x:c r="L811" s="79" t="str">
        <x:v>Avancement technique indicatif 0 %</x:v>
      </x:c>
    </x:row>
    <x:row r="812" ht="29" customHeight="1">
      <x:c r="A812" s="79" t="str">
        <x:v>22_V136_Backlog</x:v>
      </x:c>
      <x:c r="B812" s="79" t="n">
        <x:v>128</x:v>
      </x:c>
      <x:c r="C812" s="79" t="str">
        <x:v>V136-fugitive-04</x:v>
      </x:c>
      <x:c r="D812" s="79" t="str">
        <x:v>fugitive</x:v>
      </x:c>
      <x:c r="E812" s="79" t="str">
        <x:v>Charnière et animations</x:v>
      </x:c>
      <x:c r="F812" s="79" t="str">
        <x:v>PARTIEL · capot CSS ; 3 gestes / rig 1:1 manquants</x:v>
      </x:c>
      <x:c r="G812" s="79" t="str">
        <x:v>Cohérence rig / armurerie / hologramme</x:v>
      </x:c>
      <x:c r="H812" s="79" t="str">
        <x:v>ART 1:1</x:v>
      </x:c>
      <x:c r="I812" s="79" t="str">
        <x:v>Non : preuve humaine requise</x:v>
      </x:c>
      <x:c r="J812" s="79" t="str">
        <x:v>P1</x:v>
      </x:c>
      <x:c r="K812" s="79" t="str">
        <x:v>https://www.avpgalaxy.net/merch/neca/predator/series/</x:v>
      </x:c>
      <x:c r="L812" s="79" t="str">
        <x:v>Avancement technique indicatif 25 %</x:v>
      </x:c>
    </x:row>
    <x:row r="813" ht="29" customHeight="1">
      <x:c r="A813" s="79" t="str">
        <x:v>22_V136_Backlog</x:v>
      </x:c>
      <x:c r="B813" s="79" t="n">
        <x:v>129</x:v>
      </x:c>
      <x:c r="C813" s="79" t="str">
        <x:v>V136-fugitive-05</x:v>
      </x:c>
      <x:c r="D813" s="79" t="str">
        <x:v>fugitive</x:v>
      </x:c>
      <x:c r="E813" s="79" t="str">
        <x:v>Rendu jeu et contrôle</x:v>
      </x:c>
      <x:c r="F813" s="79" t="str">
        <x:v>PARTIEL · rendu React + QA autonome, jeu complet à tester</x:v>
      </x:c>
      <x:c r="G813" s="79" t="str">
        <x:v>Comparaison toutes vues et modes</x:v>
      </x:c>
      <x:c r="H813" s="79" t="str">
        <x:v>ART 1:1</x:v>
      </x:c>
      <x:c r="I813" s="79" t="str">
        <x:v>Non : preuve humaine requise</x:v>
      </x:c>
      <x:c r="J813" s="79" t="str">
        <x:v>P1</x:v>
      </x:c>
      <x:c r="K813" s="79" t="str">
        <x:v>https://www.avpgalaxy.net/merch/neca/predator/series/</x:v>
      </x:c>
      <x:c r="L813" s="79" t="str">
        <x:v>Avancement technique indicatif 45 %</x:v>
      </x:c>
    </x:row>
    <x:row r="814" ht="29" customHeight="1">
      <x:c r="A814" s="79" t="str">
        <x:v>22_V136_Backlog</x:v>
      </x:c>
      <x:c r="B814" s="79" t="n">
        <x:v>130</x:v>
      </x:c>
      <x:c r="C814" s="79" t="str">
        <x:v>V136-fugitive-06</x:v>
      </x:c>
      <x:c r="D814" s="79" t="str">
        <x:v>fugitive</x:v>
      </x:c>
      <x:c r="E814" s="79" t="str">
        <x:v>Revue artistique et droits</x:v>
      </x:c>
      <x:c r="F814" s="79" t="str">
        <x:v>OUVERT · revue humaine et autorisation IP nécessaires</x:v>
      </x:c>
      <x:c r="G814" s="79" t="str">
        <x:v>Ne jamais certifier sans approbation manuelle</x:v>
      </x:c>
      <x:c r="H814" s="79" t="str">
        <x:v>ART 1:1</x:v>
      </x:c>
      <x:c r="I814" s="79" t="str">
        <x:v>Non : preuve humaine requise</x:v>
      </x:c>
      <x:c r="J814" s="79" t="str">
        <x:v>P1</x:v>
      </x:c>
      <x:c r="K814" s="79" t="str">
        <x:v>https://www.avpgalaxy.net/merch/neca/predator/series/</x:v>
      </x:c>
      <x:c r="L814" s="79" t="str">
        <x:v>Avancement technique indicatif 0 %</x:v>
      </x:c>
    </x:row>
    <x:row r="815" ht="29" customHeight="1">
      <x:c r="A815" s="79" t="str">
        <x:v>22_V136_Backlog</x:v>
      </x:c>
      <x:c r="B815" s="79" t="n">
        <x:v>131</x:v>
      </x:c>
      <x:c r="C815" s="79" t="str">
        <x:v>V136-assassin-01</x:v>
      </x:c>
      <x:c r="D815" s="79" t="str">
        <x:v>assassin</x:v>
      </x:c>
      <x:c r="E815" s="79" t="str">
        <x:v>Plan face/dessus/profil</x:v>
      </x:c>
      <x:c r="F815" s="79" t="str">
        <x:v>OUVERT · plusieurs vues source film/jeu non relevées</x:v>
      </x:c>
      <x:c r="G815" s="79" t="str">
        <x:v>Photo, prop, capture jeu propre au gauntlet</x:v>
      </x:c>
      <x:c r="H815" s="79" t="str">
        <x:v>ART 1:1</x:v>
      </x:c>
      <x:c r="I815" s="79" t="str">
        <x:v>Non : preuve humaine requise</x:v>
      </x:c>
      <x:c r="J815" s="79" t="str">
        <x:v>P1</x:v>
      </x:c>
      <x:c r="K815" s="79" t="str">
        <x:v>https://www.avpgalaxy.net/merch/neca/predator/series/</x:v>
      </x:c>
      <x:c r="L815" s="79" t="str">
        <x:v>Avancement technique indicatif 0 %</x:v>
      </x:c>
    </x:row>
    <x:row r="816" ht="29" customHeight="1">
      <x:c r="A816" s="79" t="str">
        <x:v>22_V136_Backlog</x:v>
      </x:c>
      <x:c r="B816" s="79" t="n">
        <x:v>132</x:v>
      </x:c>
      <x:c r="C816" s="79" t="str">
        <x:v>V136-assassin-02</x:v>
      </x:c>
      <x:c r="D816" s="79" t="str">
        <x:v>assassin</x:v>
      </x:c>
      <x:c r="E816" s="79" t="str">
        <x:v>Proportions et silhouette</x:v>
      </x:c>
      <x:c r="F816" s="79" t="str">
        <x:v>PARTIEL · silhouette SVG originale, proportions non mesurées</x:v>
      </x:c>
      <x:c r="G816" s="79" t="str">
        <x:v>Contrôle alignement poignet et pièces</x:v>
      </x:c>
      <x:c r="H816" s="79" t="str">
        <x:v>ART 1:1</x:v>
      </x:c>
      <x:c r="I816" s="79" t="str">
        <x:v>Non : preuve humaine requise</x:v>
      </x:c>
      <x:c r="J816" s="79" t="str">
        <x:v>P1</x:v>
      </x:c>
      <x:c r="K816" s="79" t="str">
        <x:v>https://www.avpgalaxy.net/merch/neca/predator/series/</x:v>
      </x:c>
      <x:c r="L816" s="79" t="str">
        <x:v>Avancement technique indicatif 25 %</x:v>
      </x:c>
    </x:row>
    <x:row r="817" ht="29" customHeight="1">
      <x:c r="A817" s="79" t="str">
        <x:v>22_V136_Backlog</x:v>
      </x:c>
      <x:c r="B817" s="79" t="n">
        <x:v>133</x:v>
      </x:c>
      <x:c r="C817" s="79" t="str">
        <x:v>V136-assassin-03</x:v>
      </x:c>
      <x:c r="D817" s="79" t="str">
        <x:v>assassin</x:v>
      </x:c>
      <x:c r="E817" s="79" t="str">
        <x:v>Textures UV et matériaux</x:v>
      </x:c>
      <x:c r="F817" s="79" t="str">
        <x:v>OUVERT · textures UV/PNG 1:1 et patine à produire</x:v>
      </x:c>
      <x:c r="G817" s="79" t="str">
        <x:v>PNG indépendants aux bons détails et reflets</x:v>
      </x:c>
      <x:c r="H817" s="79" t="str">
        <x:v>ART 1:1</x:v>
      </x:c>
      <x:c r="I817" s="79" t="str">
        <x:v>Non : preuve humaine requise</x:v>
      </x:c>
      <x:c r="J817" s="79" t="str">
        <x:v>P1</x:v>
      </x:c>
      <x:c r="K817" s="79" t="str">
        <x:v>https://www.avpgalaxy.net/merch/neca/predator/series/</x:v>
      </x:c>
      <x:c r="L817" s="79" t="str">
        <x:v>Avancement technique indicatif 0 %</x:v>
      </x:c>
    </x:row>
    <x:row r="818" ht="29" customHeight="1">
      <x:c r="A818" s="79" t="str">
        <x:v>22_V136_Backlog</x:v>
      </x:c>
      <x:c r="B818" s="79" t="n">
        <x:v>134</x:v>
      </x:c>
      <x:c r="C818" s="79" t="str">
        <x:v>V136-assassin-04</x:v>
      </x:c>
      <x:c r="D818" s="79" t="str">
        <x:v>assassin</x:v>
      </x:c>
      <x:c r="E818" s="79" t="str">
        <x:v>Charnière et animations</x:v>
      </x:c>
      <x:c r="F818" s="79" t="str">
        <x:v>PARTIEL · capot CSS ; 3 gestes / rig 1:1 manquants</x:v>
      </x:c>
      <x:c r="G818" s="79" t="str">
        <x:v>Cohérence rig / armurerie / hologramme</x:v>
      </x:c>
      <x:c r="H818" s="79" t="str">
        <x:v>ART 1:1</x:v>
      </x:c>
      <x:c r="I818" s="79" t="str">
        <x:v>Non : preuve humaine requise</x:v>
      </x:c>
      <x:c r="J818" s="79" t="str">
        <x:v>P1</x:v>
      </x:c>
      <x:c r="K818" s="79" t="str">
        <x:v>https://www.avpgalaxy.net/merch/neca/predator/series/</x:v>
      </x:c>
      <x:c r="L818" s="79" t="str">
        <x:v>Avancement technique indicatif 25 %</x:v>
      </x:c>
    </x:row>
    <x:row r="819" ht="29" customHeight="1">
      <x:c r="A819" s="79" t="str">
        <x:v>22_V136_Backlog</x:v>
      </x:c>
      <x:c r="B819" s="79" t="n">
        <x:v>135</x:v>
      </x:c>
      <x:c r="C819" s="79" t="str">
        <x:v>V136-assassin-05</x:v>
      </x:c>
      <x:c r="D819" s="79" t="str">
        <x:v>assassin</x:v>
      </x:c>
      <x:c r="E819" s="79" t="str">
        <x:v>Rendu jeu et contrôle</x:v>
      </x:c>
      <x:c r="F819" s="79" t="str">
        <x:v>PARTIEL · rendu React + QA autonome, jeu complet à tester</x:v>
      </x:c>
      <x:c r="G819" s="79" t="str">
        <x:v>Comparaison toutes vues et modes</x:v>
      </x:c>
      <x:c r="H819" s="79" t="str">
        <x:v>ART 1:1</x:v>
      </x:c>
      <x:c r="I819" s="79" t="str">
        <x:v>Non : preuve humaine requise</x:v>
      </x:c>
      <x:c r="J819" s="79" t="str">
        <x:v>P1</x:v>
      </x:c>
      <x:c r="K819" s="79" t="str">
        <x:v>https://www.avpgalaxy.net/merch/neca/predator/series/</x:v>
      </x:c>
      <x:c r="L819" s="79" t="str">
        <x:v>Avancement technique indicatif 45 %</x:v>
      </x:c>
    </x:row>
    <x:row r="820" ht="29" customHeight="1">
      <x:c r="A820" s="79" t="str">
        <x:v>22_V136_Backlog</x:v>
      </x:c>
      <x:c r="B820" s="79" t="n">
        <x:v>136</x:v>
      </x:c>
      <x:c r="C820" s="79" t="str">
        <x:v>V136-assassin-06</x:v>
      </x:c>
      <x:c r="D820" s="79" t="str">
        <x:v>assassin</x:v>
      </x:c>
      <x:c r="E820" s="79" t="str">
        <x:v>Revue artistique et droits</x:v>
      </x:c>
      <x:c r="F820" s="79" t="str">
        <x:v>OUVERT · revue humaine et autorisation IP nécessaires</x:v>
      </x:c>
      <x:c r="G820" s="79" t="str">
        <x:v>Ne jamais certifier sans approbation manuelle</x:v>
      </x:c>
      <x:c r="H820" s="79" t="str">
        <x:v>ART 1:1</x:v>
      </x:c>
      <x:c r="I820" s="79" t="str">
        <x:v>Non : preuve humaine requise</x:v>
      </x:c>
      <x:c r="J820" s="79" t="str">
        <x:v>P1</x:v>
      </x:c>
      <x:c r="K820" s="79" t="str">
        <x:v>https://www.avpgalaxy.net/merch/neca/predator/series/</x:v>
      </x:c>
      <x:c r="L820" s="79" t="str">
        <x:v>Avancement technique indicatif 0 %</x:v>
      </x:c>
    </x:row>
    <x:row r="821" ht="29" customHeight="1">
      <x:c r="A821" s="79" t="str">
        <x:v>22_V136_Backlog</x:v>
      </x:c>
      <x:c r="B821" s="79" t="n">
        <x:v>137</x:v>
      </x:c>
      <x:c r="C821" s="79" t="str">
        <x:v>V136-feral-01</x:v>
      </x:c>
      <x:c r="D821" s="79" t="str">
        <x:v>feral</x:v>
      </x:c>
      <x:c r="E821" s="79" t="str">
        <x:v>Plan face/dessus/profil</x:v>
      </x:c>
      <x:c r="F821" s="79" t="str">
        <x:v>OUVERT · plusieurs vues source film/jeu non relevées</x:v>
      </x:c>
      <x:c r="G821" s="79" t="str">
        <x:v>Photo, prop, capture jeu propre au gauntlet</x:v>
      </x:c>
      <x:c r="H821" s="79" t="str">
        <x:v>ART 1:1</x:v>
      </x:c>
      <x:c r="I821" s="79" t="str">
        <x:v>Non : preuve humaine requise</x:v>
      </x:c>
      <x:c r="J821" s="79" t="str">
        <x:v>P0</x:v>
      </x:c>
      <x:c r="K821" s="79" t="str">
        <x:v>https://www.avpgalaxy.net/2022/07/31/new-prey-tv-spot-shows-feral-predators-cloak-vision-modes-and-gadgets/</x:v>
      </x:c>
      <x:c r="L821" s="79" t="str">
        <x:v>Avancement technique indicatif 0 %</x:v>
      </x:c>
    </x:row>
    <x:row r="822" ht="29" customHeight="1">
      <x:c r="A822" s="79" t="str">
        <x:v>22_V136_Backlog</x:v>
      </x:c>
      <x:c r="B822" s="79" t="n">
        <x:v>138</x:v>
      </x:c>
      <x:c r="C822" s="79" t="str">
        <x:v>V136-feral-02</x:v>
      </x:c>
      <x:c r="D822" s="79" t="str">
        <x:v>feral</x:v>
      </x:c>
      <x:c r="E822" s="79" t="str">
        <x:v>Proportions et silhouette</x:v>
      </x:c>
      <x:c r="F822" s="79" t="str">
        <x:v>PARTIEL · silhouette SVG originale, proportions non mesurées</x:v>
      </x:c>
      <x:c r="G822" s="79" t="str">
        <x:v>Contrôle alignement poignet et pièces</x:v>
      </x:c>
      <x:c r="H822" s="79" t="str">
        <x:v>ART 1:1</x:v>
      </x:c>
      <x:c r="I822" s="79" t="str">
        <x:v>Non : preuve humaine requise</x:v>
      </x:c>
      <x:c r="J822" s="79" t="str">
        <x:v>P0</x:v>
      </x:c>
      <x:c r="K822" s="79" t="str">
        <x:v>https://www.avpgalaxy.net/2022/07/31/new-prey-tv-spot-shows-feral-predators-cloak-vision-modes-and-gadgets/</x:v>
      </x:c>
      <x:c r="L822" s="79" t="str">
        <x:v>Avancement technique indicatif 25 %</x:v>
      </x:c>
    </x:row>
    <x:row r="823" ht="29" customHeight="1">
      <x:c r="A823" s="79" t="str">
        <x:v>22_V136_Backlog</x:v>
      </x:c>
      <x:c r="B823" s="79" t="n">
        <x:v>139</x:v>
      </x:c>
      <x:c r="C823" s="79" t="str">
        <x:v>V136-feral-03</x:v>
      </x:c>
      <x:c r="D823" s="79" t="str">
        <x:v>feral</x:v>
      </x:c>
      <x:c r="E823" s="79" t="str">
        <x:v>Textures UV et matériaux</x:v>
      </x:c>
      <x:c r="F823" s="79" t="str">
        <x:v>OUVERT · textures UV/PNG 1:1 et patine à produire</x:v>
      </x:c>
      <x:c r="G823" s="79" t="str">
        <x:v>PNG indépendants aux bons détails et reflets</x:v>
      </x:c>
      <x:c r="H823" s="79" t="str">
        <x:v>ART 1:1</x:v>
      </x:c>
      <x:c r="I823" s="79" t="str">
        <x:v>Non : preuve humaine requise</x:v>
      </x:c>
      <x:c r="J823" s="79" t="str">
        <x:v>P0</x:v>
      </x:c>
      <x:c r="K823" s="79" t="str">
        <x:v>https://www.avpgalaxy.net/2022/07/31/new-prey-tv-spot-shows-feral-predators-cloak-vision-modes-and-gadgets/</x:v>
      </x:c>
      <x:c r="L823" s="79" t="str">
        <x:v>Avancement technique indicatif 0 %</x:v>
      </x:c>
    </x:row>
    <x:row r="824" ht="29" customHeight="1">
      <x:c r="A824" s="79" t="str">
        <x:v>22_V136_Backlog</x:v>
      </x:c>
      <x:c r="B824" s="79" t="n">
        <x:v>140</x:v>
      </x:c>
      <x:c r="C824" s="79" t="str">
        <x:v>V136-feral-04</x:v>
      </x:c>
      <x:c r="D824" s="79" t="str">
        <x:v>feral</x:v>
      </x:c>
      <x:c r="E824" s="79" t="str">
        <x:v>Charnière et animations</x:v>
      </x:c>
      <x:c r="F824" s="79" t="str">
        <x:v>PARTIEL · capot CSS ; 3 gestes / rig 1:1 manquants</x:v>
      </x:c>
      <x:c r="G824" s="79" t="str">
        <x:v>Cohérence rig / armurerie / hologramme</x:v>
      </x:c>
      <x:c r="H824" s="79" t="str">
        <x:v>ART 1:1</x:v>
      </x:c>
      <x:c r="I824" s="79" t="str">
        <x:v>Non : preuve humaine requise</x:v>
      </x:c>
      <x:c r="J824" s="79" t="str">
        <x:v>P0</x:v>
      </x:c>
      <x:c r="K824" s="79" t="str">
        <x:v>https://www.avpgalaxy.net/2022/07/31/new-prey-tv-spot-shows-feral-predators-cloak-vision-modes-and-gadgets/</x:v>
      </x:c>
      <x:c r="L824" s="79" t="str">
        <x:v>Avancement technique indicatif 25 %</x:v>
      </x:c>
    </x:row>
    <x:row r="825" ht="29" customHeight="1">
      <x:c r="A825" s="79" t="str">
        <x:v>22_V136_Backlog</x:v>
      </x:c>
      <x:c r="B825" s="79" t="n">
        <x:v>141</x:v>
      </x:c>
      <x:c r="C825" s="79" t="str">
        <x:v>V136-feral-05</x:v>
      </x:c>
      <x:c r="D825" s="79" t="str">
        <x:v>feral</x:v>
      </x:c>
      <x:c r="E825" s="79" t="str">
        <x:v>Rendu jeu et contrôle</x:v>
      </x:c>
      <x:c r="F825" s="79" t="str">
        <x:v>PARTIEL · rendu React + QA autonome, jeu complet à tester</x:v>
      </x:c>
      <x:c r="G825" s="79" t="str">
        <x:v>Comparaison toutes vues et modes</x:v>
      </x:c>
      <x:c r="H825" s="79" t="str">
        <x:v>ART 1:1</x:v>
      </x:c>
      <x:c r="I825" s="79" t="str">
        <x:v>Non : preuve humaine requise</x:v>
      </x:c>
      <x:c r="J825" s="79" t="str">
        <x:v>P0</x:v>
      </x:c>
      <x:c r="K825" s="79" t="str">
        <x:v>https://www.avpgalaxy.net/2022/07/31/new-prey-tv-spot-shows-feral-predators-cloak-vision-modes-and-gadgets/</x:v>
      </x:c>
      <x:c r="L825" s="79" t="str">
        <x:v>Avancement technique indicatif 45 %</x:v>
      </x:c>
    </x:row>
    <x:row r="826" ht="29" customHeight="1">
      <x:c r="A826" s="79" t="str">
        <x:v>22_V136_Backlog</x:v>
      </x:c>
      <x:c r="B826" s="79" t="n">
        <x:v>142</x:v>
      </x:c>
      <x:c r="C826" s="79" t="str">
        <x:v>V136-feral-06</x:v>
      </x:c>
      <x:c r="D826" s="79" t="str">
        <x:v>feral</x:v>
      </x:c>
      <x:c r="E826" s="79" t="str">
        <x:v>Revue artistique et droits</x:v>
      </x:c>
      <x:c r="F826" s="79" t="str">
        <x:v>OUVERT · revue humaine et autorisation IP nécessaires</x:v>
      </x:c>
      <x:c r="G826" s="79" t="str">
        <x:v>Ne jamais certifier sans approbation manuelle</x:v>
      </x:c>
      <x:c r="H826" s="79" t="str">
        <x:v>ART 1:1</x:v>
      </x:c>
      <x:c r="I826" s="79" t="str">
        <x:v>Non : preuve humaine requise</x:v>
      </x:c>
      <x:c r="J826" s="79" t="str">
        <x:v>P0</x:v>
      </x:c>
      <x:c r="K826" s="79" t="str">
        <x:v>https://www.avpgalaxy.net/2022/07/31/new-prey-tv-spot-shows-feral-predators-cloak-vision-modes-and-gadgets/</x:v>
      </x:c>
      <x:c r="L826" s="79" t="str">
        <x:v>Avancement technique indicatif 0 %</x:v>
      </x:c>
    </x:row>
    <x:row r="827" ht="29" customHeight="1">
      <x:c r="A827" s="79" t="str">
        <x:v>22_V136_Backlog</x:v>
      </x:c>
      <x:c r="B827" s="79" t="n">
        <x:v>143</x:v>
      </x:c>
      <x:c r="C827" s="79" t="str">
        <x:v>V136-dek-01</x:v>
      </x:c>
      <x:c r="D827" s="79" t="str">
        <x:v>dek</x:v>
      </x:c>
      <x:c r="E827" s="79" t="str">
        <x:v>Plan face/dessus/profil</x:v>
      </x:c>
      <x:c r="F827" s="79" t="str">
        <x:v>OUVERT · plusieurs vues source film/jeu non relevées</x:v>
      </x:c>
      <x:c r="G827" s="79" t="str">
        <x:v>Photo, prop, capture jeu propre au gauntlet</x:v>
      </x:c>
      <x:c r="H827" s="79" t="str">
        <x:v>ART 1:1</x:v>
      </x:c>
      <x:c r="I827" s="79" t="str">
        <x:v>Non : preuve humaine requise</x:v>
      </x:c>
      <x:c r="J827" s="79" t="str">
        <x:v>P0</x:v>
      </x:c>
      <x:c r="K827" s="79" t="str">
        <x:v>https://www.wetaworkshop.com/projects/predator-badlands</x:v>
      </x:c>
      <x:c r="L827" s="79" t="str">
        <x:v>Avancement technique indicatif 0 %</x:v>
      </x:c>
    </x:row>
    <x:row r="828" ht="29" customHeight="1">
      <x:c r="A828" s="79" t="str">
        <x:v>22_V136_Backlog</x:v>
      </x:c>
      <x:c r="B828" s="79" t="n">
        <x:v>144</x:v>
      </x:c>
      <x:c r="C828" s="79" t="str">
        <x:v>V136-dek-02</x:v>
      </x:c>
      <x:c r="D828" s="79" t="str">
        <x:v>dek</x:v>
      </x:c>
      <x:c r="E828" s="79" t="str">
        <x:v>Proportions et silhouette</x:v>
      </x:c>
      <x:c r="F828" s="79" t="str">
        <x:v>PARTIEL · silhouette SVG originale, proportions non mesurées</x:v>
      </x:c>
      <x:c r="G828" s="79" t="str">
        <x:v>Contrôle alignement poignet et pièces</x:v>
      </x:c>
      <x:c r="H828" s="79" t="str">
        <x:v>ART 1:1</x:v>
      </x:c>
      <x:c r="I828" s="79" t="str">
        <x:v>Non : preuve humaine requise</x:v>
      </x:c>
      <x:c r="J828" s="79" t="str">
        <x:v>P0</x:v>
      </x:c>
      <x:c r="K828" s="79" t="str">
        <x:v>https://www.wetaworkshop.com/projects/predator-badlands</x:v>
      </x:c>
      <x:c r="L828" s="79" t="str">
        <x:v>Avancement technique indicatif 25 %</x:v>
      </x:c>
    </x:row>
    <x:row r="829" ht="29" customHeight="1">
      <x:c r="A829" s="79" t="str">
        <x:v>22_V136_Backlog</x:v>
      </x:c>
      <x:c r="B829" s="79" t="n">
        <x:v>145</x:v>
      </x:c>
      <x:c r="C829" s="79" t="str">
        <x:v>V136-dek-03</x:v>
      </x:c>
      <x:c r="D829" s="79" t="str">
        <x:v>dek</x:v>
      </x:c>
      <x:c r="E829" s="79" t="str">
        <x:v>Textures UV et matériaux</x:v>
      </x:c>
      <x:c r="F829" s="79" t="str">
        <x:v>OUVERT · textures UV/PNG 1:1 et patine à produire</x:v>
      </x:c>
      <x:c r="G829" s="79" t="str">
        <x:v>PNG indépendants aux bons détails et reflets</x:v>
      </x:c>
      <x:c r="H829" s="79" t="str">
        <x:v>ART 1:1</x:v>
      </x:c>
      <x:c r="I829" s="79" t="str">
        <x:v>Non : preuve humaine requise</x:v>
      </x:c>
      <x:c r="J829" s="79" t="str">
        <x:v>P0</x:v>
      </x:c>
      <x:c r="K829" s="79" t="str">
        <x:v>https://www.wetaworkshop.com/projects/predator-badlands</x:v>
      </x:c>
      <x:c r="L829" s="79" t="str">
        <x:v>Avancement technique indicatif 0 %</x:v>
      </x:c>
    </x:row>
    <x:row r="830" ht="29" customHeight="1">
      <x:c r="A830" s="79" t="str">
        <x:v>22_V136_Backlog</x:v>
      </x:c>
      <x:c r="B830" s="79" t="n">
        <x:v>146</x:v>
      </x:c>
      <x:c r="C830" s="79" t="str">
        <x:v>V136-dek-04</x:v>
      </x:c>
      <x:c r="D830" s="79" t="str">
        <x:v>dek</x:v>
      </x:c>
      <x:c r="E830" s="79" t="str">
        <x:v>Charnière et animations</x:v>
      </x:c>
      <x:c r="F830" s="79" t="str">
        <x:v>PARTIEL · capot CSS ; 3 gestes / rig 1:1 manquants</x:v>
      </x:c>
      <x:c r="G830" s="79" t="str">
        <x:v>Cohérence rig / armurerie / hologramme</x:v>
      </x:c>
      <x:c r="H830" s="79" t="str">
        <x:v>ART 1:1</x:v>
      </x:c>
      <x:c r="I830" s="79" t="str">
        <x:v>Non : preuve humaine requise</x:v>
      </x:c>
      <x:c r="J830" s="79" t="str">
        <x:v>P0</x:v>
      </x:c>
      <x:c r="K830" s="79" t="str">
        <x:v>https://www.wetaworkshop.com/projects/predator-badlands</x:v>
      </x:c>
      <x:c r="L830" s="79" t="str">
        <x:v>Avancement technique indicatif 25 %</x:v>
      </x:c>
    </x:row>
    <x:row r="831" ht="29" customHeight="1">
      <x:c r="A831" s="79" t="str">
        <x:v>22_V136_Backlog</x:v>
      </x:c>
      <x:c r="B831" s="79" t="n">
        <x:v>147</x:v>
      </x:c>
      <x:c r="C831" s="79" t="str">
        <x:v>V136-dek-05</x:v>
      </x:c>
      <x:c r="D831" s="79" t="str">
        <x:v>dek</x:v>
      </x:c>
      <x:c r="E831" s="79" t="str">
        <x:v>Rendu jeu et contrôle</x:v>
      </x:c>
      <x:c r="F831" s="79" t="str">
        <x:v>PARTIEL · rendu React + QA autonome, jeu complet à tester</x:v>
      </x:c>
      <x:c r="G831" s="79" t="str">
        <x:v>Comparaison toutes vues et modes</x:v>
      </x:c>
      <x:c r="H831" s="79" t="str">
        <x:v>ART 1:1</x:v>
      </x:c>
      <x:c r="I831" s="79" t="str">
        <x:v>Non : preuve humaine requise</x:v>
      </x:c>
      <x:c r="J831" s="79" t="str">
        <x:v>P0</x:v>
      </x:c>
      <x:c r="K831" s="79" t="str">
        <x:v>https://www.wetaworkshop.com/projects/predator-badlands</x:v>
      </x:c>
      <x:c r="L831" s="79" t="str">
        <x:v>Avancement technique indicatif 45 %</x:v>
      </x:c>
    </x:row>
    <x:row r="832" ht="29" customHeight="1">
      <x:c r="A832" s="79" t="str">
        <x:v>22_V136_Backlog</x:v>
      </x:c>
      <x:c r="B832" s="79" t="n">
        <x:v>148</x:v>
      </x:c>
      <x:c r="C832" s="79" t="str">
        <x:v>V136-dek-06</x:v>
      </x:c>
      <x:c r="D832" s="79" t="str">
        <x:v>dek</x:v>
      </x:c>
      <x:c r="E832" s="79" t="str">
        <x:v>Revue artistique et droits</x:v>
      </x:c>
      <x:c r="F832" s="79" t="str">
        <x:v>OUVERT · revue humaine et autorisation IP nécessaires</x:v>
      </x:c>
      <x:c r="G832" s="79" t="str">
        <x:v>Ne jamais certifier sans approbation manuelle</x:v>
      </x:c>
      <x:c r="H832" s="79" t="str">
        <x:v>ART 1:1</x:v>
      </x:c>
      <x:c r="I832" s="79" t="str">
        <x:v>Non : preuve humaine requise</x:v>
      </x:c>
      <x:c r="J832" s="79" t="str">
        <x:v>P0</x:v>
      </x:c>
      <x:c r="K832" s="79" t="str">
        <x:v>https://www.wetaworkshop.com/projects/predator-badlands</x:v>
      </x:c>
      <x:c r="L832" s="79" t="str">
        <x:v>Avancement technique indicatif 0 %</x:v>
      </x:c>
    </x:row>
    <x:row r="833" ht="29" customHeight="1">
      <x:c r="A833" s="79" t="str">
        <x:v>22_V136_Backlog</x:v>
      </x:c>
      <x:c r="B833" s="79" t="n">
        <x:v>149</x:v>
      </x:c>
      <x:c r="C833" s="79" t="str">
        <x:v>V136-kwei-01</x:v>
      </x:c>
      <x:c r="D833" s="79" t="str">
        <x:v>kwei</x:v>
      </x:c>
      <x:c r="E833" s="79" t="str">
        <x:v>Plan face/dessus/profil</x:v>
      </x:c>
      <x:c r="F833" s="79" t="str">
        <x:v>OUVERT · plusieurs vues source film/jeu non relevées</x:v>
      </x:c>
      <x:c r="G833" s="79" t="str">
        <x:v>Photo, prop, capture jeu propre au gauntlet</x:v>
      </x:c>
      <x:c r="H833" s="79" t="str">
        <x:v>ART 1:1</x:v>
      </x:c>
      <x:c r="I833" s="79" t="str">
        <x:v>Non : preuve humaine requise</x:v>
      </x:c>
      <x:c r="J833" s="79" t="str">
        <x:v>P1</x:v>
      </x:c>
      <x:c r="K833" s="79" t="str">
        <x:v>https://wetaworkshopdesignstudio.artstation.com/projects/rlxRPa</x:v>
      </x:c>
      <x:c r="L833" s="79" t="str">
        <x:v>Avancement technique indicatif 0 %</x:v>
      </x:c>
    </x:row>
    <x:row r="834" ht="29" customHeight="1">
      <x:c r="A834" s="79" t="str">
        <x:v>22_V136_Backlog</x:v>
      </x:c>
      <x:c r="B834" s="79" t="n">
        <x:v>150</x:v>
      </x:c>
      <x:c r="C834" s="79" t="str">
        <x:v>V136-kwei-02</x:v>
      </x:c>
      <x:c r="D834" s="79" t="str">
        <x:v>kwei</x:v>
      </x:c>
      <x:c r="E834" s="79" t="str">
        <x:v>Proportions et silhouette</x:v>
      </x:c>
      <x:c r="F834" s="79" t="str">
        <x:v>PARTIEL · silhouette SVG originale, proportions non mesurées</x:v>
      </x:c>
      <x:c r="G834" s="79" t="str">
        <x:v>Contrôle alignement poignet et pièces</x:v>
      </x:c>
      <x:c r="H834" s="79" t="str">
        <x:v>ART 1:1</x:v>
      </x:c>
      <x:c r="I834" s="79" t="str">
        <x:v>Non : preuve humaine requise</x:v>
      </x:c>
      <x:c r="J834" s="79" t="str">
        <x:v>P1</x:v>
      </x:c>
      <x:c r="K834" s="79" t="str">
        <x:v>https://wetaworkshopdesignstudio.artstation.com/projects/rlxRPa</x:v>
      </x:c>
      <x:c r="L834" s="79" t="str">
        <x:v>Avancement technique indicatif 25 %</x:v>
      </x:c>
    </x:row>
    <x:row r="835" ht="29" customHeight="1">
      <x:c r="A835" s="79" t="str">
        <x:v>22_V136_Backlog</x:v>
      </x:c>
      <x:c r="B835" s="79" t="n">
        <x:v>151</x:v>
      </x:c>
      <x:c r="C835" s="79" t="str">
        <x:v>V136-kwei-03</x:v>
      </x:c>
      <x:c r="D835" s="79" t="str">
        <x:v>kwei</x:v>
      </x:c>
      <x:c r="E835" s="79" t="str">
        <x:v>Textures UV et matériaux</x:v>
      </x:c>
      <x:c r="F835" s="79" t="str">
        <x:v>OUVERT · textures UV/PNG 1:1 et patine à produire</x:v>
      </x:c>
      <x:c r="G835" s="79" t="str">
        <x:v>PNG indépendants aux bons détails et reflets</x:v>
      </x:c>
      <x:c r="H835" s="79" t="str">
        <x:v>ART 1:1</x:v>
      </x:c>
      <x:c r="I835" s="79" t="str">
        <x:v>Non : preuve humaine requise</x:v>
      </x:c>
      <x:c r="J835" s="79" t="str">
        <x:v>P1</x:v>
      </x:c>
      <x:c r="K835" s="79" t="str">
        <x:v>https://wetaworkshopdesignstudio.artstation.com/projects/rlxRPa</x:v>
      </x:c>
      <x:c r="L835" s="79" t="str">
        <x:v>Avancement technique indicatif 0 %</x:v>
      </x:c>
    </x:row>
    <x:row r="836" ht="29" customHeight="1">
      <x:c r="A836" s="79" t="str">
        <x:v>22_V136_Backlog</x:v>
      </x:c>
      <x:c r="B836" s="79" t="n">
        <x:v>152</x:v>
      </x:c>
      <x:c r="C836" s="79" t="str">
        <x:v>V136-kwei-04</x:v>
      </x:c>
      <x:c r="D836" s="79" t="str">
        <x:v>kwei</x:v>
      </x:c>
      <x:c r="E836" s="79" t="str">
        <x:v>Charnière et animations</x:v>
      </x:c>
      <x:c r="F836" s="79" t="str">
        <x:v>PARTIEL · capot CSS ; 3 gestes / rig 1:1 manquants</x:v>
      </x:c>
      <x:c r="G836" s="79" t="str">
        <x:v>Cohérence rig / armurerie / hologramme</x:v>
      </x:c>
      <x:c r="H836" s="79" t="str">
        <x:v>ART 1:1</x:v>
      </x:c>
      <x:c r="I836" s="79" t="str">
        <x:v>Non : preuve humaine requise</x:v>
      </x:c>
      <x:c r="J836" s="79" t="str">
        <x:v>P1</x:v>
      </x:c>
      <x:c r="K836" s="79" t="str">
        <x:v>https://wetaworkshopdesignstudio.artstation.com/projects/rlxRPa</x:v>
      </x:c>
      <x:c r="L836" s="79" t="str">
        <x:v>Avancement technique indicatif 25 %</x:v>
      </x:c>
    </x:row>
    <x:row r="837" ht="29" customHeight="1">
      <x:c r="A837" s="79" t="str">
        <x:v>22_V136_Backlog</x:v>
      </x:c>
      <x:c r="B837" s="79" t="n">
        <x:v>153</x:v>
      </x:c>
      <x:c r="C837" s="79" t="str">
        <x:v>V136-kwei-05</x:v>
      </x:c>
      <x:c r="D837" s="79" t="str">
        <x:v>kwei</x:v>
      </x:c>
      <x:c r="E837" s="79" t="str">
        <x:v>Rendu jeu et contrôle</x:v>
      </x:c>
      <x:c r="F837" s="79" t="str">
        <x:v>PARTIEL · rendu React + QA autonome, jeu complet à tester</x:v>
      </x:c>
      <x:c r="G837" s="79" t="str">
        <x:v>Comparaison toutes vues et modes</x:v>
      </x:c>
      <x:c r="H837" s="79" t="str">
        <x:v>ART 1:1</x:v>
      </x:c>
      <x:c r="I837" s="79" t="str">
        <x:v>Non : preuve humaine requise</x:v>
      </x:c>
      <x:c r="J837" s="79" t="str">
        <x:v>P1</x:v>
      </x:c>
      <x:c r="K837" s="79" t="str">
        <x:v>https://wetaworkshopdesignstudio.artstation.com/projects/rlxRPa</x:v>
      </x:c>
      <x:c r="L837" s="79" t="str">
        <x:v>Avancement technique indicatif 45 %</x:v>
      </x:c>
    </x:row>
    <x:row r="838" ht="29" customHeight="1">
      <x:c r="A838" s="79" t="str">
        <x:v>22_V136_Backlog</x:v>
      </x:c>
      <x:c r="B838" s="79" t="n">
        <x:v>154</x:v>
      </x:c>
      <x:c r="C838" s="79" t="str">
        <x:v>V136-kwei-06</x:v>
      </x:c>
      <x:c r="D838" s="79" t="str">
        <x:v>kwei</x:v>
      </x:c>
      <x:c r="E838" s="79" t="str">
        <x:v>Revue artistique et droits</x:v>
      </x:c>
      <x:c r="F838" s="79" t="str">
        <x:v>OUVERT · revue humaine et autorisation IP nécessaires</x:v>
      </x:c>
      <x:c r="G838" s="79" t="str">
        <x:v>Ne jamais certifier sans approbation manuelle</x:v>
      </x:c>
      <x:c r="H838" s="79" t="str">
        <x:v>ART 1:1</x:v>
      </x:c>
      <x:c r="I838" s="79" t="str">
        <x:v>Non : preuve humaine requise</x:v>
      </x:c>
      <x:c r="J838" s="79" t="str">
        <x:v>P1</x:v>
      </x:c>
      <x:c r="K838" s="79" t="str">
        <x:v>https://wetaworkshopdesignstudio.artstation.com/projects/rlxRPa</x:v>
      </x:c>
      <x:c r="L838" s="79" t="str">
        <x:v>Avancement technique indicatif 0 %</x:v>
      </x:c>
    </x:row>
    <x:row r="839" ht="29" customHeight="1">
      <x:c r="A839" s="79" t="str">
        <x:v>22_V136_Backlog</x:v>
      </x:c>
      <x:c r="B839" s="79" t="n">
        <x:v>155</x:v>
      </x:c>
      <x:c r="C839" s="79" t="str">
        <x:v>V136-njohrr-01</x:v>
      </x:c>
      <x:c r="D839" s="79" t="str">
        <x:v>njohrr</x:v>
      </x:c>
      <x:c r="E839" s="79" t="str">
        <x:v>Plan face/dessus/profil</x:v>
      </x:c>
      <x:c r="F839" s="79" t="str">
        <x:v>OUVERT · plusieurs vues source film/jeu non relevées</x:v>
      </x:c>
      <x:c r="G839" s="79" t="str">
        <x:v>Photo, prop, capture jeu propre au gauntlet</x:v>
      </x:c>
      <x:c r="H839" s="79" t="str">
        <x:v>ART 1:1</x:v>
      </x:c>
      <x:c r="I839" s="79" t="str">
        <x:v>Non : preuve humaine requise</x:v>
      </x:c>
      <x:c r="J839" s="79" t="str">
        <x:v>P1</x:v>
      </x:c>
      <x:c r="K839" s="79" t="str">
        <x:v>https://wetaworkshopdesignstudio.artstation.com/projects/rlxRPa</x:v>
      </x:c>
      <x:c r="L839" s="79" t="str">
        <x:v>Avancement technique indicatif 0 %</x:v>
      </x:c>
    </x:row>
    <x:row r="840" ht="29" customHeight="1">
      <x:c r="A840" s="79" t="str">
        <x:v>22_V136_Backlog</x:v>
      </x:c>
      <x:c r="B840" s="79" t="n">
        <x:v>156</x:v>
      </x:c>
      <x:c r="C840" s="79" t="str">
        <x:v>V136-njohrr-02</x:v>
      </x:c>
      <x:c r="D840" s="79" t="str">
        <x:v>njohrr</x:v>
      </x:c>
      <x:c r="E840" s="79" t="str">
        <x:v>Proportions et silhouette</x:v>
      </x:c>
      <x:c r="F840" s="79" t="str">
        <x:v>PARTIEL · silhouette SVG originale, proportions non mesurées</x:v>
      </x:c>
      <x:c r="G840" s="79" t="str">
        <x:v>Contrôle alignement poignet et pièces</x:v>
      </x:c>
      <x:c r="H840" s="79" t="str">
        <x:v>ART 1:1</x:v>
      </x:c>
      <x:c r="I840" s="79" t="str">
        <x:v>Non : preuve humaine requise</x:v>
      </x:c>
      <x:c r="J840" s="79" t="str">
        <x:v>P1</x:v>
      </x:c>
      <x:c r="K840" s="79" t="str">
        <x:v>https://wetaworkshopdesignstudio.artstation.com/projects/rlxRPa</x:v>
      </x:c>
      <x:c r="L840" s="79" t="str">
        <x:v>Avancement technique indicatif 25 %</x:v>
      </x:c>
    </x:row>
    <x:row r="841" ht="29" customHeight="1">
      <x:c r="A841" s="79" t="str">
        <x:v>22_V136_Backlog</x:v>
      </x:c>
      <x:c r="B841" s="79" t="n">
        <x:v>157</x:v>
      </x:c>
      <x:c r="C841" s="79" t="str">
        <x:v>V136-njohrr-03</x:v>
      </x:c>
      <x:c r="D841" s="79" t="str">
        <x:v>njohrr</x:v>
      </x:c>
      <x:c r="E841" s="79" t="str">
        <x:v>Textures UV et matériaux</x:v>
      </x:c>
      <x:c r="F841" s="79" t="str">
        <x:v>OUVERT · textures UV/PNG 1:1 et patine à produire</x:v>
      </x:c>
      <x:c r="G841" s="79" t="str">
        <x:v>PNG indépendants aux bons détails et reflets</x:v>
      </x:c>
      <x:c r="H841" s="79" t="str">
        <x:v>ART 1:1</x:v>
      </x:c>
      <x:c r="I841" s="79" t="str">
        <x:v>Non : preuve humaine requise</x:v>
      </x:c>
      <x:c r="J841" s="79" t="str">
        <x:v>P1</x:v>
      </x:c>
      <x:c r="K841" s="79" t="str">
        <x:v>https://wetaworkshopdesignstudio.artstation.com/projects/rlxRPa</x:v>
      </x:c>
      <x:c r="L841" s="79" t="str">
        <x:v>Avancement technique indicatif 0 %</x:v>
      </x:c>
    </x:row>
    <x:row r="842" ht="29" customHeight="1">
      <x:c r="A842" s="79" t="str">
        <x:v>22_V136_Backlog</x:v>
      </x:c>
      <x:c r="B842" s="79" t="n">
        <x:v>158</x:v>
      </x:c>
      <x:c r="C842" s="79" t="str">
        <x:v>V136-njohrr-04</x:v>
      </x:c>
      <x:c r="D842" s="79" t="str">
        <x:v>njohrr</x:v>
      </x:c>
      <x:c r="E842" s="79" t="str">
        <x:v>Charnière et animations</x:v>
      </x:c>
      <x:c r="F842" s="79" t="str">
        <x:v>PARTIEL · capot CSS ; 3 gestes / rig 1:1 manquants</x:v>
      </x:c>
      <x:c r="G842" s="79" t="str">
        <x:v>Cohérence rig / armurerie / hologramme</x:v>
      </x:c>
      <x:c r="H842" s="79" t="str">
        <x:v>ART 1:1</x:v>
      </x:c>
      <x:c r="I842" s="79" t="str">
        <x:v>Non : preuve humaine requise</x:v>
      </x:c>
      <x:c r="J842" s="79" t="str">
        <x:v>P1</x:v>
      </x:c>
      <x:c r="K842" s="79" t="str">
        <x:v>https://wetaworkshopdesignstudio.artstation.com/projects/rlxRPa</x:v>
      </x:c>
      <x:c r="L842" s="79" t="str">
        <x:v>Avancement technique indicatif 25 %</x:v>
      </x:c>
    </x:row>
    <x:row r="843" ht="29" customHeight="1">
      <x:c r="A843" s="79" t="str">
        <x:v>22_V136_Backlog</x:v>
      </x:c>
      <x:c r="B843" s="79" t="n">
        <x:v>159</x:v>
      </x:c>
      <x:c r="C843" s="79" t="str">
        <x:v>V136-njohrr-05</x:v>
      </x:c>
      <x:c r="D843" s="79" t="str">
        <x:v>njohrr</x:v>
      </x:c>
      <x:c r="E843" s="79" t="str">
        <x:v>Rendu jeu et contrôle</x:v>
      </x:c>
      <x:c r="F843" s="79" t="str">
        <x:v>PARTIEL · rendu React + QA autonome, jeu complet à tester</x:v>
      </x:c>
      <x:c r="G843" s="79" t="str">
        <x:v>Comparaison toutes vues et modes</x:v>
      </x:c>
      <x:c r="H843" s="79" t="str">
        <x:v>ART 1:1</x:v>
      </x:c>
      <x:c r="I843" s="79" t="str">
        <x:v>Non : preuve humaine requise</x:v>
      </x:c>
      <x:c r="J843" s="79" t="str">
        <x:v>P1</x:v>
      </x:c>
      <x:c r="K843" s="79" t="str">
        <x:v>https://wetaworkshopdesignstudio.artstation.com/projects/rlxRPa</x:v>
      </x:c>
      <x:c r="L843" s="79" t="str">
        <x:v>Avancement technique indicatif 45 %</x:v>
      </x:c>
    </x:row>
    <x:row r="844" ht="29" customHeight="1">
      <x:c r="A844" s="79" t="str">
        <x:v>22_V136_Backlog</x:v>
      </x:c>
      <x:c r="B844" s="79" t="n">
        <x:v>160</x:v>
      </x:c>
      <x:c r="C844" s="79" t="str">
        <x:v>V136-njohrr-06</x:v>
      </x:c>
      <x:c r="D844" s="79" t="str">
        <x:v>njohrr</x:v>
      </x:c>
      <x:c r="E844" s="79" t="str">
        <x:v>Revue artistique et droits</x:v>
      </x:c>
      <x:c r="F844" s="79" t="str">
        <x:v>OUVERT · revue humaine et autorisation IP nécessaires</x:v>
      </x:c>
      <x:c r="G844" s="79" t="str">
        <x:v>Ne jamais certifier sans approbation manuelle</x:v>
      </x:c>
      <x:c r="H844" s="79" t="str">
        <x:v>ART 1:1</x:v>
      </x:c>
      <x:c r="I844" s="79" t="str">
        <x:v>Non : preuve humaine requise</x:v>
      </x:c>
      <x:c r="J844" s="79" t="str">
        <x:v>P1</x:v>
      </x:c>
      <x:c r="K844" s="79" t="str">
        <x:v>https://wetaworkshopdesignstudio.artstation.com/projects/rlxRPa</x:v>
      </x:c>
      <x:c r="L844" s="79" t="str">
        <x:v>Avancement technique indicatif 0 %</x:v>
      </x:c>
    </x:row>
    <x:row r="845" ht="29" customHeight="1">
      <x:c r="A845" s="79" t="str">
        <x:v>22_V136_Backlog</x:v>
      </x:c>
      <x:c r="B845" s="79" t="n">
        <x:v>161</x:v>
      </x:c>
      <x:c r="C845" s="79" t="str">
        <x:v>V136-kok-viking-01</x:v>
      </x:c>
      <x:c r="D845" s="79" t="str">
        <x:v>kok-viking</x:v>
      </x:c>
      <x:c r="E845" s="79" t="str">
        <x:v>Plan face/dessus/profil</x:v>
      </x:c>
      <x:c r="F845" s="79" t="str">
        <x:v>OUVERT · plusieurs vues source film/jeu non relevées</x:v>
      </x:c>
      <x:c r="G845" s="79" t="str">
        <x:v>Photo, prop, capture jeu propre au gauntlet</x:v>
      </x:c>
      <x:c r="H845" s="79" t="str">
        <x:v>ART 1:1</x:v>
      </x:c>
      <x:c r="I845" s="79" t="str">
        <x:v>Non : preuve humaine requise</x:v>
      </x:c>
      <x:c r="J845" s="79" t="str">
        <x:v>P1</x:v>
      </x:c>
      <x:c r="K845" s="79" t="str">
        <x:v>https://www.20thcenturystudios.com/movies/predator-killer-of-killers</x:v>
      </x:c>
      <x:c r="L845" s="79" t="str">
        <x:v>Avancement technique indicatif 0 %</x:v>
      </x:c>
    </x:row>
    <x:row r="846" ht="29" customHeight="1">
      <x:c r="A846" s="79" t="str">
        <x:v>22_V136_Backlog</x:v>
      </x:c>
      <x:c r="B846" s="79" t="n">
        <x:v>162</x:v>
      </x:c>
      <x:c r="C846" s="79" t="str">
        <x:v>V136-kok-viking-02</x:v>
      </x:c>
      <x:c r="D846" s="79" t="str">
        <x:v>kok-viking</x:v>
      </x:c>
      <x:c r="E846" s="79" t="str">
        <x:v>Proportions et silhouette</x:v>
      </x:c>
      <x:c r="F846" s="79" t="str">
        <x:v>PARTIEL · silhouette SVG originale, proportions non mesurées</x:v>
      </x:c>
      <x:c r="G846" s="79" t="str">
        <x:v>Contrôle alignement poignet et pièces</x:v>
      </x:c>
      <x:c r="H846" s="79" t="str">
        <x:v>ART 1:1</x:v>
      </x:c>
      <x:c r="I846" s="79" t="str">
        <x:v>Non : preuve humaine requise</x:v>
      </x:c>
      <x:c r="J846" s="79" t="str">
        <x:v>P1</x:v>
      </x:c>
      <x:c r="K846" s="79" t="str">
        <x:v>https://www.20thcenturystudios.com/movies/predator-killer-of-killers</x:v>
      </x:c>
      <x:c r="L846" s="79" t="str">
        <x:v>Avancement technique indicatif 25 %</x:v>
      </x:c>
    </x:row>
    <x:row r="847" ht="29" customHeight="1">
      <x:c r="A847" s="79" t="str">
        <x:v>22_V136_Backlog</x:v>
      </x:c>
      <x:c r="B847" s="79" t="n">
        <x:v>163</x:v>
      </x:c>
      <x:c r="C847" s="79" t="str">
        <x:v>V136-kok-viking-03</x:v>
      </x:c>
      <x:c r="D847" s="79" t="str">
        <x:v>kok-viking</x:v>
      </x:c>
      <x:c r="E847" s="79" t="str">
        <x:v>Textures UV et matériaux</x:v>
      </x:c>
      <x:c r="F847" s="79" t="str">
        <x:v>OUVERT · textures UV/PNG 1:1 et patine à produire</x:v>
      </x:c>
      <x:c r="G847" s="79" t="str">
        <x:v>PNG indépendants aux bons détails et reflets</x:v>
      </x:c>
      <x:c r="H847" s="79" t="str">
        <x:v>ART 1:1</x:v>
      </x:c>
      <x:c r="I847" s="79" t="str">
        <x:v>Non : preuve humaine requise</x:v>
      </x:c>
      <x:c r="J847" s="79" t="str">
        <x:v>P1</x:v>
      </x:c>
      <x:c r="K847" s="79" t="str">
        <x:v>https://www.20thcenturystudios.com/movies/predator-killer-of-killers</x:v>
      </x:c>
      <x:c r="L847" s="79" t="str">
        <x:v>Avancement technique indicatif 0 %</x:v>
      </x:c>
    </x:row>
    <x:row r="848" ht="29" customHeight="1">
      <x:c r="A848" s="79" t="str">
        <x:v>22_V136_Backlog</x:v>
      </x:c>
      <x:c r="B848" s="79" t="n">
        <x:v>164</x:v>
      </x:c>
      <x:c r="C848" s="79" t="str">
        <x:v>V136-kok-viking-04</x:v>
      </x:c>
      <x:c r="D848" s="79" t="str">
        <x:v>kok-viking</x:v>
      </x:c>
      <x:c r="E848" s="79" t="str">
        <x:v>Charnière et animations</x:v>
      </x:c>
      <x:c r="F848" s="79" t="str">
        <x:v>PARTIEL · capot CSS ; 3 gestes / rig 1:1 manquants</x:v>
      </x:c>
      <x:c r="G848" s="79" t="str">
        <x:v>Cohérence rig / armurerie / hologramme</x:v>
      </x:c>
      <x:c r="H848" s="79" t="str">
        <x:v>ART 1:1</x:v>
      </x:c>
      <x:c r="I848" s="79" t="str">
        <x:v>Non : preuve humaine requise</x:v>
      </x:c>
      <x:c r="J848" s="79" t="str">
        <x:v>P1</x:v>
      </x:c>
      <x:c r="K848" s="79" t="str">
        <x:v>https://www.20thcenturystudios.com/movies/predator-killer-of-killers</x:v>
      </x:c>
      <x:c r="L848" s="79" t="str">
        <x:v>Avancement technique indicatif 25 %</x:v>
      </x:c>
    </x:row>
    <x:row r="849" ht="29" customHeight="1">
      <x:c r="A849" s="79" t="str">
        <x:v>22_V136_Backlog</x:v>
      </x:c>
      <x:c r="B849" s="79" t="n">
        <x:v>165</x:v>
      </x:c>
      <x:c r="C849" s="79" t="str">
        <x:v>V136-kok-viking-05</x:v>
      </x:c>
      <x:c r="D849" s="79" t="str">
        <x:v>kok-viking</x:v>
      </x:c>
      <x:c r="E849" s="79" t="str">
        <x:v>Rendu jeu et contrôle</x:v>
      </x:c>
      <x:c r="F849" s="79" t="str">
        <x:v>PARTIEL · rendu React + QA autonome, jeu complet à tester</x:v>
      </x:c>
      <x:c r="G849" s="79" t="str">
        <x:v>Comparaison toutes vues et modes</x:v>
      </x:c>
      <x:c r="H849" s="79" t="str">
        <x:v>ART 1:1</x:v>
      </x:c>
      <x:c r="I849" s="79" t="str">
        <x:v>Non : preuve humaine requise</x:v>
      </x:c>
      <x:c r="J849" s="79" t="str">
        <x:v>P1</x:v>
      </x:c>
      <x:c r="K849" s="79" t="str">
        <x:v>https://www.20thcenturystudios.com/movies/predator-killer-of-killers</x:v>
      </x:c>
      <x:c r="L849" s="79" t="str">
        <x:v>Avancement technique indicatif 45 %</x:v>
      </x:c>
    </x:row>
    <x:row r="850" ht="29" customHeight="1">
      <x:c r="A850" s="79" t="str">
        <x:v>22_V136_Backlog</x:v>
      </x:c>
      <x:c r="B850" s="79" t="n">
        <x:v>166</x:v>
      </x:c>
      <x:c r="C850" s="79" t="str">
        <x:v>V136-kok-viking-06</x:v>
      </x:c>
      <x:c r="D850" s="79" t="str">
        <x:v>kok-viking</x:v>
      </x:c>
      <x:c r="E850" s="79" t="str">
        <x:v>Revue artistique et droits</x:v>
      </x:c>
      <x:c r="F850" s="79" t="str">
        <x:v>OUVERT · revue humaine et autorisation IP nécessaires</x:v>
      </x:c>
      <x:c r="G850" s="79" t="str">
        <x:v>Ne jamais certifier sans approbation manuelle</x:v>
      </x:c>
      <x:c r="H850" s="79" t="str">
        <x:v>ART 1:1</x:v>
      </x:c>
      <x:c r="I850" s="79" t="str">
        <x:v>Non : preuve humaine requise</x:v>
      </x:c>
      <x:c r="J850" s="79" t="str">
        <x:v>P1</x:v>
      </x:c>
      <x:c r="K850" s="79" t="str">
        <x:v>https://www.20thcenturystudios.com/movies/predator-killer-of-killers</x:v>
      </x:c>
      <x:c r="L850" s="79" t="str">
        <x:v>Avancement technique indicatif 0 %</x:v>
      </x:c>
    </x:row>
    <x:row r="851" ht="29" customHeight="1">
      <x:c r="A851" s="79" t="str">
        <x:v>22_V136_Backlog</x:v>
      </x:c>
      <x:c r="B851" s="79" t="n">
        <x:v>167</x:v>
      </x:c>
      <x:c r="C851" s="79" t="str">
        <x:v>V136-kok-ninja-01</x:v>
      </x:c>
      <x:c r="D851" s="79" t="str">
        <x:v>kok-ninja</x:v>
      </x:c>
      <x:c r="E851" s="79" t="str">
        <x:v>Plan face/dessus/profil</x:v>
      </x:c>
      <x:c r="F851" s="79" t="str">
        <x:v>OUVERT · plusieurs vues source film/jeu non relevées</x:v>
      </x:c>
      <x:c r="G851" s="79" t="str">
        <x:v>Photo, prop, capture jeu propre au gauntlet</x:v>
      </x:c>
      <x:c r="H851" s="79" t="str">
        <x:v>ART 1:1</x:v>
      </x:c>
      <x:c r="I851" s="79" t="str">
        <x:v>Non : preuve humaine requise</x:v>
      </x:c>
      <x:c r="J851" s="79" t="str">
        <x:v>P1</x:v>
      </x:c>
      <x:c r="K851" s="79" t="str">
        <x:v>https://www.20thcenturystudios.com/movies/predator-killer-of-killers</x:v>
      </x:c>
      <x:c r="L851" s="79" t="str">
        <x:v>Avancement technique indicatif 0 %</x:v>
      </x:c>
    </x:row>
    <x:row r="852" ht="29" customHeight="1">
      <x:c r="A852" s="79" t="str">
        <x:v>22_V136_Backlog</x:v>
      </x:c>
      <x:c r="B852" s="79" t="n">
        <x:v>168</x:v>
      </x:c>
      <x:c r="C852" s="79" t="str">
        <x:v>V136-kok-ninja-02</x:v>
      </x:c>
      <x:c r="D852" s="79" t="str">
        <x:v>kok-ninja</x:v>
      </x:c>
      <x:c r="E852" s="79" t="str">
        <x:v>Proportions et silhouette</x:v>
      </x:c>
      <x:c r="F852" s="79" t="str">
        <x:v>PARTIEL · silhouette SVG originale, proportions non mesurées</x:v>
      </x:c>
      <x:c r="G852" s="79" t="str">
        <x:v>Contrôle alignement poignet et pièces</x:v>
      </x:c>
      <x:c r="H852" s="79" t="str">
        <x:v>ART 1:1</x:v>
      </x:c>
      <x:c r="I852" s="79" t="str">
        <x:v>Non : preuve humaine requise</x:v>
      </x:c>
      <x:c r="J852" s="79" t="str">
        <x:v>P1</x:v>
      </x:c>
      <x:c r="K852" s="79" t="str">
        <x:v>https://www.20thcenturystudios.com/movies/predator-killer-of-killers</x:v>
      </x:c>
      <x:c r="L852" s="79" t="str">
        <x:v>Avancement technique indicatif 25 %</x:v>
      </x:c>
    </x:row>
    <x:row r="853" ht="29" customHeight="1">
      <x:c r="A853" s="79" t="str">
        <x:v>22_V136_Backlog</x:v>
      </x:c>
      <x:c r="B853" s="79" t="n">
        <x:v>169</x:v>
      </x:c>
      <x:c r="C853" s="79" t="str">
        <x:v>V136-kok-ninja-03</x:v>
      </x:c>
      <x:c r="D853" s="79" t="str">
        <x:v>kok-ninja</x:v>
      </x:c>
      <x:c r="E853" s="79" t="str">
        <x:v>Textures UV et matériaux</x:v>
      </x:c>
      <x:c r="F853" s="79" t="str">
        <x:v>OUVERT · textures UV/PNG 1:1 et patine à produire</x:v>
      </x:c>
      <x:c r="G853" s="79" t="str">
        <x:v>PNG indépendants aux bons détails et reflets</x:v>
      </x:c>
      <x:c r="H853" s="79" t="str">
        <x:v>ART 1:1</x:v>
      </x:c>
      <x:c r="I853" s="79" t="str">
        <x:v>Non : preuve humaine requise</x:v>
      </x:c>
      <x:c r="J853" s="79" t="str">
        <x:v>P1</x:v>
      </x:c>
      <x:c r="K853" s="79" t="str">
        <x:v>https://www.20thcenturystudios.com/movies/predator-killer-of-killers</x:v>
      </x:c>
      <x:c r="L853" s="79" t="str">
        <x:v>Avancement technique indicatif 0 %</x:v>
      </x:c>
    </x:row>
    <x:row r="854" ht="29" customHeight="1">
      <x:c r="A854" s="79" t="str">
        <x:v>22_V136_Backlog</x:v>
      </x:c>
      <x:c r="B854" s="79" t="n">
        <x:v>170</x:v>
      </x:c>
      <x:c r="C854" s="79" t="str">
        <x:v>V136-kok-ninja-04</x:v>
      </x:c>
      <x:c r="D854" s="79" t="str">
        <x:v>kok-ninja</x:v>
      </x:c>
      <x:c r="E854" s="79" t="str">
        <x:v>Charnière et animations</x:v>
      </x:c>
      <x:c r="F854" s="79" t="str">
        <x:v>PARTIEL · capot CSS ; 3 gestes / rig 1:1 manquants</x:v>
      </x:c>
      <x:c r="G854" s="79" t="str">
        <x:v>Cohérence rig / armurerie / hologramme</x:v>
      </x:c>
      <x:c r="H854" s="79" t="str">
        <x:v>ART 1:1</x:v>
      </x:c>
      <x:c r="I854" s="79" t="str">
        <x:v>Non : preuve humaine requise</x:v>
      </x:c>
      <x:c r="J854" s="79" t="str">
        <x:v>P1</x:v>
      </x:c>
      <x:c r="K854" s="79" t="str">
        <x:v>https://www.20thcenturystudios.com/movies/predator-killer-of-killers</x:v>
      </x:c>
      <x:c r="L854" s="79" t="str">
        <x:v>Avancement technique indicatif 25 %</x:v>
      </x:c>
    </x:row>
    <x:row r="855" ht="29" customHeight="1">
      <x:c r="A855" s="79" t="str">
        <x:v>22_V136_Backlog</x:v>
      </x:c>
      <x:c r="B855" s="79" t="n">
        <x:v>171</x:v>
      </x:c>
      <x:c r="C855" s="79" t="str">
        <x:v>V136-kok-ninja-05</x:v>
      </x:c>
      <x:c r="D855" s="79" t="str">
        <x:v>kok-ninja</x:v>
      </x:c>
      <x:c r="E855" s="79" t="str">
        <x:v>Rendu jeu et contrôle</x:v>
      </x:c>
      <x:c r="F855" s="79" t="str">
        <x:v>PARTIEL · rendu React + QA autonome, jeu complet à tester</x:v>
      </x:c>
      <x:c r="G855" s="79" t="str">
        <x:v>Comparaison toutes vues et modes</x:v>
      </x:c>
      <x:c r="H855" s="79" t="str">
        <x:v>ART 1:1</x:v>
      </x:c>
      <x:c r="I855" s="79" t="str">
        <x:v>Non : preuve humaine requise</x:v>
      </x:c>
      <x:c r="J855" s="79" t="str">
        <x:v>P1</x:v>
      </x:c>
      <x:c r="K855" s="79" t="str">
        <x:v>https://www.20thcenturystudios.com/movies/predator-killer-of-killers</x:v>
      </x:c>
      <x:c r="L855" s="79" t="str">
        <x:v>Avancement technique indicatif 45 %</x:v>
      </x:c>
    </x:row>
    <x:row r="856" ht="29" customHeight="1">
      <x:c r="A856" s="79" t="str">
        <x:v>22_V136_Backlog</x:v>
      </x:c>
      <x:c r="B856" s="79" t="n">
        <x:v>172</x:v>
      </x:c>
      <x:c r="C856" s="79" t="str">
        <x:v>V136-kok-ninja-06</x:v>
      </x:c>
      <x:c r="D856" s="79" t="str">
        <x:v>kok-ninja</x:v>
      </x:c>
      <x:c r="E856" s="79" t="str">
        <x:v>Revue artistique et droits</x:v>
      </x:c>
      <x:c r="F856" s="79" t="str">
        <x:v>OUVERT · revue humaine et autorisation IP nécessaires</x:v>
      </x:c>
      <x:c r="G856" s="79" t="str">
        <x:v>Ne jamais certifier sans approbation manuelle</x:v>
      </x:c>
      <x:c r="H856" s="79" t="str">
        <x:v>ART 1:1</x:v>
      </x:c>
      <x:c r="I856" s="79" t="str">
        <x:v>Non : preuve humaine requise</x:v>
      </x:c>
      <x:c r="J856" s="79" t="str">
        <x:v>P1</x:v>
      </x:c>
      <x:c r="K856" s="79" t="str">
        <x:v>https://www.20thcenturystudios.com/movies/predator-killer-of-killers</x:v>
      </x:c>
      <x:c r="L856" s="79" t="str">
        <x:v>Avancement technique indicatif 0 %</x:v>
      </x:c>
    </x:row>
    <x:row r="857" ht="29" customHeight="1">
      <x:c r="A857" s="79" t="str">
        <x:v>22_V136_Backlog</x:v>
      </x:c>
      <x:c r="B857" s="79" t="n">
        <x:v>173</x:v>
      </x:c>
      <x:c r="C857" s="79" t="str">
        <x:v>V136-kok-pilot-01</x:v>
      </x:c>
      <x:c r="D857" s="79" t="str">
        <x:v>kok-pilot</x:v>
      </x:c>
      <x:c r="E857" s="79" t="str">
        <x:v>Plan face/dessus/profil</x:v>
      </x:c>
      <x:c r="F857" s="79" t="str">
        <x:v>OUVERT · plusieurs vues source film/jeu non relevées</x:v>
      </x:c>
      <x:c r="G857" s="79" t="str">
        <x:v>Photo, prop, capture jeu propre au gauntlet</x:v>
      </x:c>
      <x:c r="H857" s="79" t="str">
        <x:v>ART 1:1</x:v>
      </x:c>
      <x:c r="I857" s="79" t="str">
        <x:v>Non : preuve humaine requise</x:v>
      </x:c>
      <x:c r="J857" s="79" t="str">
        <x:v>P1</x:v>
      </x:c>
      <x:c r="K857" s="79" t="str">
        <x:v>https://www.20thcenturystudios.com/movies/predator-killer-of-killers</x:v>
      </x:c>
      <x:c r="L857" s="79" t="str">
        <x:v>Avancement technique indicatif 0 %</x:v>
      </x:c>
    </x:row>
    <x:row r="858" ht="29" customHeight="1">
      <x:c r="A858" s="79" t="str">
        <x:v>22_V136_Backlog</x:v>
      </x:c>
      <x:c r="B858" s="79" t="n">
        <x:v>174</x:v>
      </x:c>
      <x:c r="C858" s="79" t="str">
        <x:v>V136-kok-pilot-02</x:v>
      </x:c>
      <x:c r="D858" s="79" t="str">
        <x:v>kok-pilot</x:v>
      </x:c>
      <x:c r="E858" s="79" t="str">
        <x:v>Proportions et silhouette</x:v>
      </x:c>
      <x:c r="F858" s="79" t="str">
        <x:v>PARTIEL · silhouette SVG originale, proportions non mesurées</x:v>
      </x:c>
      <x:c r="G858" s="79" t="str">
        <x:v>Contrôle alignement poignet et pièces</x:v>
      </x:c>
      <x:c r="H858" s="79" t="str">
        <x:v>ART 1:1</x:v>
      </x:c>
      <x:c r="I858" s="79" t="str">
        <x:v>Non : preuve humaine requise</x:v>
      </x:c>
      <x:c r="J858" s="79" t="str">
        <x:v>P1</x:v>
      </x:c>
      <x:c r="K858" s="79" t="str">
        <x:v>https://www.20thcenturystudios.com/movies/predator-killer-of-killers</x:v>
      </x:c>
      <x:c r="L858" s="79" t="str">
        <x:v>Avancement technique indicatif 25 %</x:v>
      </x:c>
    </x:row>
    <x:row r="859" ht="29" customHeight="1">
      <x:c r="A859" s="79" t="str">
        <x:v>22_V136_Backlog</x:v>
      </x:c>
      <x:c r="B859" s="79" t="n">
        <x:v>175</x:v>
      </x:c>
      <x:c r="C859" s="79" t="str">
        <x:v>V136-kok-pilot-03</x:v>
      </x:c>
      <x:c r="D859" s="79" t="str">
        <x:v>kok-pilot</x:v>
      </x:c>
      <x:c r="E859" s="79" t="str">
        <x:v>Textures UV et matériaux</x:v>
      </x:c>
      <x:c r="F859" s="79" t="str">
        <x:v>OUVERT · textures UV/PNG 1:1 et patine à produire</x:v>
      </x:c>
      <x:c r="G859" s="79" t="str">
        <x:v>PNG indépendants aux bons détails et reflets</x:v>
      </x:c>
      <x:c r="H859" s="79" t="str">
        <x:v>ART 1:1</x:v>
      </x:c>
      <x:c r="I859" s="79" t="str">
        <x:v>Non : preuve humaine requise</x:v>
      </x:c>
      <x:c r="J859" s="79" t="str">
        <x:v>P1</x:v>
      </x:c>
      <x:c r="K859" s="79" t="str">
        <x:v>https://www.20thcenturystudios.com/movies/predator-killer-of-killers</x:v>
      </x:c>
      <x:c r="L859" s="79" t="str">
        <x:v>Avancement technique indicatif 0 %</x:v>
      </x:c>
    </x:row>
    <x:row r="860" ht="29" customHeight="1">
      <x:c r="A860" s="79" t="str">
        <x:v>22_V136_Backlog</x:v>
      </x:c>
      <x:c r="B860" s="79" t="n">
        <x:v>176</x:v>
      </x:c>
      <x:c r="C860" s="79" t="str">
        <x:v>V136-kok-pilot-04</x:v>
      </x:c>
      <x:c r="D860" s="79" t="str">
        <x:v>kok-pilot</x:v>
      </x:c>
      <x:c r="E860" s="79" t="str">
        <x:v>Charnière et animations</x:v>
      </x:c>
      <x:c r="F860" s="79" t="str">
        <x:v>PARTIEL · capot CSS ; 3 gestes / rig 1:1 manquants</x:v>
      </x:c>
      <x:c r="G860" s="79" t="str">
        <x:v>Cohérence rig / armurerie / hologramme</x:v>
      </x:c>
      <x:c r="H860" s="79" t="str">
        <x:v>ART 1:1</x:v>
      </x:c>
      <x:c r="I860" s="79" t="str">
        <x:v>Non : preuve humaine requise</x:v>
      </x:c>
      <x:c r="J860" s="79" t="str">
        <x:v>P1</x:v>
      </x:c>
      <x:c r="K860" s="79" t="str">
        <x:v>https://www.20thcenturystudios.com/movies/predator-killer-of-killers</x:v>
      </x:c>
      <x:c r="L860" s="79" t="str">
        <x:v>Avancement technique indicatif 25 %</x:v>
      </x:c>
    </x:row>
    <x:row r="861" ht="29" customHeight="1">
      <x:c r="A861" s="79" t="str">
        <x:v>22_V136_Backlog</x:v>
      </x:c>
      <x:c r="B861" s="79" t="n">
        <x:v>177</x:v>
      </x:c>
      <x:c r="C861" s="79" t="str">
        <x:v>V136-kok-pilot-05</x:v>
      </x:c>
      <x:c r="D861" s="79" t="str">
        <x:v>kok-pilot</x:v>
      </x:c>
      <x:c r="E861" s="79" t="str">
        <x:v>Rendu jeu et contrôle</x:v>
      </x:c>
      <x:c r="F861" s="79" t="str">
        <x:v>PARTIEL · rendu React + QA autonome, jeu complet à tester</x:v>
      </x:c>
      <x:c r="G861" s="79" t="str">
        <x:v>Comparaison toutes vues et modes</x:v>
      </x:c>
      <x:c r="H861" s="79" t="str">
        <x:v>ART 1:1</x:v>
      </x:c>
      <x:c r="I861" s="79" t="str">
        <x:v>Non : preuve humaine requise</x:v>
      </x:c>
      <x:c r="J861" s="79" t="str">
        <x:v>P1</x:v>
      </x:c>
      <x:c r="K861" s="79" t="str">
        <x:v>https://www.20thcenturystudios.com/movies/predator-killer-of-killers</x:v>
      </x:c>
      <x:c r="L861" s="79" t="str">
        <x:v>Avancement technique indicatif 45 %</x:v>
      </x:c>
    </x:row>
    <x:row r="862" ht="29" customHeight="1">
      <x:c r="A862" s="79" t="str">
        <x:v>22_V136_Backlog</x:v>
      </x:c>
      <x:c r="B862" s="79" t="n">
        <x:v>178</x:v>
      </x:c>
      <x:c r="C862" s="79" t="str">
        <x:v>V136-kok-pilot-06</x:v>
      </x:c>
      <x:c r="D862" s="79" t="str">
        <x:v>kok-pilot</x:v>
      </x:c>
      <x:c r="E862" s="79" t="str">
        <x:v>Revue artistique et droits</x:v>
      </x:c>
      <x:c r="F862" s="79" t="str">
        <x:v>OUVERT · revue humaine et autorisation IP nécessaires</x:v>
      </x:c>
      <x:c r="G862" s="79" t="str">
        <x:v>Ne jamais certifier sans approbation manuelle</x:v>
      </x:c>
      <x:c r="H862" s="79" t="str">
        <x:v>ART 1:1</x:v>
      </x:c>
      <x:c r="I862" s="79" t="str">
        <x:v>Non : preuve humaine requise</x:v>
      </x:c>
      <x:c r="J862" s="79" t="str">
        <x:v>P1</x:v>
      </x:c>
      <x:c r="K862" s="79" t="str">
        <x:v>https://www.20thcenturystudios.com/movies/predator-killer-of-killers</x:v>
      </x:c>
      <x:c r="L862" s="79" t="str">
        <x:v>Avancement technique indicatif 0 %</x:v>
      </x:c>
    </x:row>
    <x:row r="863" ht="29" customHeight="1">
      <x:c r="A863" s="79" t="str">
        <x:v>22_V136_Backlog</x:v>
      </x:c>
      <x:c r="B863" s="79" t="n">
        <x:v>179</x:v>
      </x:c>
      <x:c r="C863" s="79" t="str">
        <x:v>V136-kok-grendel-01</x:v>
      </x:c>
      <x:c r="D863" s="79" t="str">
        <x:v>kok-grendel</x:v>
      </x:c>
      <x:c r="E863" s="79" t="str">
        <x:v>Plan face/dessus/profil</x:v>
      </x:c>
      <x:c r="F863" s="79" t="str">
        <x:v>OUVERT · plusieurs vues source film/jeu non relevées</x:v>
      </x:c>
      <x:c r="G863" s="79" t="str">
        <x:v>Photo, prop, capture jeu propre au gauntlet</x:v>
      </x:c>
      <x:c r="H863" s="79" t="str">
        <x:v>ART 1:1</x:v>
      </x:c>
      <x:c r="I863" s="79" t="str">
        <x:v>Non : preuve humaine requise</x:v>
      </x:c>
      <x:c r="J863" s="79" t="str">
        <x:v>P1</x:v>
      </x:c>
      <x:c r="K863" s="79" t="str">
        <x:v>https://www.20thcenturystudios.com/movies/predator-killer-of-killers</x:v>
      </x:c>
      <x:c r="L863" s="79" t="str">
        <x:v>Avancement technique indicatif 0 %</x:v>
      </x:c>
    </x:row>
    <x:row r="864" ht="29" customHeight="1">
      <x:c r="A864" s="79" t="str">
        <x:v>22_V136_Backlog</x:v>
      </x:c>
      <x:c r="B864" s="79" t="n">
        <x:v>180</x:v>
      </x:c>
      <x:c r="C864" s="79" t="str">
        <x:v>V136-kok-grendel-02</x:v>
      </x:c>
      <x:c r="D864" s="79" t="str">
        <x:v>kok-grendel</x:v>
      </x:c>
      <x:c r="E864" s="79" t="str">
        <x:v>Proportions et silhouette</x:v>
      </x:c>
      <x:c r="F864" s="79" t="str">
        <x:v>PARTIEL · silhouette SVG originale, proportions non mesurées</x:v>
      </x:c>
      <x:c r="G864" s="79" t="str">
        <x:v>Contrôle alignement poignet et pièces</x:v>
      </x:c>
      <x:c r="H864" s="79" t="str">
        <x:v>ART 1:1</x:v>
      </x:c>
      <x:c r="I864" s="79" t="str">
        <x:v>Non : preuve humaine requise</x:v>
      </x:c>
      <x:c r="J864" s="79" t="str">
        <x:v>P1</x:v>
      </x:c>
      <x:c r="K864" s="79" t="str">
        <x:v>https://www.20thcenturystudios.com/movies/predator-killer-of-killers</x:v>
      </x:c>
      <x:c r="L864" s="79" t="str">
        <x:v>Avancement technique indicatif 25 %</x:v>
      </x:c>
    </x:row>
    <x:row r="865" ht="29" customHeight="1">
      <x:c r="A865" s="79" t="str">
        <x:v>22_V136_Backlog</x:v>
      </x:c>
      <x:c r="B865" s="79" t="n">
        <x:v>181</x:v>
      </x:c>
      <x:c r="C865" s="79" t="str">
        <x:v>V136-kok-grendel-03</x:v>
      </x:c>
      <x:c r="D865" s="79" t="str">
        <x:v>kok-grendel</x:v>
      </x:c>
      <x:c r="E865" s="79" t="str">
        <x:v>Textures UV et matériaux</x:v>
      </x:c>
      <x:c r="F865" s="79" t="str">
        <x:v>OUVERT · textures UV/PNG 1:1 et patine à produire</x:v>
      </x:c>
      <x:c r="G865" s="79" t="str">
        <x:v>PNG indépendants aux bons détails et reflets</x:v>
      </x:c>
      <x:c r="H865" s="79" t="str">
        <x:v>ART 1:1</x:v>
      </x:c>
      <x:c r="I865" s="79" t="str">
        <x:v>Non : preuve humaine requise</x:v>
      </x:c>
      <x:c r="J865" s="79" t="str">
        <x:v>P1</x:v>
      </x:c>
      <x:c r="K865" s="79" t="str">
        <x:v>https://www.20thcenturystudios.com/movies/predator-killer-of-killers</x:v>
      </x:c>
      <x:c r="L865" s="79" t="str">
        <x:v>Avancement technique indicatif 0 %</x:v>
      </x:c>
    </x:row>
    <x:row r="866" ht="29" customHeight="1">
      <x:c r="A866" s="79" t="str">
        <x:v>22_V136_Backlog</x:v>
      </x:c>
      <x:c r="B866" s="79" t="n">
        <x:v>182</x:v>
      </x:c>
      <x:c r="C866" s="79" t="str">
        <x:v>V136-kok-grendel-04</x:v>
      </x:c>
      <x:c r="D866" s="79" t="str">
        <x:v>kok-grendel</x:v>
      </x:c>
      <x:c r="E866" s="79" t="str">
        <x:v>Charnière et animations</x:v>
      </x:c>
      <x:c r="F866" s="79" t="str">
        <x:v>PARTIEL · capot CSS ; 3 gestes / rig 1:1 manquants</x:v>
      </x:c>
      <x:c r="G866" s="79" t="str">
        <x:v>Cohérence rig / armurerie / hologramme</x:v>
      </x:c>
      <x:c r="H866" s="79" t="str">
        <x:v>ART 1:1</x:v>
      </x:c>
      <x:c r="I866" s="79" t="str">
        <x:v>Non : preuve humaine requise</x:v>
      </x:c>
      <x:c r="J866" s="79" t="str">
        <x:v>P1</x:v>
      </x:c>
      <x:c r="K866" s="79" t="str">
        <x:v>https://www.20thcenturystudios.com/movies/predator-killer-of-killers</x:v>
      </x:c>
      <x:c r="L866" s="79" t="str">
        <x:v>Avancement technique indicatif 25 %</x:v>
      </x:c>
    </x:row>
    <x:row r="867" ht="29" customHeight="1">
      <x:c r="A867" s="79" t="str">
        <x:v>22_V136_Backlog</x:v>
      </x:c>
      <x:c r="B867" s="79" t="n">
        <x:v>183</x:v>
      </x:c>
      <x:c r="C867" s="79" t="str">
        <x:v>V136-kok-grendel-05</x:v>
      </x:c>
      <x:c r="D867" s="79" t="str">
        <x:v>kok-grendel</x:v>
      </x:c>
      <x:c r="E867" s="79" t="str">
        <x:v>Rendu jeu et contrôle</x:v>
      </x:c>
      <x:c r="F867" s="79" t="str">
        <x:v>PARTIEL · rendu React + QA autonome, jeu complet à tester</x:v>
      </x:c>
      <x:c r="G867" s="79" t="str">
        <x:v>Comparaison toutes vues et modes</x:v>
      </x:c>
      <x:c r="H867" s="79" t="str">
        <x:v>ART 1:1</x:v>
      </x:c>
      <x:c r="I867" s="79" t="str">
        <x:v>Non : preuve humaine requise</x:v>
      </x:c>
      <x:c r="J867" s="79" t="str">
        <x:v>P1</x:v>
      </x:c>
      <x:c r="K867" s="79" t="str">
        <x:v>https://www.20thcenturystudios.com/movies/predator-killer-of-killers</x:v>
      </x:c>
      <x:c r="L867" s="79" t="str">
        <x:v>Avancement technique indicatif 45 %</x:v>
      </x:c>
    </x:row>
    <x:row r="868" ht="29" customHeight="1">
      <x:c r="A868" s="79" t="str">
        <x:v>22_V136_Backlog</x:v>
      </x:c>
      <x:c r="B868" s="79" t="n">
        <x:v>184</x:v>
      </x:c>
      <x:c r="C868" s="79" t="str">
        <x:v>V136-kok-grendel-06</x:v>
      </x:c>
      <x:c r="D868" s="79" t="str">
        <x:v>kok-grendel</x:v>
      </x:c>
      <x:c r="E868" s="79" t="str">
        <x:v>Revue artistique et droits</x:v>
      </x:c>
      <x:c r="F868" s="79" t="str">
        <x:v>OUVERT · revue humaine et autorisation IP nécessaires</x:v>
      </x:c>
      <x:c r="G868" s="79" t="str">
        <x:v>Ne jamais certifier sans approbation manuelle</x:v>
      </x:c>
      <x:c r="H868" s="79" t="str">
        <x:v>ART 1:1</x:v>
      </x:c>
      <x:c r="I868" s="79" t="str">
        <x:v>Non : preuve humaine requise</x:v>
      </x:c>
      <x:c r="J868" s="79" t="str">
        <x:v>P1</x:v>
      </x:c>
      <x:c r="K868" s="79" t="str">
        <x:v>https://www.20thcenturystudios.com/movies/predator-killer-of-killers</x:v>
      </x:c>
      <x:c r="L868" s="79" t="str">
        <x:v>Avancement technique indicatif 0 %</x:v>
      </x:c>
    </x:row>
    <x:row r="869" ht="29" customHeight="1">
      <x:c r="A869" s="79" t="str">
        <x:v>22_V136_Backlog</x:v>
      </x:c>
      <x:c r="B869" s="79" t="n">
        <x:v>185</x:v>
      </x:c>
      <x:c r="C869" s="79" t="str">
        <x:v>V136-phg-hunter-01</x:v>
      </x:c>
      <x:c r="D869" s="79" t="str">
        <x:v>phg-hunter</x:v>
      </x:c>
      <x:c r="E869" s="79" t="str">
        <x:v>Plan face/dessus/profil</x:v>
      </x:c>
      <x:c r="F869" s="79" t="str">
        <x:v>OUVERT · plusieurs vues source film/jeu non relevées</x:v>
      </x:c>
      <x:c r="G869" s="79" t="str">
        <x:v>Photo, prop, capture jeu propre au gauntlet</x:v>
      </x:c>
      <x:c r="H869" s="79" t="str">
        <x:v>ART 1:1</x:v>
      </x:c>
      <x:c r="I869" s="79" t="str">
        <x:v>Non : preuve humaine requise</x:v>
      </x:c>
      <x:c r="J869" s="79" t="str">
        <x:v>P1</x:v>
      </x:c>
      <x:c r="K869" s="79" t="str">
        <x:v>https://predator.illfonic.com/</x:v>
      </x:c>
      <x:c r="L869" s="79" t="str">
        <x:v>Avancement technique indicatif 0 %</x:v>
      </x:c>
    </x:row>
    <x:row r="870" ht="29" customHeight="1">
      <x:c r="A870" s="79" t="str">
        <x:v>22_V136_Backlog</x:v>
      </x:c>
      <x:c r="B870" s="79" t="n">
        <x:v>186</x:v>
      </x:c>
      <x:c r="C870" s="79" t="str">
        <x:v>V136-phg-hunter-02</x:v>
      </x:c>
      <x:c r="D870" s="79" t="str">
        <x:v>phg-hunter</x:v>
      </x:c>
      <x:c r="E870" s="79" t="str">
        <x:v>Proportions et silhouette</x:v>
      </x:c>
      <x:c r="F870" s="79" t="str">
        <x:v>PARTIEL · silhouette SVG originale, proportions non mesurées</x:v>
      </x:c>
      <x:c r="G870" s="79" t="str">
        <x:v>Contrôle alignement poignet et pièces</x:v>
      </x:c>
      <x:c r="H870" s="79" t="str">
        <x:v>ART 1:1</x:v>
      </x:c>
      <x:c r="I870" s="79" t="str">
        <x:v>Non : preuve humaine requise</x:v>
      </x:c>
      <x:c r="J870" s="79" t="str">
        <x:v>P1</x:v>
      </x:c>
      <x:c r="K870" s="79" t="str">
        <x:v>https://predator.illfonic.com/</x:v>
      </x:c>
      <x:c r="L870" s="79" t="str">
        <x:v>Avancement technique indicatif 25 %</x:v>
      </x:c>
    </x:row>
    <x:row r="871" ht="29" customHeight="1">
      <x:c r="A871" s="79" t="str">
        <x:v>22_V136_Backlog</x:v>
      </x:c>
      <x:c r="B871" s="79" t="n">
        <x:v>187</x:v>
      </x:c>
      <x:c r="C871" s="79" t="str">
        <x:v>V136-phg-hunter-03</x:v>
      </x:c>
      <x:c r="D871" s="79" t="str">
        <x:v>phg-hunter</x:v>
      </x:c>
      <x:c r="E871" s="79" t="str">
        <x:v>Textures UV et matériaux</x:v>
      </x:c>
      <x:c r="F871" s="79" t="str">
        <x:v>OUVERT · textures UV/PNG 1:1 et patine à produire</x:v>
      </x:c>
      <x:c r="G871" s="79" t="str">
        <x:v>PNG indépendants aux bons détails et reflets</x:v>
      </x:c>
      <x:c r="H871" s="79" t="str">
        <x:v>ART 1:1</x:v>
      </x:c>
      <x:c r="I871" s="79" t="str">
        <x:v>Non : preuve humaine requise</x:v>
      </x:c>
      <x:c r="J871" s="79" t="str">
        <x:v>P1</x:v>
      </x:c>
      <x:c r="K871" s="79" t="str">
        <x:v>https://predator.illfonic.com/</x:v>
      </x:c>
      <x:c r="L871" s="79" t="str">
        <x:v>Avancement technique indicatif 0 %</x:v>
      </x:c>
    </x:row>
    <x:row r="872" ht="29" customHeight="1">
      <x:c r="A872" s="79" t="str">
        <x:v>22_V136_Backlog</x:v>
      </x:c>
      <x:c r="B872" s="79" t="n">
        <x:v>188</x:v>
      </x:c>
      <x:c r="C872" s="79" t="str">
        <x:v>V136-phg-hunter-04</x:v>
      </x:c>
      <x:c r="D872" s="79" t="str">
        <x:v>phg-hunter</x:v>
      </x:c>
      <x:c r="E872" s="79" t="str">
        <x:v>Charnière et animations</x:v>
      </x:c>
      <x:c r="F872" s="79" t="str">
        <x:v>PARTIEL · capot CSS ; 3 gestes / rig 1:1 manquants</x:v>
      </x:c>
      <x:c r="G872" s="79" t="str">
        <x:v>Cohérence rig / armurerie / hologramme</x:v>
      </x:c>
      <x:c r="H872" s="79" t="str">
        <x:v>ART 1:1</x:v>
      </x:c>
      <x:c r="I872" s="79" t="str">
        <x:v>Non : preuve humaine requise</x:v>
      </x:c>
      <x:c r="J872" s="79" t="str">
        <x:v>P1</x:v>
      </x:c>
      <x:c r="K872" s="79" t="str">
        <x:v>https://predator.illfonic.com/</x:v>
      </x:c>
      <x:c r="L872" s="79" t="str">
        <x:v>Avancement technique indicatif 25 %</x:v>
      </x:c>
    </x:row>
    <x:row r="873" ht="29" customHeight="1">
      <x:c r="A873" s="79" t="str">
        <x:v>22_V136_Backlog</x:v>
      </x:c>
      <x:c r="B873" s="79" t="n">
        <x:v>189</x:v>
      </x:c>
      <x:c r="C873" s="79" t="str">
        <x:v>V136-phg-hunter-05</x:v>
      </x:c>
      <x:c r="D873" s="79" t="str">
        <x:v>phg-hunter</x:v>
      </x:c>
      <x:c r="E873" s="79" t="str">
        <x:v>Rendu jeu et contrôle</x:v>
      </x:c>
      <x:c r="F873" s="79" t="str">
        <x:v>PARTIEL · rendu React + QA autonome, jeu complet à tester</x:v>
      </x:c>
      <x:c r="G873" s="79" t="str">
        <x:v>Comparaison toutes vues et modes</x:v>
      </x:c>
      <x:c r="H873" s="79" t="str">
        <x:v>ART 1:1</x:v>
      </x:c>
      <x:c r="I873" s="79" t="str">
        <x:v>Non : preuve humaine requise</x:v>
      </x:c>
      <x:c r="J873" s="79" t="str">
        <x:v>P1</x:v>
      </x:c>
      <x:c r="K873" s="79" t="str">
        <x:v>https://predator.illfonic.com/</x:v>
      </x:c>
      <x:c r="L873" s="79" t="str">
        <x:v>Avancement technique indicatif 45 %</x:v>
      </x:c>
    </x:row>
    <x:row r="874" ht="29" customHeight="1">
      <x:c r="A874" s="79" t="str">
        <x:v>22_V136_Backlog</x:v>
      </x:c>
      <x:c r="B874" s="79" t="n">
        <x:v>190</x:v>
      </x:c>
      <x:c r="C874" s="79" t="str">
        <x:v>V136-phg-hunter-06</x:v>
      </x:c>
      <x:c r="D874" s="79" t="str">
        <x:v>phg-hunter</x:v>
      </x:c>
      <x:c r="E874" s="79" t="str">
        <x:v>Revue artistique et droits</x:v>
      </x:c>
      <x:c r="F874" s="79" t="str">
        <x:v>OUVERT · revue humaine et autorisation IP nécessaires</x:v>
      </x:c>
      <x:c r="G874" s="79" t="str">
        <x:v>Ne jamais certifier sans approbation manuelle</x:v>
      </x:c>
      <x:c r="H874" s="79" t="str">
        <x:v>ART 1:1</x:v>
      </x:c>
      <x:c r="I874" s="79" t="str">
        <x:v>Non : preuve humaine requise</x:v>
      </x:c>
      <x:c r="J874" s="79" t="str">
        <x:v>P1</x:v>
      </x:c>
      <x:c r="K874" s="79" t="str">
        <x:v>https://predator.illfonic.com/</x:v>
      </x:c>
      <x:c r="L874" s="79" t="str">
        <x:v>Avancement technique indicatif 0 %</x:v>
      </x:c>
    </x:row>
    <x:row r="875" ht="29" customHeight="1">
      <x:c r="A875" s="79" t="str">
        <x:v>22_V136_Backlog</x:v>
      </x:c>
      <x:c r="B875" s="79" t="n">
        <x:v>191</x:v>
      </x:c>
      <x:c r="C875" s="79" t="str">
        <x:v>V136-phg-scout-01</x:v>
      </x:c>
      <x:c r="D875" s="79" t="str">
        <x:v>phg-scout</x:v>
      </x:c>
      <x:c r="E875" s="79" t="str">
        <x:v>Plan face/dessus/profil</x:v>
      </x:c>
      <x:c r="F875" s="79" t="str">
        <x:v>OUVERT · plusieurs vues source film/jeu non relevées</x:v>
      </x:c>
      <x:c r="G875" s="79" t="str">
        <x:v>Photo, prop, capture jeu propre au gauntlet</x:v>
      </x:c>
      <x:c r="H875" s="79" t="str">
        <x:v>ART 1:1</x:v>
      </x:c>
      <x:c r="I875" s="79" t="str">
        <x:v>Non : preuve humaine requise</x:v>
      </x:c>
      <x:c r="J875" s="79" t="str">
        <x:v>P1</x:v>
      </x:c>
      <x:c r="K875" s="79" t="str">
        <x:v>https://predator.illfonic.com/</x:v>
      </x:c>
      <x:c r="L875" s="79" t="str">
        <x:v>Avancement technique indicatif 0 %</x:v>
      </x:c>
    </x:row>
    <x:row r="876" ht="29" customHeight="1">
      <x:c r="A876" s="79" t="str">
        <x:v>22_V136_Backlog</x:v>
      </x:c>
      <x:c r="B876" s="79" t="n">
        <x:v>192</x:v>
      </x:c>
      <x:c r="C876" s="79" t="str">
        <x:v>V136-phg-scout-02</x:v>
      </x:c>
      <x:c r="D876" s="79" t="str">
        <x:v>phg-scout</x:v>
      </x:c>
      <x:c r="E876" s="79" t="str">
        <x:v>Proportions et silhouette</x:v>
      </x:c>
      <x:c r="F876" s="79" t="str">
        <x:v>PARTIEL · silhouette SVG originale, proportions non mesurées</x:v>
      </x:c>
      <x:c r="G876" s="79" t="str">
        <x:v>Contrôle alignement poignet et pièces</x:v>
      </x:c>
      <x:c r="H876" s="79" t="str">
        <x:v>ART 1:1</x:v>
      </x:c>
      <x:c r="I876" s="79" t="str">
        <x:v>Non : preuve humaine requise</x:v>
      </x:c>
      <x:c r="J876" s="79" t="str">
        <x:v>P1</x:v>
      </x:c>
      <x:c r="K876" s="79" t="str">
        <x:v>https://predator.illfonic.com/</x:v>
      </x:c>
      <x:c r="L876" s="79" t="str">
        <x:v>Avancement technique indicatif 25 %</x:v>
      </x:c>
    </x:row>
    <x:row r="877" ht="29" customHeight="1">
      <x:c r="A877" s="79" t="str">
        <x:v>22_V136_Backlog</x:v>
      </x:c>
      <x:c r="B877" s="79" t="n">
        <x:v>193</x:v>
      </x:c>
      <x:c r="C877" s="79" t="str">
        <x:v>V136-phg-scout-03</x:v>
      </x:c>
      <x:c r="D877" s="79" t="str">
        <x:v>phg-scout</x:v>
      </x:c>
      <x:c r="E877" s="79" t="str">
        <x:v>Textures UV et matériaux</x:v>
      </x:c>
      <x:c r="F877" s="79" t="str">
        <x:v>OUVERT · textures UV/PNG 1:1 et patine à produire</x:v>
      </x:c>
      <x:c r="G877" s="79" t="str">
        <x:v>PNG indépendants aux bons détails et reflets</x:v>
      </x:c>
      <x:c r="H877" s="79" t="str">
        <x:v>ART 1:1</x:v>
      </x:c>
      <x:c r="I877" s="79" t="str">
        <x:v>Non : preuve humaine requise</x:v>
      </x:c>
      <x:c r="J877" s="79" t="str">
        <x:v>P1</x:v>
      </x:c>
      <x:c r="K877" s="79" t="str">
        <x:v>https://predator.illfonic.com/</x:v>
      </x:c>
      <x:c r="L877" s="79" t="str">
        <x:v>Avancement technique indicatif 0 %</x:v>
      </x:c>
    </x:row>
    <x:row r="878" ht="29" customHeight="1">
      <x:c r="A878" s="79" t="str">
        <x:v>22_V136_Backlog</x:v>
      </x:c>
      <x:c r="B878" s="79" t="n">
        <x:v>194</x:v>
      </x:c>
      <x:c r="C878" s="79" t="str">
        <x:v>V136-phg-scout-04</x:v>
      </x:c>
      <x:c r="D878" s="79" t="str">
        <x:v>phg-scout</x:v>
      </x:c>
      <x:c r="E878" s="79" t="str">
        <x:v>Charnière et animations</x:v>
      </x:c>
      <x:c r="F878" s="79" t="str">
        <x:v>PARTIEL · capot CSS ; 3 gestes / rig 1:1 manquants</x:v>
      </x:c>
      <x:c r="G878" s="79" t="str">
        <x:v>Cohérence rig / armurerie / hologramme</x:v>
      </x:c>
      <x:c r="H878" s="79" t="str">
        <x:v>ART 1:1</x:v>
      </x:c>
      <x:c r="I878" s="79" t="str">
        <x:v>Non : preuve humaine requise</x:v>
      </x:c>
      <x:c r="J878" s="79" t="str">
        <x:v>P1</x:v>
      </x:c>
      <x:c r="K878" s="79" t="str">
        <x:v>https://predator.illfonic.com/</x:v>
      </x:c>
      <x:c r="L878" s="79" t="str">
        <x:v>Avancement technique indicatif 25 %</x:v>
      </x:c>
    </x:row>
    <x:row r="879" ht="29" customHeight="1">
      <x:c r="A879" s="79" t="str">
        <x:v>22_V136_Backlog</x:v>
      </x:c>
      <x:c r="B879" s="79" t="n">
        <x:v>195</x:v>
      </x:c>
      <x:c r="C879" s="79" t="str">
        <x:v>V136-phg-scout-05</x:v>
      </x:c>
      <x:c r="D879" s="79" t="str">
        <x:v>phg-scout</x:v>
      </x:c>
      <x:c r="E879" s="79" t="str">
        <x:v>Rendu jeu et contrôle</x:v>
      </x:c>
      <x:c r="F879" s="79" t="str">
        <x:v>PARTIEL · rendu React + QA autonome, jeu complet à tester</x:v>
      </x:c>
      <x:c r="G879" s="79" t="str">
        <x:v>Comparaison toutes vues et modes</x:v>
      </x:c>
      <x:c r="H879" s="79" t="str">
        <x:v>ART 1:1</x:v>
      </x:c>
      <x:c r="I879" s="79" t="str">
        <x:v>Non : preuve humaine requise</x:v>
      </x:c>
      <x:c r="J879" s="79" t="str">
        <x:v>P1</x:v>
      </x:c>
      <x:c r="K879" s="79" t="str">
        <x:v>https://predator.illfonic.com/</x:v>
      </x:c>
      <x:c r="L879" s="79" t="str">
        <x:v>Avancement technique indicatif 45 %</x:v>
      </x:c>
    </x:row>
    <x:row r="880" ht="29" customHeight="1">
      <x:c r="A880" s="79" t="str">
        <x:v>22_V136_Backlog</x:v>
      </x:c>
      <x:c r="B880" s="79" t="n">
        <x:v>196</x:v>
      </x:c>
      <x:c r="C880" s="79" t="str">
        <x:v>V136-phg-scout-06</x:v>
      </x:c>
      <x:c r="D880" s="79" t="str">
        <x:v>phg-scout</x:v>
      </x:c>
      <x:c r="E880" s="79" t="str">
        <x:v>Revue artistique et droits</x:v>
      </x:c>
      <x:c r="F880" s="79" t="str">
        <x:v>OUVERT · revue humaine et autorisation IP nécessaires</x:v>
      </x:c>
      <x:c r="G880" s="79" t="str">
        <x:v>Ne jamais certifier sans approbation manuelle</x:v>
      </x:c>
      <x:c r="H880" s="79" t="str">
        <x:v>ART 1:1</x:v>
      </x:c>
      <x:c r="I880" s="79" t="str">
        <x:v>Non : preuve humaine requise</x:v>
      </x:c>
      <x:c r="J880" s="79" t="str">
        <x:v>P1</x:v>
      </x:c>
      <x:c r="K880" s="79" t="str">
        <x:v>https://predator.illfonic.com/</x:v>
      </x:c>
      <x:c r="L880" s="79" t="str">
        <x:v>Avancement technique indicatif 0 %</x:v>
      </x:c>
    </x:row>
    <x:row r="881" ht="29" customHeight="1">
      <x:c r="A881" s="79" t="str">
        <x:v>22_V136_Backlog</x:v>
      </x:c>
      <x:c r="B881" s="79" t="n">
        <x:v>197</x:v>
      </x:c>
      <x:c r="C881" s="79" t="str">
        <x:v>V136-phg-berserker-01</x:v>
      </x:c>
      <x:c r="D881" s="79" t="str">
        <x:v>phg-berserker</x:v>
      </x:c>
      <x:c r="E881" s="79" t="str">
        <x:v>Plan face/dessus/profil</x:v>
      </x:c>
      <x:c r="F881" s="79" t="str">
        <x:v>OUVERT · plusieurs vues source film/jeu non relevées</x:v>
      </x:c>
      <x:c r="G881" s="79" t="str">
        <x:v>Photo, prop, capture jeu propre au gauntlet</x:v>
      </x:c>
      <x:c r="H881" s="79" t="str">
        <x:v>ART 1:1</x:v>
      </x:c>
      <x:c r="I881" s="79" t="str">
        <x:v>Non : preuve humaine requise</x:v>
      </x:c>
      <x:c r="J881" s="79" t="str">
        <x:v>P1</x:v>
      </x:c>
      <x:c r="K881" s="79" t="str">
        <x:v>https://predator.illfonic.com/</x:v>
      </x:c>
      <x:c r="L881" s="79" t="str">
        <x:v>Avancement technique indicatif 0 %</x:v>
      </x:c>
    </x:row>
    <x:row r="882" ht="29" customHeight="1">
      <x:c r="A882" s="79" t="str">
        <x:v>22_V136_Backlog</x:v>
      </x:c>
      <x:c r="B882" s="79" t="n">
        <x:v>198</x:v>
      </x:c>
      <x:c r="C882" s="79" t="str">
        <x:v>V136-phg-berserker-02</x:v>
      </x:c>
      <x:c r="D882" s="79" t="str">
        <x:v>phg-berserker</x:v>
      </x:c>
      <x:c r="E882" s="79" t="str">
        <x:v>Proportions et silhouette</x:v>
      </x:c>
      <x:c r="F882" s="79" t="str">
        <x:v>PARTIEL · silhouette SVG originale, proportions non mesurées</x:v>
      </x:c>
      <x:c r="G882" s="79" t="str">
        <x:v>Contrôle alignement poignet et pièces</x:v>
      </x:c>
      <x:c r="H882" s="79" t="str">
        <x:v>ART 1:1</x:v>
      </x:c>
      <x:c r="I882" s="79" t="str">
        <x:v>Non : preuve humaine requise</x:v>
      </x:c>
      <x:c r="J882" s="79" t="str">
        <x:v>P1</x:v>
      </x:c>
      <x:c r="K882" s="79" t="str">
        <x:v>https://predator.illfonic.com/</x:v>
      </x:c>
      <x:c r="L882" s="79" t="str">
        <x:v>Avancement technique indicatif 25 %</x:v>
      </x:c>
    </x:row>
    <x:row r="883" ht="29" customHeight="1">
      <x:c r="A883" s="79" t="str">
        <x:v>22_V136_Backlog</x:v>
      </x:c>
      <x:c r="B883" s="79" t="n">
        <x:v>199</x:v>
      </x:c>
      <x:c r="C883" s="79" t="str">
        <x:v>V136-phg-berserker-03</x:v>
      </x:c>
      <x:c r="D883" s="79" t="str">
        <x:v>phg-berserker</x:v>
      </x:c>
      <x:c r="E883" s="79" t="str">
        <x:v>Textures UV et matériaux</x:v>
      </x:c>
      <x:c r="F883" s="79" t="str">
        <x:v>OUVERT · textures UV/PNG 1:1 et patine à produire</x:v>
      </x:c>
      <x:c r="G883" s="79" t="str">
        <x:v>PNG indépendants aux bons détails et reflets</x:v>
      </x:c>
      <x:c r="H883" s="79" t="str">
        <x:v>ART 1:1</x:v>
      </x:c>
      <x:c r="I883" s="79" t="str">
        <x:v>Non : preuve humaine requise</x:v>
      </x:c>
      <x:c r="J883" s="79" t="str">
        <x:v>P1</x:v>
      </x:c>
      <x:c r="K883" s="79" t="str">
        <x:v>https://predator.illfonic.com/</x:v>
      </x:c>
      <x:c r="L883" s="79" t="str">
        <x:v>Avancement technique indicatif 0 %</x:v>
      </x:c>
    </x:row>
    <x:row r="884" ht="29" customHeight="1">
      <x:c r="A884" s="79" t="str">
        <x:v>22_V136_Backlog</x:v>
      </x:c>
      <x:c r="B884" s="79" t="n">
        <x:v>200</x:v>
      </x:c>
      <x:c r="C884" s="79" t="str">
        <x:v>V136-phg-berserker-04</x:v>
      </x:c>
      <x:c r="D884" s="79" t="str">
        <x:v>phg-berserker</x:v>
      </x:c>
      <x:c r="E884" s="79" t="str">
        <x:v>Charnière et animations</x:v>
      </x:c>
      <x:c r="F884" s="79" t="str">
        <x:v>PARTIEL · capot CSS ; 3 gestes / rig 1:1 manquants</x:v>
      </x:c>
      <x:c r="G884" s="79" t="str">
        <x:v>Cohérence rig / armurerie / hologramme</x:v>
      </x:c>
      <x:c r="H884" s="79" t="str">
        <x:v>ART 1:1</x:v>
      </x:c>
      <x:c r="I884" s="79" t="str">
        <x:v>Non : preuve humaine requise</x:v>
      </x:c>
      <x:c r="J884" s="79" t="str">
        <x:v>P1</x:v>
      </x:c>
      <x:c r="K884" s="79" t="str">
        <x:v>https://predator.illfonic.com/</x:v>
      </x:c>
      <x:c r="L884" s="79" t="str">
        <x:v>Avancement technique indicatif 25 %</x:v>
      </x:c>
    </x:row>
    <x:row r="885" ht="29" customHeight="1">
      <x:c r="A885" s="79" t="str">
        <x:v>22_V136_Backlog</x:v>
      </x:c>
      <x:c r="B885" s="79" t="n">
        <x:v>201</x:v>
      </x:c>
      <x:c r="C885" s="79" t="str">
        <x:v>V136-phg-berserker-05</x:v>
      </x:c>
      <x:c r="D885" s="79" t="str">
        <x:v>phg-berserker</x:v>
      </x:c>
      <x:c r="E885" s="79" t="str">
        <x:v>Rendu jeu et contrôle</x:v>
      </x:c>
      <x:c r="F885" s="79" t="str">
        <x:v>PARTIEL · rendu React + QA autonome, jeu complet à tester</x:v>
      </x:c>
      <x:c r="G885" s="79" t="str">
        <x:v>Comparaison toutes vues et modes</x:v>
      </x:c>
      <x:c r="H885" s="79" t="str">
        <x:v>ART 1:1</x:v>
      </x:c>
      <x:c r="I885" s="79" t="str">
        <x:v>Non : preuve humaine requise</x:v>
      </x:c>
      <x:c r="J885" s="79" t="str">
        <x:v>P1</x:v>
      </x:c>
      <x:c r="K885" s="79" t="str">
        <x:v>https://predator.illfonic.com/</x:v>
      </x:c>
      <x:c r="L885" s="79" t="str">
        <x:v>Avancement technique indicatif 45 %</x:v>
      </x:c>
    </x:row>
    <x:row r="886" ht="29" customHeight="1">
      <x:c r="A886" s="79" t="str">
        <x:v>22_V136_Backlog</x:v>
      </x:c>
      <x:c r="B886" s="79" t="n">
        <x:v>202</x:v>
      </x:c>
      <x:c r="C886" s="79" t="str">
        <x:v>V136-phg-berserker-06</x:v>
      </x:c>
      <x:c r="D886" s="79" t="str">
        <x:v>phg-berserker</x:v>
      </x:c>
      <x:c r="E886" s="79" t="str">
        <x:v>Revue artistique et droits</x:v>
      </x:c>
      <x:c r="F886" s="79" t="str">
        <x:v>OUVERT · revue humaine et autorisation IP nécessaires</x:v>
      </x:c>
      <x:c r="G886" s="79" t="str">
        <x:v>Ne jamais certifier sans approbation manuelle</x:v>
      </x:c>
      <x:c r="H886" s="79" t="str">
        <x:v>ART 1:1</x:v>
      </x:c>
      <x:c r="I886" s="79" t="str">
        <x:v>Non : preuve humaine requise</x:v>
      </x:c>
      <x:c r="J886" s="79" t="str">
        <x:v>P1</x:v>
      </x:c>
      <x:c r="K886" s="79" t="str">
        <x:v>https://predator.illfonic.com/</x:v>
      </x:c>
      <x:c r="L886" s="79" t="str">
        <x:v>Avancement technique indicatif 0 %</x:v>
      </x:c>
    </x:row>
    <x:row r="887" ht="29" customHeight="1">
      <x:c r="A887" s="79" t="str">
        <x:v>22_V136_Backlog</x:v>
      </x:c>
      <x:c r="B887" s="79" t="n">
        <x:v>203</x:v>
      </x:c>
      <x:c r="C887" s="79" t="str">
        <x:v>V136-phg-alpha-01</x:v>
      </x:c>
      <x:c r="D887" s="79" t="str">
        <x:v>phg-alpha</x:v>
      </x:c>
      <x:c r="E887" s="79" t="str">
        <x:v>Plan face/dessus/profil</x:v>
      </x:c>
      <x:c r="F887" s="79" t="str">
        <x:v>OUVERT · plusieurs vues source film/jeu non relevées</x:v>
      </x:c>
      <x:c r="G887" s="79" t="str">
        <x:v>Photo, prop, capture jeu propre au gauntlet</x:v>
      </x:c>
      <x:c r="H887" s="79" t="str">
        <x:v>ART 1:1</x:v>
      </x:c>
      <x:c r="I887" s="79" t="str">
        <x:v>Non : preuve humaine requise</x:v>
      </x:c>
      <x:c r="J887" s="79" t="str">
        <x:v>P1</x:v>
      </x:c>
      <x:c r="K887" s="79" t="str">
        <x:v>https://predator.illfonic.com/</x:v>
      </x:c>
      <x:c r="L887" s="79" t="str">
        <x:v>Avancement technique indicatif 0 %</x:v>
      </x:c>
    </x:row>
    <x:row r="888" ht="29" customHeight="1">
      <x:c r="A888" s="79" t="str">
        <x:v>22_V136_Backlog</x:v>
      </x:c>
      <x:c r="B888" s="79" t="n">
        <x:v>204</x:v>
      </x:c>
      <x:c r="C888" s="79" t="str">
        <x:v>V136-phg-alpha-02</x:v>
      </x:c>
      <x:c r="D888" s="79" t="str">
        <x:v>phg-alpha</x:v>
      </x:c>
      <x:c r="E888" s="79" t="str">
        <x:v>Proportions et silhouette</x:v>
      </x:c>
      <x:c r="F888" s="79" t="str">
        <x:v>PARTIEL · silhouette SVG originale, proportions non mesurées</x:v>
      </x:c>
      <x:c r="G888" s="79" t="str">
        <x:v>Contrôle alignement poignet et pièces</x:v>
      </x:c>
      <x:c r="H888" s="79" t="str">
        <x:v>ART 1:1</x:v>
      </x:c>
      <x:c r="I888" s="79" t="str">
        <x:v>Non : preuve humaine requise</x:v>
      </x:c>
      <x:c r="J888" s="79" t="str">
        <x:v>P1</x:v>
      </x:c>
      <x:c r="K888" s="79" t="str">
        <x:v>https://predator.illfonic.com/</x:v>
      </x:c>
      <x:c r="L888" s="79" t="str">
        <x:v>Avancement technique indicatif 25 %</x:v>
      </x:c>
    </x:row>
    <x:row r="889" ht="29" customHeight="1">
      <x:c r="A889" s="79" t="str">
        <x:v>22_V136_Backlog</x:v>
      </x:c>
      <x:c r="B889" s="79" t="n">
        <x:v>205</x:v>
      </x:c>
      <x:c r="C889" s="79" t="str">
        <x:v>V136-phg-alpha-03</x:v>
      </x:c>
      <x:c r="D889" s="79" t="str">
        <x:v>phg-alpha</x:v>
      </x:c>
      <x:c r="E889" s="79" t="str">
        <x:v>Textures UV et matériaux</x:v>
      </x:c>
      <x:c r="F889" s="79" t="str">
        <x:v>OUVERT · textures UV/PNG 1:1 et patine à produire</x:v>
      </x:c>
      <x:c r="G889" s="79" t="str">
        <x:v>PNG indépendants aux bons détails et reflets</x:v>
      </x:c>
      <x:c r="H889" s="79" t="str">
        <x:v>ART 1:1</x:v>
      </x:c>
      <x:c r="I889" s="79" t="str">
        <x:v>Non : preuve humaine requise</x:v>
      </x:c>
      <x:c r="J889" s="79" t="str">
        <x:v>P1</x:v>
      </x:c>
      <x:c r="K889" s="79" t="str">
        <x:v>https://predator.illfonic.com/</x:v>
      </x:c>
      <x:c r="L889" s="79" t="str">
        <x:v>Avancement technique indicatif 0 %</x:v>
      </x:c>
    </x:row>
    <x:row r="890" ht="29" customHeight="1">
      <x:c r="A890" s="79" t="str">
        <x:v>22_V136_Backlog</x:v>
      </x:c>
      <x:c r="B890" s="79" t="n">
        <x:v>206</x:v>
      </x:c>
      <x:c r="C890" s="79" t="str">
        <x:v>V136-phg-alpha-04</x:v>
      </x:c>
      <x:c r="D890" s="79" t="str">
        <x:v>phg-alpha</x:v>
      </x:c>
      <x:c r="E890" s="79" t="str">
        <x:v>Charnière et animations</x:v>
      </x:c>
      <x:c r="F890" s="79" t="str">
        <x:v>PARTIEL · capot CSS ; 3 gestes / rig 1:1 manquants</x:v>
      </x:c>
      <x:c r="G890" s="79" t="str">
        <x:v>Cohérence rig / armurerie / hologramme</x:v>
      </x:c>
      <x:c r="H890" s="79" t="str">
        <x:v>ART 1:1</x:v>
      </x:c>
      <x:c r="I890" s="79" t="str">
        <x:v>Non : preuve humaine requise</x:v>
      </x:c>
      <x:c r="J890" s="79" t="str">
        <x:v>P1</x:v>
      </x:c>
      <x:c r="K890" s="79" t="str">
        <x:v>https://predator.illfonic.com/</x:v>
      </x:c>
      <x:c r="L890" s="79" t="str">
        <x:v>Avancement technique indicatif 25 %</x:v>
      </x:c>
    </x:row>
    <x:row r="891" ht="29" customHeight="1">
      <x:c r="A891" s="79" t="str">
        <x:v>22_V136_Backlog</x:v>
      </x:c>
      <x:c r="B891" s="79" t="n">
        <x:v>207</x:v>
      </x:c>
      <x:c r="C891" s="79" t="str">
        <x:v>V136-phg-alpha-05</x:v>
      </x:c>
      <x:c r="D891" s="79" t="str">
        <x:v>phg-alpha</x:v>
      </x:c>
      <x:c r="E891" s="79" t="str">
        <x:v>Rendu jeu et contrôle</x:v>
      </x:c>
      <x:c r="F891" s="79" t="str">
        <x:v>PARTIEL · rendu React + QA autonome, jeu complet à tester</x:v>
      </x:c>
      <x:c r="G891" s="79" t="str">
        <x:v>Comparaison toutes vues et modes</x:v>
      </x:c>
      <x:c r="H891" s="79" t="str">
        <x:v>ART 1:1</x:v>
      </x:c>
      <x:c r="I891" s="79" t="str">
        <x:v>Non : preuve humaine requise</x:v>
      </x:c>
      <x:c r="J891" s="79" t="str">
        <x:v>P1</x:v>
      </x:c>
      <x:c r="K891" s="79" t="str">
        <x:v>https://predator.illfonic.com/</x:v>
      </x:c>
      <x:c r="L891" s="79" t="str">
        <x:v>Avancement technique indicatif 45 %</x:v>
      </x:c>
    </x:row>
    <x:row r="892" ht="29" customHeight="1">
      <x:c r="A892" s="79" t="str">
        <x:v>22_V136_Backlog</x:v>
      </x:c>
      <x:c r="B892" s="79" t="n">
        <x:v>208</x:v>
      </x:c>
      <x:c r="C892" s="79" t="str">
        <x:v>V136-phg-alpha-06</x:v>
      </x:c>
      <x:c r="D892" s="79" t="str">
        <x:v>phg-alpha</x:v>
      </x:c>
      <x:c r="E892" s="79" t="str">
        <x:v>Revue artistique et droits</x:v>
      </x:c>
      <x:c r="F892" s="79" t="str">
        <x:v>OUVERT · revue humaine et autorisation IP nécessaires</x:v>
      </x:c>
      <x:c r="G892" s="79" t="str">
        <x:v>Ne jamais certifier sans approbation manuelle</x:v>
      </x:c>
      <x:c r="H892" s="79" t="str">
        <x:v>ART 1:1</x:v>
      </x:c>
      <x:c r="I892" s="79" t="str">
        <x:v>Non : preuve humaine requise</x:v>
      </x:c>
      <x:c r="J892" s="79" t="str">
        <x:v>P1</x:v>
      </x:c>
      <x:c r="K892" s="79" t="str">
        <x:v>https://predator.illfonic.com/</x:v>
      </x:c>
      <x:c r="L892" s="79" t="str">
        <x:v>Avancement technique indicatif 0 %</x:v>
      </x:c>
    </x:row>
    <x:row r="893" ht="29" customHeight="1">
      <x:c r="A893" s="79" t="str">
        <x:v>22_V136_Backlog</x:v>
      </x:c>
      <x:c r="B893" s="79" t="n">
        <x:v>209</x:v>
      </x:c>
      <x:c r="C893" s="79" t="str">
        <x:v>V136-phg-samurai-01</x:v>
      </x:c>
      <x:c r="D893" s="79" t="str">
        <x:v>phg-samurai</x:v>
      </x:c>
      <x:c r="E893" s="79" t="str">
        <x:v>Plan face/dessus/profil</x:v>
      </x:c>
      <x:c r="F893" s="79" t="str">
        <x:v>OUVERT · plusieurs vues source film/jeu non relevées</x:v>
      </x:c>
      <x:c r="G893" s="79" t="str">
        <x:v>Photo, prop, capture jeu propre au gauntlet</x:v>
      </x:c>
      <x:c r="H893" s="79" t="str">
        <x:v>ART 1:1</x:v>
      </x:c>
      <x:c r="I893" s="79" t="str">
        <x:v>Non : preuve humaine requise</x:v>
      </x:c>
      <x:c r="J893" s="79" t="str">
        <x:v>P1</x:v>
      </x:c>
      <x:c r="K893" s="79" t="str">
        <x:v>https://predator.illfonic.com/</x:v>
      </x:c>
      <x:c r="L893" s="79" t="str">
        <x:v>Avancement technique indicatif 0 %</x:v>
      </x:c>
    </x:row>
    <x:row r="894" ht="29" customHeight="1">
      <x:c r="A894" s="79" t="str">
        <x:v>22_V136_Backlog</x:v>
      </x:c>
      <x:c r="B894" s="79" t="n">
        <x:v>210</x:v>
      </x:c>
      <x:c r="C894" s="79" t="str">
        <x:v>V136-phg-samurai-02</x:v>
      </x:c>
      <x:c r="D894" s="79" t="str">
        <x:v>phg-samurai</x:v>
      </x:c>
      <x:c r="E894" s="79" t="str">
        <x:v>Proportions et silhouette</x:v>
      </x:c>
      <x:c r="F894" s="79" t="str">
        <x:v>PARTIEL · silhouette SVG originale, proportions non mesurées</x:v>
      </x:c>
      <x:c r="G894" s="79" t="str">
        <x:v>Contrôle alignement poignet et pièces</x:v>
      </x:c>
      <x:c r="H894" s="79" t="str">
        <x:v>ART 1:1</x:v>
      </x:c>
      <x:c r="I894" s="79" t="str">
        <x:v>Non : preuve humaine requise</x:v>
      </x:c>
      <x:c r="J894" s="79" t="str">
        <x:v>P1</x:v>
      </x:c>
      <x:c r="K894" s="79" t="str">
        <x:v>https://predator.illfonic.com/</x:v>
      </x:c>
      <x:c r="L894" s="79" t="str">
        <x:v>Avancement technique indicatif 25 %</x:v>
      </x:c>
    </x:row>
    <x:row r="895" ht="29" customHeight="1">
      <x:c r="A895" s="79" t="str">
        <x:v>22_V136_Backlog</x:v>
      </x:c>
      <x:c r="B895" s="79" t="n">
        <x:v>211</x:v>
      </x:c>
      <x:c r="C895" s="79" t="str">
        <x:v>V136-phg-samurai-03</x:v>
      </x:c>
      <x:c r="D895" s="79" t="str">
        <x:v>phg-samurai</x:v>
      </x:c>
      <x:c r="E895" s="79" t="str">
        <x:v>Textures UV et matériaux</x:v>
      </x:c>
      <x:c r="F895" s="79" t="str">
        <x:v>OUVERT · textures UV/PNG 1:1 et patine à produire</x:v>
      </x:c>
      <x:c r="G895" s="79" t="str">
        <x:v>PNG indépendants aux bons détails et reflets</x:v>
      </x:c>
      <x:c r="H895" s="79" t="str">
        <x:v>ART 1:1</x:v>
      </x:c>
      <x:c r="I895" s="79" t="str">
        <x:v>Non : preuve humaine requise</x:v>
      </x:c>
      <x:c r="J895" s="79" t="str">
        <x:v>P1</x:v>
      </x:c>
      <x:c r="K895" s="79" t="str">
        <x:v>https://predator.illfonic.com/</x:v>
      </x:c>
      <x:c r="L895" s="79" t="str">
        <x:v>Avancement technique indicatif 0 %</x:v>
      </x:c>
    </x:row>
    <x:row r="896" ht="29" customHeight="1">
      <x:c r="A896" s="79" t="str">
        <x:v>22_V136_Backlog</x:v>
      </x:c>
      <x:c r="B896" s="79" t="n">
        <x:v>212</x:v>
      </x:c>
      <x:c r="C896" s="79" t="str">
        <x:v>V136-phg-samurai-04</x:v>
      </x:c>
      <x:c r="D896" s="79" t="str">
        <x:v>phg-samurai</x:v>
      </x:c>
      <x:c r="E896" s="79" t="str">
        <x:v>Charnière et animations</x:v>
      </x:c>
      <x:c r="F896" s="79" t="str">
        <x:v>PARTIEL · capot CSS ; 3 gestes / rig 1:1 manquants</x:v>
      </x:c>
      <x:c r="G896" s="79" t="str">
        <x:v>Cohérence rig / armurerie / hologramme</x:v>
      </x:c>
      <x:c r="H896" s="79" t="str">
        <x:v>ART 1:1</x:v>
      </x:c>
      <x:c r="I896" s="79" t="str">
        <x:v>Non : preuve humaine requise</x:v>
      </x:c>
      <x:c r="J896" s="79" t="str">
        <x:v>P1</x:v>
      </x:c>
      <x:c r="K896" s="79" t="str">
        <x:v>https://predator.illfonic.com/</x:v>
      </x:c>
      <x:c r="L896" s="79" t="str">
        <x:v>Avancement technique indicatif 25 %</x:v>
      </x:c>
    </x:row>
    <x:row r="897" ht="29" customHeight="1">
      <x:c r="A897" s="79" t="str">
        <x:v>22_V136_Backlog</x:v>
      </x:c>
      <x:c r="B897" s="79" t="n">
        <x:v>213</x:v>
      </x:c>
      <x:c r="C897" s="79" t="str">
        <x:v>V136-phg-samurai-05</x:v>
      </x:c>
      <x:c r="D897" s="79" t="str">
        <x:v>phg-samurai</x:v>
      </x:c>
      <x:c r="E897" s="79" t="str">
        <x:v>Rendu jeu et contrôle</x:v>
      </x:c>
      <x:c r="F897" s="79" t="str">
        <x:v>PARTIEL · rendu React + QA autonome, jeu complet à tester</x:v>
      </x:c>
      <x:c r="G897" s="79" t="str">
        <x:v>Comparaison toutes vues et modes</x:v>
      </x:c>
      <x:c r="H897" s="79" t="str">
        <x:v>ART 1:1</x:v>
      </x:c>
      <x:c r="I897" s="79" t="str">
        <x:v>Non : preuve humaine requise</x:v>
      </x:c>
      <x:c r="J897" s="79" t="str">
        <x:v>P1</x:v>
      </x:c>
      <x:c r="K897" s="79" t="str">
        <x:v>https://predator.illfonic.com/</x:v>
      </x:c>
      <x:c r="L897" s="79" t="str">
        <x:v>Avancement technique indicatif 45 %</x:v>
      </x:c>
    </x:row>
    <x:row r="898" ht="29" customHeight="1">
      <x:c r="A898" s="79" t="str">
        <x:v>22_V136_Backlog</x:v>
      </x:c>
      <x:c r="B898" s="79" t="n">
        <x:v>214</x:v>
      </x:c>
      <x:c r="C898" s="79" t="str">
        <x:v>V136-phg-samurai-06</x:v>
      </x:c>
      <x:c r="D898" s="79" t="str">
        <x:v>phg-samurai</x:v>
      </x:c>
      <x:c r="E898" s="79" t="str">
        <x:v>Revue artistique et droits</x:v>
      </x:c>
      <x:c r="F898" s="79" t="str">
        <x:v>OUVERT · revue humaine et autorisation IP nécessaires</x:v>
      </x:c>
      <x:c r="G898" s="79" t="str">
        <x:v>Ne jamais certifier sans approbation manuelle</x:v>
      </x:c>
      <x:c r="H898" s="79" t="str">
        <x:v>ART 1:1</x:v>
      </x:c>
      <x:c r="I898" s="79" t="str">
        <x:v>Non : preuve humaine requise</x:v>
      </x:c>
      <x:c r="J898" s="79" t="str">
        <x:v>P1</x:v>
      </x:c>
      <x:c r="K898" s="79" t="str">
        <x:v>https://predator.illfonic.com/</x:v>
      </x:c>
      <x:c r="L898" s="79" t="str">
        <x:v>Avancement technique indicatif 0 %</x:v>
      </x:c>
    </x:row>
    <x:row r="899" ht="29" customHeight="1">
      <x:c r="A899" s="79" t="str">
        <x:v>22_V136_Backlog</x:v>
      </x:c>
      <x:c r="B899" s="79" t="n">
        <x:v>215</x:v>
      </x:c>
      <x:c r="C899" s="79" t="str">
        <x:v>V136-phg-viking-01</x:v>
      </x:c>
      <x:c r="D899" s="79" t="str">
        <x:v>phg-viking</x:v>
      </x:c>
      <x:c r="E899" s="79" t="str">
        <x:v>Plan face/dessus/profil</x:v>
      </x:c>
      <x:c r="F899" s="79" t="str">
        <x:v>OUVERT · plusieurs vues source film/jeu non relevées</x:v>
      </x:c>
      <x:c r="G899" s="79" t="str">
        <x:v>Photo, prop, capture jeu propre au gauntlet</x:v>
      </x:c>
      <x:c r="H899" s="79" t="str">
        <x:v>ART 1:1</x:v>
      </x:c>
      <x:c r="I899" s="79" t="str">
        <x:v>Non : preuve humaine requise</x:v>
      </x:c>
      <x:c r="J899" s="79" t="str">
        <x:v>P1</x:v>
      </x:c>
      <x:c r="K899" s="79" t="str">
        <x:v>https://predator.illfonic.com/</x:v>
      </x:c>
      <x:c r="L899" s="79" t="str">
        <x:v>Avancement technique indicatif 0 %</x:v>
      </x:c>
    </x:row>
    <x:row r="900" ht="29" customHeight="1">
      <x:c r="A900" s="79" t="str">
        <x:v>22_V136_Backlog</x:v>
      </x:c>
      <x:c r="B900" s="79" t="n">
        <x:v>216</x:v>
      </x:c>
      <x:c r="C900" s="79" t="str">
        <x:v>V136-phg-viking-02</x:v>
      </x:c>
      <x:c r="D900" s="79" t="str">
        <x:v>phg-viking</x:v>
      </x:c>
      <x:c r="E900" s="79" t="str">
        <x:v>Proportions et silhouette</x:v>
      </x:c>
      <x:c r="F900" s="79" t="str">
        <x:v>PARTIEL · silhouette SVG originale, proportions non mesurées</x:v>
      </x:c>
      <x:c r="G900" s="79" t="str">
        <x:v>Contrôle alignement poignet et pièces</x:v>
      </x:c>
      <x:c r="H900" s="79" t="str">
        <x:v>ART 1:1</x:v>
      </x:c>
      <x:c r="I900" s="79" t="str">
        <x:v>Non : preuve humaine requise</x:v>
      </x:c>
      <x:c r="J900" s="79" t="str">
        <x:v>P1</x:v>
      </x:c>
      <x:c r="K900" s="79" t="str">
        <x:v>https://predator.illfonic.com/</x:v>
      </x:c>
      <x:c r="L900" s="79" t="str">
        <x:v>Avancement technique indicatif 25 %</x:v>
      </x:c>
    </x:row>
    <x:row r="901" ht="29" customHeight="1">
      <x:c r="A901" s="79" t="str">
        <x:v>22_V136_Backlog</x:v>
      </x:c>
      <x:c r="B901" s="79" t="n">
        <x:v>217</x:v>
      </x:c>
      <x:c r="C901" s="79" t="str">
        <x:v>V136-phg-viking-03</x:v>
      </x:c>
      <x:c r="D901" s="79" t="str">
        <x:v>phg-viking</x:v>
      </x:c>
      <x:c r="E901" s="79" t="str">
        <x:v>Textures UV et matériaux</x:v>
      </x:c>
      <x:c r="F901" s="79" t="str">
        <x:v>OUVERT · textures UV/PNG 1:1 et patine à produire</x:v>
      </x:c>
      <x:c r="G901" s="79" t="str">
        <x:v>PNG indépendants aux bons détails et reflets</x:v>
      </x:c>
      <x:c r="H901" s="79" t="str">
        <x:v>ART 1:1</x:v>
      </x:c>
      <x:c r="I901" s="79" t="str">
        <x:v>Non : preuve humaine requise</x:v>
      </x:c>
      <x:c r="J901" s="79" t="str">
        <x:v>P1</x:v>
      </x:c>
      <x:c r="K901" s="79" t="str">
        <x:v>https://predator.illfonic.com/</x:v>
      </x:c>
      <x:c r="L901" s="79" t="str">
        <x:v>Avancement technique indicatif 0 %</x:v>
      </x:c>
    </x:row>
    <x:row r="902" ht="29" customHeight="1">
      <x:c r="A902" s="79" t="str">
        <x:v>22_V136_Backlog</x:v>
      </x:c>
      <x:c r="B902" s="79" t="n">
        <x:v>218</x:v>
      </x:c>
      <x:c r="C902" s="79" t="str">
        <x:v>V136-phg-viking-04</x:v>
      </x:c>
      <x:c r="D902" s="79" t="str">
        <x:v>phg-viking</x:v>
      </x:c>
      <x:c r="E902" s="79" t="str">
        <x:v>Charnière et animations</x:v>
      </x:c>
      <x:c r="F902" s="79" t="str">
        <x:v>PARTIEL · capot CSS ; 3 gestes / rig 1:1 manquants</x:v>
      </x:c>
      <x:c r="G902" s="79" t="str">
        <x:v>Cohérence rig / armurerie / hologramme</x:v>
      </x:c>
      <x:c r="H902" s="79" t="str">
        <x:v>ART 1:1</x:v>
      </x:c>
      <x:c r="I902" s="79" t="str">
        <x:v>Non : preuve humaine requise</x:v>
      </x:c>
      <x:c r="J902" s="79" t="str">
        <x:v>P1</x:v>
      </x:c>
      <x:c r="K902" s="79" t="str">
        <x:v>https://predator.illfonic.com/</x:v>
      </x:c>
      <x:c r="L902" s="79" t="str">
        <x:v>Avancement technique indicatif 25 %</x:v>
      </x:c>
    </x:row>
    <x:row r="903" ht="29" customHeight="1">
      <x:c r="A903" s="79" t="str">
        <x:v>22_V136_Backlog</x:v>
      </x:c>
      <x:c r="B903" s="79" t="n">
        <x:v>219</x:v>
      </x:c>
      <x:c r="C903" s="79" t="str">
        <x:v>V136-phg-viking-05</x:v>
      </x:c>
      <x:c r="D903" s="79" t="str">
        <x:v>phg-viking</x:v>
      </x:c>
      <x:c r="E903" s="79" t="str">
        <x:v>Rendu jeu et contrôle</x:v>
      </x:c>
      <x:c r="F903" s="79" t="str">
        <x:v>PARTIEL · rendu React + QA autonome, jeu complet à tester</x:v>
      </x:c>
      <x:c r="G903" s="79" t="str">
        <x:v>Comparaison toutes vues et modes</x:v>
      </x:c>
      <x:c r="H903" s="79" t="str">
        <x:v>ART 1:1</x:v>
      </x:c>
      <x:c r="I903" s="79" t="str">
        <x:v>Non : preuve humaine requise</x:v>
      </x:c>
      <x:c r="J903" s="79" t="str">
        <x:v>P1</x:v>
      </x:c>
      <x:c r="K903" s="79" t="str">
        <x:v>https://predator.illfonic.com/</x:v>
      </x:c>
      <x:c r="L903" s="79" t="str">
        <x:v>Avancement technique indicatif 45 %</x:v>
      </x:c>
    </x:row>
    <x:row r="904" ht="29" customHeight="1">
      <x:c r="A904" s="79" t="str">
        <x:v>22_V136_Backlog</x:v>
      </x:c>
      <x:c r="B904" s="79" t="n">
        <x:v>220</x:v>
      </x:c>
      <x:c r="C904" s="79" t="str">
        <x:v>V136-phg-viking-06</x:v>
      </x:c>
      <x:c r="D904" s="79" t="str">
        <x:v>phg-viking</x:v>
      </x:c>
      <x:c r="E904" s="79" t="str">
        <x:v>Revue artistique et droits</x:v>
      </x:c>
      <x:c r="F904" s="79" t="str">
        <x:v>OUVERT · revue humaine et autorisation IP nécessaires</x:v>
      </x:c>
      <x:c r="G904" s="79" t="str">
        <x:v>Ne jamais certifier sans approbation manuelle</x:v>
      </x:c>
      <x:c r="H904" s="79" t="str">
        <x:v>ART 1:1</x:v>
      </x:c>
      <x:c r="I904" s="79" t="str">
        <x:v>Non : preuve humaine requise</x:v>
      </x:c>
      <x:c r="J904" s="79" t="str">
        <x:v>P1</x:v>
      </x:c>
      <x:c r="K904" s="79" t="str">
        <x:v>https://predator.illfonic.com/</x:v>
      </x:c>
      <x:c r="L904" s="79" t="str">
        <x:v>Avancement technique indicatif 0 %</x:v>
      </x:c>
    </x:row>
    <x:row r="905" ht="29" customHeight="1">
      <x:c r="A905" s="79" t="str">
        <x:v>22_V136_Backlog</x:v>
      </x:c>
      <x:c r="B905" s="79" t="n">
        <x:v>221</x:v>
      </x:c>
      <x:c r="C905" s="79" t="str">
        <x:v>V136-phg-valkyrie-01</x:v>
      </x:c>
      <x:c r="D905" s="79" t="str">
        <x:v>phg-valkyrie</x:v>
      </x:c>
      <x:c r="E905" s="79" t="str">
        <x:v>Plan face/dessus/profil</x:v>
      </x:c>
      <x:c r="F905" s="79" t="str">
        <x:v>OUVERT · plusieurs vues source film/jeu non relevées</x:v>
      </x:c>
      <x:c r="G905" s="79" t="str">
        <x:v>Photo, prop, capture jeu propre au gauntlet</x:v>
      </x:c>
      <x:c r="H905" s="79" t="str">
        <x:v>ART 1:1</x:v>
      </x:c>
      <x:c r="I905" s="79" t="str">
        <x:v>Non : preuve humaine requise</x:v>
      </x:c>
      <x:c r="J905" s="79" t="str">
        <x:v>P1</x:v>
      </x:c>
      <x:c r="K905" s="79" t="str">
        <x:v>https://predator.illfonic.com/</x:v>
      </x:c>
      <x:c r="L905" s="79" t="str">
        <x:v>Avancement technique indicatif 0 %</x:v>
      </x:c>
    </x:row>
    <x:row r="906" ht="29" customHeight="1">
      <x:c r="A906" s="79" t="str">
        <x:v>22_V136_Backlog</x:v>
      </x:c>
      <x:c r="B906" s="79" t="n">
        <x:v>222</x:v>
      </x:c>
      <x:c r="C906" s="79" t="str">
        <x:v>V136-phg-valkyrie-02</x:v>
      </x:c>
      <x:c r="D906" s="79" t="str">
        <x:v>phg-valkyrie</x:v>
      </x:c>
      <x:c r="E906" s="79" t="str">
        <x:v>Proportions et silhouette</x:v>
      </x:c>
      <x:c r="F906" s="79" t="str">
        <x:v>PARTIEL · silhouette SVG originale, proportions non mesurées</x:v>
      </x:c>
      <x:c r="G906" s="79" t="str">
        <x:v>Contrôle alignement poignet et pièces</x:v>
      </x:c>
      <x:c r="H906" s="79" t="str">
        <x:v>ART 1:1</x:v>
      </x:c>
      <x:c r="I906" s="79" t="str">
        <x:v>Non : preuve humaine requise</x:v>
      </x:c>
      <x:c r="J906" s="79" t="str">
        <x:v>P1</x:v>
      </x:c>
      <x:c r="K906" s="79" t="str">
        <x:v>https://predator.illfonic.com/</x:v>
      </x:c>
      <x:c r="L906" s="79" t="str">
        <x:v>Avancement technique indicatif 25 %</x:v>
      </x:c>
    </x:row>
    <x:row r="907" ht="29" customHeight="1">
      <x:c r="A907" s="79" t="str">
        <x:v>22_V136_Backlog</x:v>
      </x:c>
      <x:c r="B907" s="79" t="n">
        <x:v>223</x:v>
      </x:c>
      <x:c r="C907" s="79" t="str">
        <x:v>V136-phg-valkyrie-03</x:v>
      </x:c>
      <x:c r="D907" s="79" t="str">
        <x:v>phg-valkyrie</x:v>
      </x:c>
      <x:c r="E907" s="79" t="str">
        <x:v>Textures UV et matériaux</x:v>
      </x:c>
      <x:c r="F907" s="79" t="str">
        <x:v>OUVERT · textures UV/PNG 1:1 et patine à produire</x:v>
      </x:c>
      <x:c r="G907" s="79" t="str">
        <x:v>PNG indépendants aux bons détails et reflets</x:v>
      </x:c>
      <x:c r="H907" s="79" t="str">
        <x:v>ART 1:1</x:v>
      </x:c>
      <x:c r="I907" s="79" t="str">
        <x:v>Non : preuve humaine requise</x:v>
      </x:c>
      <x:c r="J907" s="79" t="str">
        <x:v>P1</x:v>
      </x:c>
      <x:c r="K907" s="79" t="str">
        <x:v>https://predator.illfonic.com/</x:v>
      </x:c>
      <x:c r="L907" s="79" t="str">
        <x:v>Avancement technique indicatif 0 %</x:v>
      </x:c>
    </x:row>
    <x:row r="908" ht="29" customHeight="1">
      <x:c r="A908" s="79" t="str">
        <x:v>22_V136_Backlog</x:v>
      </x:c>
      <x:c r="B908" s="79" t="n">
        <x:v>224</x:v>
      </x:c>
      <x:c r="C908" s="79" t="str">
        <x:v>V136-phg-valkyrie-04</x:v>
      </x:c>
      <x:c r="D908" s="79" t="str">
        <x:v>phg-valkyrie</x:v>
      </x:c>
      <x:c r="E908" s="79" t="str">
        <x:v>Charnière et animations</x:v>
      </x:c>
      <x:c r="F908" s="79" t="str">
        <x:v>PARTIEL · capot CSS ; 3 gestes / rig 1:1 manquants</x:v>
      </x:c>
      <x:c r="G908" s="79" t="str">
        <x:v>Cohérence rig / armurerie / hologramme</x:v>
      </x:c>
      <x:c r="H908" s="79" t="str">
        <x:v>ART 1:1</x:v>
      </x:c>
      <x:c r="I908" s="79" t="str">
        <x:v>Non : preuve humaine requise</x:v>
      </x:c>
      <x:c r="J908" s="79" t="str">
        <x:v>P1</x:v>
      </x:c>
      <x:c r="K908" s="79" t="str">
        <x:v>https://predator.illfonic.com/</x:v>
      </x:c>
      <x:c r="L908" s="79" t="str">
        <x:v>Avancement technique indicatif 25 %</x:v>
      </x:c>
    </x:row>
    <x:row r="909" ht="29" customHeight="1">
      <x:c r="A909" s="79" t="str">
        <x:v>22_V136_Backlog</x:v>
      </x:c>
      <x:c r="B909" s="79" t="n">
        <x:v>225</x:v>
      </x:c>
      <x:c r="C909" s="79" t="str">
        <x:v>V136-phg-valkyrie-05</x:v>
      </x:c>
      <x:c r="D909" s="79" t="str">
        <x:v>phg-valkyrie</x:v>
      </x:c>
      <x:c r="E909" s="79" t="str">
        <x:v>Rendu jeu et contrôle</x:v>
      </x:c>
      <x:c r="F909" s="79" t="str">
        <x:v>PARTIEL · rendu React + QA autonome, jeu complet à tester</x:v>
      </x:c>
      <x:c r="G909" s="79" t="str">
        <x:v>Comparaison toutes vues et modes</x:v>
      </x:c>
      <x:c r="H909" s="79" t="str">
        <x:v>ART 1:1</x:v>
      </x:c>
      <x:c r="I909" s="79" t="str">
        <x:v>Non : preuve humaine requise</x:v>
      </x:c>
      <x:c r="J909" s="79" t="str">
        <x:v>P1</x:v>
      </x:c>
      <x:c r="K909" s="79" t="str">
        <x:v>https://predator.illfonic.com/</x:v>
      </x:c>
      <x:c r="L909" s="79" t="str">
        <x:v>Avancement technique indicatif 45 %</x:v>
      </x:c>
    </x:row>
    <x:row r="910" ht="29" customHeight="1">
      <x:c r="A910" s="79" t="str">
        <x:v>22_V136_Backlog</x:v>
      </x:c>
      <x:c r="B910" s="79" t="n">
        <x:v>226</x:v>
      </x:c>
      <x:c r="C910" s="79" t="str">
        <x:v>V136-phg-valkyrie-06</x:v>
      </x:c>
      <x:c r="D910" s="79" t="str">
        <x:v>phg-valkyrie</x:v>
      </x:c>
      <x:c r="E910" s="79" t="str">
        <x:v>Revue artistique et droits</x:v>
      </x:c>
      <x:c r="F910" s="79" t="str">
        <x:v>OUVERT · revue humaine et autorisation IP nécessaires</x:v>
      </x:c>
      <x:c r="G910" s="79" t="str">
        <x:v>Ne jamais certifier sans approbation manuelle</x:v>
      </x:c>
      <x:c r="H910" s="79" t="str">
        <x:v>ART 1:1</x:v>
      </x:c>
      <x:c r="I910" s="79" t="str">
        <x:v>Non : preuve humaine requise</x:v>
      </x:c>
      <x:c r="J910" s="79" t="str">
        <x:v>P1</x:v>
      </x:c>
      <x:c r="K910" s="79" t="str">
        <x:v>https://predator.illfonic.com/</x:v>
      </x:c>
      <x:c r="L910" s="79" t="str">
        <x:v>Avancement technique indicatif 0 %</x:v>
      </x:c>
    </x:row>
    <x:row r="911" ht="29" customHeight="1">
      <x:c r="A911" s="79" t="str">
        <x:v>22_V136_Backlog</x:v>
      </x:c>
      <x:c r="B911" s="79" t="n">
        <x:v>227</x:v>
      </x:c>
      <x:c r="C911" s="79" t="str">
        <x:v>V136-phg-cleopatra-01</x:v>
      </x:c>
      <x:c r="D911" s="79" t="str">
        <x:v>phg-cleopatra</x:v>
      </x:c>
      <x:c r="E911" s="79" t="str">
        <x:v>Plan face/dessus/profil</x:v>
      </x:c>
      <x:c r="F911" s="79" t="str">
        <x:v>OUVERT · plusieurs vues source film/jeu non relevées</x:v>
      </x:c>
      <x:c r="G911" s="79" t="str">
        <x:v>Photo, prop, capture jeu propre au gauntlet</x:v>
      </x:c>
      <x:c r="H911" s="79" t="str">
        <x:v>ART 1:1</x:v>
      </x:c>
      <x:c r="I911" s="79" t="str">
        <x:v>Non : preuve humaine requise</x:v>
      </x:c>
      <x:c r="J911" s="79" t="str">
        <x:v>P1</x:v>
      </x:c>
      <x:c r="K911" s="79" t="str">
        <x:v>https://predator.illfonic.com/</x:v>
      </x:c>
      <x:c r="L911" s="79" t="str">
        <x:v>Avancement technique indicatif 0 %</x:v>
      </x:c>
    </x:row>
    <x:row r="912" ht="29" customHeight="1">
      <x:c r="A912" s="79" t="str">
        <x:v>22_V136_Backlog</x:v>
      </x:c>
      <x:c r="B912" s="79" t="n">
        <x:v>228</x:v>
      </x:c>
      <x:c r="C912" s="79" t="str">
        <x:v>V136-phg-cleopatra-02</x:v>
      </x:c>
      <x:c r="D912" s="79" t="str">
        <x:v>phg-cleopatra</x:v>
      </x:c>
      <x:c r="E912" s="79" t="str">
        <x:v>Proportions et silhouette</x:v>
      </x:c>
      <x:c r="F912" s="79" t="str">
        <x:v>PARTIEL · silhouette SVG originale, proportions non mesurées</x:v>
      </x:c>
      <x:c r="G912" s="79" t="str">
        <x:v>Contrôle alignement poignet et pièces</x:v>
      </x:c>
      <x:c r="H912" s="79" t="str">
        <x:v>ART 1:1</x:v>
      </x:c>
      <x:c r="I912" s="79" t="str">
        <x:v>Non : preuve humaine requise</x:v>
      </x:c>
      <x:c r="J912" s="79" t="str">
        <x:v>P1</x:v>
      </x:c>
      <x:c r="K912" s="79" t="str">
        <x:v>https://predator.illfonic.com/</x:v>
      </x:c>
      <x:c r="L912" s="79" t="str">
        <x:v>Avancement technique indicatif 25 %</x:v>
      </x:c>
    </x:row>
    <x:row r="913" ht="29" customHeight="1">
      <x:c r="A913" s="79" t="str">
        <x:v>22_V136_Backlog</x:v>
      </x:c>
      <x:c r="B913" s="79" t="n">
        <x:v>229</x:v>
      </x:c>
      <x:c r="C913" s="79" t="str">
        <x:v>V136-phg-cleopatra-03</x:v>
      </x:c>
      <x:c r="D913" s="79" t="str">
        <x:v>phg-cleopatra</x:v>
      </x:c>
      <x:c r="E913" s="79" t="str">
        <x:v>Textures UV et matériaux</x:v>
      </x:c>
      <x:c r="F913" s="79" t="str">
        <x:v>OUVERT · textures UV/PNG 1:1 et patine à produire</x:v>
      </x:c>
      <x:c r="G913" s="79" t="str">
        <x:v>PNG indépendants aux bons détails et reflets</x:v>
      </x:c>
      <x:c r="H913" s="79" t="str">
        <x:v>ART 1:1</x:v>
      </x:c>
      <x:c r="I913" s="79" t="str">
        <x:v>Non : preuve humaine requise</x:v>
      </x:c>
      <x:c r="J913" s="79" t="str">
        <x:v>P1</x:v>
      </x:c>
      <x:c r="K913" s="79" t="str">
        <x:v>https://predator.illfonic.com/</x:v>
      </x:c>
      <x:c r="L913" s="79" t="str">
        <x:v>Avancement technique indicatif 0 %</x:v>
      </x:c>
    </x:row>
    <x:row r="914" ht="29" customHeight="1">
      <x:c r="A914" s="79" t="str">
        <x:v>22_V136_Backlog</x:v>
      </x:c>
      <x:c r="B914" s="79" t="n">
        <x:v>230</x:v>
      </x:c>
      <x:c r="C914" s="79" t="str">
        <x:v>V136-phg-cleopatra-04</x:v>
      </x:c>
      <x:c r="D914" s="79" t="str">
        <x:v>phg-cleopatra</x:v>
      </x:c>
      <x:c r="E914" s="79" t="str">
        <x:v>Charnière et animations</x:v>
      </x:c>
      <x:c r="F914" s="79" t="str">
        <x:v>PARTIEL · capot CSS ; 3 gestes / rig 1:1 manquants</x:v>
      </x:c>
      <x:c r="G914" s="79" t="str">
        <x:v>Cohérence rig / armurerie / hologramme</x:v>
      </x:c>
      <x:c r="H914" s="79" t="str">
        <x:v>ART 1:1</x:v>
      </x:c>
      <x:c r="I914" s="79" t="str">
        <x:v>Non : preuve humaine requise</x:v>
      </x:c>
      <x:c r="J914" s="79" t="str">
        <x:v>P1</x:v>
      </x:c>
      <x:c r="K914" s="79" t="str">
        <x:v>https://predator.illfonic.com/</x:v>
      </x:c>
      <x:c r="L914" s="79" t="str">
        <x:v>Avancement technique indicatif 25 %</x:v>
      </x:c>
    </x:row>
    <x:row r="915" ht="29" customHeight="1">
      <x:c r="A915" s="79" t="str">
        <x:v>22_V136_Backlog</x:v>
      </x:c>
      <x:c r="B915" s="79" t="n">
        <x:v>231</x:v>
      </x:c>
      <x:c r="C915" s="79" t="str">
        <x:v>V136-phg-cleopatra-05</x:v>
      </x:c>
      <x:c r="D915" s="79" t="str">
        <x:v>phg-cleopatra</x:v>
      </x:c>
      <x:c r="E915" s="79" t="str">
        <x:v>Rendu jeu et contrôle</x:v>
      </x:c>
      <x:c r="F915" s="79" t="str">
        <x:v>PARTIEL · rendu React + QA autonome, jeu complet à tester</x:v>
      </x:c>
      <x:c r="G915" s="79" t="str">
        <x:v>Comparaison toutes vues et modes</x:v>
      </x:c>
      <x:c r="H915" s="79" t="str">
        <x:v>ART 1:1</x:v>
      </x:c>
      <x:c r="I915" s="79" t="str">
        <x:v>Non : preuve humaine requise</x:v>
      </x:c>
      <x:c r="J915" s="79" t="str">
        <x:v>P1</x:v>
      </x:c>
      <x:c r="K915" s="79" t="str">
        <x:v>https://predator.illfonic.com/</x:v>
      </x:c>
      <x:c r="L915" s="79" t="str">
        <x:v>Avancement technique indicatif 45 %</x:v>
      </x:c>
    </x:row>
    <x:row r="916" ht="29" customHeight="1">
      <x:c r="A916" s="79" t="str">
        <x:v>22_V136_Backlog</x:v>
      </x:c>
      <x:c r="B916" s="79" t="n">
        <x:v>232</x:v>
      </x:c>
      <x:c r="C916" s="79" t="str">
        <x:v>V136-phg-cleopatra-06</x:v>
      </x:c>
      <x:c r="D916" s="79" t="str">
        <x:v>phg-cleopatra</x:v>
      </x:c>
      <x:c r="E916" s="79" t="str">
        <x:v>Revue artistique et droits</x:v>
      </x:c>
      <x:c r="F916" s="79" t="str">
        <x:v>OUVERT · revue humaine et autorisation IP nécessaires</x:v>
      </x:c>
      <x:c r="G916" s="79" t="str">
        <x:v>Ne jamais certifier sans approbation manuelle</x:v>
      </x:c>
      <x:c r="H916" s="79" t="str">
        <x:v>ART 1:1</x:v>
      </x:c>
      <x:c r="I916" s="79" t="str">
        <x:v>Non : preuve humaine requise</x:v>
      </x:c>
      <x:c r="J916" s="79" t="str">
        <x:v>P1</x:v>
      </x:c>
      <x:c r="K916" s="79" t="str">
        <x:v>https://predator.illfonic.com/</x:v>
      </x:c>
      <x:c r="L916" s="79" t="str">
        <x:v>Avancement technique indicatif 0 %</x:v>
      </x:c>
    </x:row>
    <x:row r="917" ht="29" customHeight="1">
      <x:c r="A917" s="79" t="str">
        <x:v>22_V136_Backlog</x:v>
      </x:c>
      <x:c r="B917" s="79" t="n">
        <x:v>233</x:v>
      </x:c>
      <x:c r="C917" s="79" t="str">
        <x:v>V136-phg-exiled-01</x:v>
      </x:c>
      <x:c r="D917" s="79" t="str">
        <x:v>phg-exiled</x:v>
      </x:c>
      <x:c r="E917" s="79" t="str">
        <x:v>Plan face/dessus/profil</x:v>
      </x:c>
      <x:c r="F917" s="79" t="str">
        <x:v>OUVERT · plusieurs vues source film/jeu non relevées</x:v>
      </x:c>
      <x:c r="G917" s="79" t="str">
        <x:v>Photo, prop, capture jeu propre au gauntlet</x:v>
      </x:c>
      <x:c r="H917" s="79" t="str">
        <x:v>ART 1:1</x:v>
      </x:c>
      <x:c r="I917" s="79" t="str">
        <x:v>Non : preuve humaine requise</x:v>
      </x:c>
      <x:c r="J917" s="79" t="str">
        <x:v>P1</x:v>
      </x:c>
      <x:c r="K917" s="79" t="str">
        <x:v>https://predator.illfonic.com/</x:v>
      </x:c>
      <x:c r="L917" s="79" t="str">
        <x:v>Avancement technique indicatif 0 %</x:v>
      </x:c>
    </x:row>
    <x:row r="918" ht="29" customHeight="1">
      <x:c r="A918" s="79" t="str">
        <x:v>22_V136_Backlog</x:v>
      </x:c>
      <x:c r="B918" s="79" t="n">
        <x:v>234</x:v>
      </x:c>
      <x:c r="C918" s="79" t="str">
        <x:v>V136-phg-exiled-02</x:v>
      </x:c>
      <x:c r="D918" s="79" t="str">
        <x:v>phg-exiled</x:v>
      </x:c>
      <x:c r="E918" s="79" t="str">
        <x:v>Proportions et silhouette</x:v>
      </x:c>
      <x:c r="F918" s="79" t="str">
        <x:v>PARTIEL · silhouette SVG originale, proportions non mesurées</x:v>
      </x:c>
      <x:c r="G918" s="79" t="str">
        <x:v>Contrôle alignement poignet et pièces</x:v>
      </x:c>
      <x:c r="H918" s="79" t="str">
        <x:v>ART 1:1</x:v>
      </x:c>
      <x:c r="I918" s="79" t="str">
        <x:v>Non : preuve humaine requise</x:v>
      </x:c>
      <x:c r="J918" s="79" t="str">
        <x:v>P1</x:v>
      </x:c>
      <x:c r="K918" s="79" t="str">
        <x:v>https://predator.illfonic.com/</x:v>
      </x:c>
      <x:c r="L918" s="79" t="str">
        <x:v>Avancement technique indicatif 25 %</x:v>
      </x:c>
    </x:row>
    <x:row r="919" ht="29" customHeight="1">
      <x:c r="A919" s="79" t="str">
        <x:v>22_V136_Backlog</x:v>
      </x:c>
      <x:c r="B919" s="79" t="n">
        <x:v>235</x:v>
      </x:c>
      <x:c r="C919" s="79" t="str">
        <x:v>V136-phg-exiled-03</x:v>
      </x:c>
      <x:c r="D919" s="79" t="str">
        <x:v>phg-exiled</x:v>
      </x:c>
      <x:c r="E919" s="79" t="str">
        <x:v>Textures UV et matériaux</x:v>
      </x:c>
      <x:c r="F919" s="79" t="str">
        <x:v>OUVERT · textures UV/PNG 1:1 et patine à produire</x:v>
      </x:c>
      <x:c r="G919" s="79" t="str">
        <x:v>PNG indépendants aux bons détails et reflets</x:v>
      </x:c>
      <x:c r="H919" s="79" t="str">
        <x:v>ART 1:1</x:v>
      </x:c>
      <x:c r="I919" s="79" t="str">
        <x:v>Non : preuve humaine requise</x:v>
      </x:c>
      <x:c r="J919" s="79" t="str">
        <x:v>P1</x:v>
      </x:c>
      <x:c r="K919" s="79" t="str">
        <x:v>https://predator.illfonic.com/</x:v>
      </x:c>
      <x:c r="L919" s="79" t="str">
        <x:v>Avancement technique indicatif 0 %</x:v>
      </x:c>
    </x:row>
    <x:row r="920" ht="29" customHeight="1">
      <x:c r="A920" s="79" t="str">
        <x:v>22_V136_Backlog</x:v>
      </x:c>
      <x:c r="B920" s="79" t="n">
        <x:v>236</x:v>
      </x:c>
      <x:c r="C920" s="79" t="str">
        <x:v>V136-phg-exiled-04</x:v>
      </x:c>
      <x:c r="D920" s="79" t="str">
        <x:v>phg-exiled</x:v>
      </x:c>
      <x:c r="E920" s="79" t="str">
        <x:v>Charnière et animations</x:v>
      </x:c>
      <x:c r="F920" s="79" t="str">
        <x:v>PARTIEL · capot CSS ; 3 gestes / rig 1:1 manquants</x:v>
      </x:c>
      <x:c r="G920" s="79" t="str">
        <x:v>Cohérence rig / armurerie / hologramme</x:v>
      </x:c>
      <x:c r="H920" s="79" t="str">
        <x:v>ART 1:1</x:v>
      </x:c>
      <x:c r="I920" s="79" t="str">
        <x:v>Non : preuve humaine requise</x:v>
      </x:c>
      <x:c r="J920" s="79" t="str">
        <x:v>P1</x:v>
      </x:c>
      <x:c r="K920" s="79" t="str">
        <x:v>https://predator.illfonic.com/</x:v>
      </x:c>
      <x:c r="L920" s="79" t="str">
        <x:v>Avancement technique indicatif 25 %</x:v>
      </x:c>
    </x:row>
    <x:row r="921" ht="29" customHeight="1">
      <x:c r="A921" s="79" t="str">
        <x:v>22_V136_Backlog</x:v>
      </x:c>
      <x:c r="B921" s="79" t="n">
        <x:v>237</x:v>
      </x:c>
      <x:c r="C921" s="79" t="str">
        <x:v>V136-phg-exiled-05</x:v>
      </x:c>
      <x:c r="D921" s="79" t="str">
        <x:v>phg-exiled</x:v>
      </x:c>
      <x:c r="E921" s="79" t="str">
        <x:v>Rendu jeu et contrôle</x:v>
      </x:c>
      <x:c r="F921" s="79" t="str">
        <x:v>PARTIEL · rendu React + QA autonome, jeu complet à tester</x:v>
      </x:c>
      <x:c r="G921" s="79" t="str">
        <x:v>Comparaison toutes vues et modes</x:v>
      </x:c>
      <x:c r="H921" s="79" t="str">
        <x:v>ART 1:1</x:v>
      </x:c>
      <x:c r="I921" s="79" t="str">
        <x:v>Non : preuve humaine requise</x:v>
      </x:c>
      <x:c r="J921" s="79" t="str">
        <x:v>P1</x:v>
      </x:c>
      <x:c r="K921" s="79" t="str">
        <x:v>https://predator.illfonic.com/</x:v>
      </x:c>
      <x:c r="L921" s="79" t="str">
        <x:v>Avancement technique indicatif 45 %</x:v>
      </x:c>
    </x:row>
    <x:row r="922" ht="29" customHeight="1">
      <x:c r="A922" s="79" t="str">
        <x:v>22_V136_Backlog</x:v>
      </x:c>
      <x:c r="B922" s="79" t="n">
        <x:v>238</x:v>
      </x:c>
      <x:c r="C922" s="79" t="str">
        <x:v>V136-phg-exiled-06</x:v>
      </x:c>
      <x:c r="D922" s="79" t="str">
        <x:v>phg-exiled</x:v>
      </x:c>
      <x:c r="E922" s="79" t="str">
        <x:v>Revue artistique et droits</x:v>
      </x:c>
      <x:c r="F922" s="79" t="str">
        <x:v>OUVERT · revue humaine et autorisation IP nécessaires</x:v>
      </x:c>
      <x:c r="G922" s="79" t="str">
        <x:v>Ne jamais certifier sans approbation manuelle</x:v>
      </x:c>
      <x:c r="H922" s="79" t="str">
        <x:v>ART 1:1</x:v>
      </x:c>
      <x:c r="I922" s="79" t="str">
        <x:v>Non : preuve humaine requise</x:v>
      </x:c>
      <x:c r="J922" s="79" t="str">
        <x:v>P1</x:v>
      </x:c>
      <x:c r="K922" s="79" t="str">
        <x:v>https://predator.illfonic.com/</x:v>
      </x:c>
      <x:c r="L922" s="79" t="str">
        <x:v>Avancement technique indicatif 0 %</x:v>
      </x:c>
    </x:row>
    <x:row r="923" ht="29" customHeight="1">
      <x:c r="A923" s="79" t="str">
        <x:v>22_V136_Backlog</x:v>
      </x:c>
      <x:c r="B923" s="79" t="n">
        <x:v>239</x:v>
      </x:c>
      <x:c r="C923" s="79" t="str">
        <x:v>V136-phg-pirate-01</x:v>
      </x:c>
      <x:c r="D923" s="79" t="str">
        <x:v>phg-pirate</x:v>
      </x:c>
      <x:c r="E923" s="79" t="str">
        <x:v>Plan face/dessus/profil</x:v>
      </x:c>
      <x:c r="F923" s="79" t="str">
        <x:v>OUVERT · plusieurs vues source film/jeu non relevées</x:v>
      </x:c>
      <x:c r="G923" s="79" t="str">
        <x:v>Photo, prop, capture jeu propre au gauntlet</x:v>
      </x:c>
      <x:c r="H923" s="79" t="str">
        <x:v>ART 1:1</x:v>
      </x:c>
      <x:c r="I923" s="79" t="str">
        <x:v>Non : preuve humaine requise</x:v>
      </x:c>
      <x:c r="J923" s="79" t="str">
        <x:v>P1</x:v>
      </x:c>
      <x:c r="K923" s="79" t="str">
        <x:v>https://predator.illfonic.com/</x:v>
      </x:c>
      <x:c r="L923" s="79" t="str">
        <x:v>Avancement technique indicatif 0 %</x:v>
      </x:c>
    </x:row>
    <x:row r="924" ht="29" customHeight="1">
      <x:c r="A924" s="79" t="str">
        <x:v>22_V136_Backlog</x:v>
      </x:c>
      <x:c r="B924" s="79" t="n">
        <x:v>240</x:v>
      </x:c>
      <x:c r="C924" s="79" t="str">
        <x:v>V136-phg-pirate-02</x:v>
      </x:c>
      <x:c r="D924" s="79" t="str">
        <x:v>phg-pirate</x:v>
      </x:c>
      <x:c r="E924" s="79" t="str">
        <x:v>Proportions et silhouette</x:v>
      </x:c>
      <x:c r="F924" s="79" t="str">
        <x:v>PARTIEL · silhouette SVG originale, proportions non mesurées</x:v>
      </x:c>
      <x:c r="G924" s="79" t="str">
        <x:v>Contrôle alignement poignet et pièces</x:v>
      </x:c>
      <x:c r="H924" s="79" t="str">
        <x:v>ART 1:1</x:v>
      </x:c>
      <x:c r="I924" s="79" t="str">
        <x:v>Non : preuve humaine requise</x:v>
      </x:c>
      <x:c r="J924" s="79" t="str">
        <x:v>P1</x:v>
      </x:c>
      <x:c r="K924" s="79" t="str">
        <x:v>https://predator.illfonic.com/</x:v>
      </x:c>
      <x:c r="L924" s="79" t="str">
        <x:v>Avancement technique indicatif 25 %</x:v>
      </x:c>
    </x:row>
    <x:row r="925" ht="29" customHeight="1">
      <x:c r="A925" s="79" t="str">
        <x:v>22_V136_Backlog</x:v>
      </x:c>
      <x:c r="B925" s="79" t="n">
        <x:v>241</x:v>
      </x:c>
      <x:c r="C925" s="79" t="str">
        <x:v>V136-phg-pirate-03</x:v>
      </x:c>
      <x:c r="D925" s="79" t="str">
        <x:v>phg-pirate</x:v>
      </x:c>
      <x:c r="E925" s="79" t="str">
        <x:v>Textures UV et matériaux</x:v>
      </x:c>
      <x:c r="F925" s="79" t="str">
        <x:v>OUVERT · textures UV/PNG 1:1 et patine à produire</x:v>
      </x:c>
      <x:c r="G925" s="79" t="str">
        <x:v>PNG indépendants aux bons détails et reflets</x:v>
      </x:c>
      <x:c r="H925" s="79" t="str">
        <x:v>ART 1:1</x:v>
      </x:c>
      <x:c r="I925" s="79" t="str">
        <x:v>Non : preuve humaine requise</x:v>
      </x:c>
      <x:c r="J925" s="79" t="str">
        <x:v>P1</x:v>
      </x:c>
      <x:c r="K925" s="79" t="str">
        <x:v>https://predator.illfonic.com/</x:v>
      </x:c>
      <x:c r="L925" s="79" t="str">
        <x:v>Avancement technique indicatif 0 %</x:v>
      </x:c>
    </x:row>
    <x:row r="926" ht="29" customHeight="1">
      <x:c r="A926" s="79" t="str">
        <x:v>22_V136_Backlog</x:v>
      </x:c>
      <x:c r="B926" s="79" t="n">
        <x:v>242</x:v>
      </x:c>
      <x:c r="C926" s="79" t="str">
        <x:v>V136-phg-pirate-04</x:v>
      </x:c>
      <x:c r="D926" s="79" t="str">
        <x:v>phg-pirate</x:v>
      </x:c>
      <x:c r="E926" s="79" t="str">
        <x:v>Charnière et animations</x:v>
      </x:c>
      <x:c r="F926" s="79" t="str">
        <x:v>PARTIEL · capot CSS ; 3 gestes / rig 1:1 manquants</x:v>
      </x:c>
      <x:c r="G926" s="79" t="str">
        <x:v>Cohérence rig / armurerie / hologramme</x:v>
      </x:c>
      <x:c r="H926" s="79" t="str">
        <x:v>ART 1:1</x:v>
      </x:c>
      <x:c r="I926" s="79" t="str">
        <x:v>Non : preuve humaine requise</x:v>
      </x:c>
      <x:c r="J926" s="79" t="str">
        <x:v>P1</x:v>
      </x:c>
      <x:c r="K926" s="79" t="str">
        <x:v>https://predator.illfonic.com/</x:v>
      </x:c>
      <x:c r="L926" s="79" t="str">
        <x:v>Avancement technique indicatif 25 %</x:v>
      </x:c>
    </x:row>
    <x:row r="927" ht="29" customHeight="1">
      <x:c r="A927" s="79" t="str">
        <x:v>22_V136_Backlog</x:v>
      </x:c>
      <x:c r="B927" s="79" t="n">
        <x:v>243</x:v>
      </x:c>
      <x:c r="C927" s="79" t="str">
        <x:v>V136-phg-pirate-05</x:v>
      </x:c>
      <x:c r="D927" s="79" t="str">
        <x:v>phg-pirate</x:v>
      </x:c>
      <x:c r="E927" s="79" t="str">
        <x:v>Rendu jeu et contrôle</x:v>
      </x:c>
      <x:c r="F927" s="79" t="str">
        <x:v>PARTIEL · rendu React + QA autonome, jeu complet à tester</x:v>
      </x:c>
      <x:c r="G927" s="79" t="str">
        <x:v>Comparaison toutes vues et modes</x:v>
      </x:c>
      <x:c r="H927" s="79" t="str">
        <x:v>ART 1:1</x:v>
      </x:c>
      <x:c r="I927" s="79" t="str">
        <x:v>Non : preuve humaine requise</x:v>
      </x:c>
      <x:c r="J927" s="79" t="str">
        <x:v>P1</x:v>
      </x:c>
      <x:c r="K927" s="79" t="str">
        <x:v>https://predator.illfonic.com/</x:v>
      </x:c>
      <x:c r="L927" s="79" t="str">
        <x:v>Avancement technique indicatif 45 %</x:v>
      </x:c>
    </x:row>
    <x:row r="928" ht="29" customHeight="1">
      <x:c r="A928" s="79" t="str">
        <x:v>22_V136_Backlog</x:v>
      </x:c>
      <x:c r="B928" s="79" t="n">
        <x:v>244</x:v>
      </x:c>
      <x:c r="C928" s="79" t="str">
        <x:v>V136-phg-pirate-06</x:v>
      </x:c>
      <x:c r="D928" s="79" t="str">
        <x:v>phg-pirate</x:v>
      </x:c>
      <x:c r="E928" s="79" t="str">
        <x:v>Revue artistique et droits</x:v>
      </x:c>
      <x:c r="F928" s="79" t="str">
        <x:v>OUVERT · revue humaine et autorisation IP nécessaires</x:v>
      </x:c>
      <x:c r="G928" s="79" t="str">
        <x:v>Ne jamais certifier sans approbation manuelle</x:v>
      </x:c>
      <x:c r="H928" s="79" t="str">
        <x:v>ART 1:1</x:v>
      </x:c>
      <x:c r="I928" s="79" t="str">
        <x:v>Non : preuve humaine requise</x:v>
      </x:c>
      <x:c r="J928" s="79" t="str">
        <x:v>P1</x:v>
      </x:c>
      <x:c r="K928" s="79" t="str">
        <x:v>https://predator.illfonic.com/</x:v>
      </x:c>
      <x:c r="L928" s="79" t="str">
        <x:v>Avancement technique indicatif 0 %</x:v>
      </x:c>
    </x:row>
    <x:row r="929" ht="29" customHeight="1">
      <x:c r="A929" s="79" t="str">
        <x:v>22_V136_Backlog</x:v>
      </x:c>
      <x:c r="B929" s="79" t="n">
        <x:v>245</x:v>
      </x:c>
      <x:c r="C929" s="79" t="str">
        <x:v>V136-phg-bionic-01</x:v>
      </x:c>
      <x:c r="D929" s="79" t="str">
        <x:v>phg-bionic</x:v>
      </x:c>
      <x:c r="E929" s="79" t="str">
        <x:v>Plan face/dessus/profil</x:v>
      </x:c>
      <x:c r="F929" s="79" t="str">
        <x:v>OUVERT · plusieurs vues source film/jeu non relevées</x:v>
      </x:c>
      <x:c r="G929" s="79" t="str">
        <x:v>Photo, prop, capture jeu propre au gauntlet</x:v>
      </x:c>
      <x:c r="H929" s="79" t="str">
        <x:v>ART 1:1</x:v>
      </x:c>
      <x:c r="I929" s="79" t="str">
        <x:v>Non : preuve humaine requise</x:v>
      </x:c>
      <x:c r="J929" s="79" t="str">
        <x:v>P1</x:v>
      </x:c>
      <x:c r="K929" s="79" t="str">
        <x:v>https://store.steampowered.com/app/1556200/Predator__Hunting_Grounds/</x:v>
      </x:c>
      <x:c r="L929" s="79" t="str">
        <x:v>Avancement technique indicatif 0 %</x:v>
      </x:c>
    </x:row>
    <x:row r="930" ht="29" customHeight="1">
      <x:c r="A930" s="79" t="str">
        <x:v>22_V136_Backlog</x:v>
      </x:c>
      <x:c r="B930" s="79" t="n">
        <x:v>246</x:v>
      </x:c>
      <x:c r="C930" s="79" t="str">
        <x:v>V136-phg-bionic-02</x:v>
      </x:c>
      <x:c r="D930" s="79" t="str">
        <x:v>phg-bionic</x:v>
      </x:c>
      <x:c r="E930" s="79" t="str">
        <x:v>Proportions et silhouette</x:v>
      </x:c>
      <x:c r="F930" s="79" t="str">
        <x:v>PARTIEL · silhouette SVG originale, proportions non mesurées</x:v>
      </x:c>
      <x:c r="G930" s="79" t="str">
        <x:v>Contrôle alignement poignet et pièces</x:v>
      </x:c>
      <x:c r="H930" s="79" t="str">
        <x:v>ART 1:1</x:v>
      </x:c>
      <x:c r="I930" s="79" t="str">
        <x:v>Non : preuve humaine requise</x:v>
      </x:c>
      <x:c r="J930" s="79" t="str">
        <x:v>P1</x:v>
      </x:c>
      <x:c r="K930" s="79" t="str">
        <x:v>https://store.steampowered.com/app/1556200/Predator__Hunting_Grounds/</x:v>
      </x:c>
      <x:c r="L930" s="79" t="str">
        <x:v>Avancement technique indicatif 25 %</x:v>
      </x:c>
    </x:row>
    <x:row r="931" ht="29" customHeight="1">
      <x:c r="A931" s="79" t="str">
        <x:v>22_V136_Backlog</x:v>
      </x:c>
      <x:c r="B931" s="79" t="n">
        <x:v>247</x:v>
      </x:c>
      <x:c r="C931" s="79" t="str">
        <x:v>V136-phg-bionic-03</x:v>
      </x:c>
      <x:c r="D931" s="79" t="str">
        <x:v>phg-bionic</x:v>
      </x:c>
      <x:c r="E931" s="79" t="str">
        <x:v>Textures UV et matériaux</x:v>
      </x:c>
      <x:c r="F931" s="79" t="str">
        <x:v>OUVERT · textures UV/PNG 1:1 et patine à produire</x:v>
      </x:c>
      <x:c r="G931" s="79" t="str">
        <x:v>PNG indépendants aux bons détails et reflets</x:v>
      </x:c>
      <x:c r="H931" s="79" t="str">
        <x:v>ART 1:1</x:v>
      </x:c>
      <x:c r="I931" s="79" t="str">
        <x:v>Non : preuve humaine requise</x:v>
      </x:c>
      <x:c r="J931" s="79" t="str">
        <x:v>P1</x:v>
      </x:c>
      <x:c r="K931" s="79" t="str">
        <x:v>https://store.steampowered.com/app/1556200/Predator__Hunting_Grounds/</x:v>
      </x:c>
      <x:c r="L931" s="79" t="str">
        <x:v>Avancement technique indicatif 0 %</x:v>
      </x:c>
    </x:row>
    <x:row r="932" ht="29" customHeight="1">
      <x:c r="A932" s="79" t="str">
        <x:v>22_V136_Backlog</x:v>
      </x:c>
      <x:c r="B932" s="79" t="n">
        <x:v>248</x:v>
      </x:c>
      <x:c r="C932" s="79" t="str">
        <x:v>V136-phg-bionic-04</x:v>
      </x:c>
      <x:c r="D932" s="79" t="str">
        <x:v>phg-bionic</x:v>
      </x:c>
      <x:c r="E932" s="79" t="str">
        <x:v>Charnière et animations</x:v>
      </x:c>
      <x:c r="F932" s="79" t="str">
        <x:v>PARTIEL · capot CSS ; 3 gestes / rig 1:1 manquants</x:v>
      </x:c>
      <x:c r="G932" s="79" t="str">
        <x:v>Cohérence rig / armurerie / hologramme</x:v>
      </x:c>
      <x:c r="H932" s="79" t="str">
        <x:v>ART 1:1</x:v>
      </x:c>
      <x:c r="I932" s="79" t="str">
        <x:v>Non : preuve humaine requise</x:v>
      </x:c>
      <x:c r="J932" s="79" t="str">
        <x:v>P1</x:v>
      </x:c>
      <x:c r="K932" s="79" t="str">
        <x:v>https://store.steampowered.com/app/1556200/Predator__Hunting_Grounds/</x:v>
      </x:c>
      <x:c r="L932" s="79" t="str">
        <x:v>Avancement technique indicatif 25 %</x:v>
      </x:c>
    </x:row>
    <x:row r="933" ht="29" customHeight="1">
      <x:c r="A933" s="79" t="str">
        <x:v>22_V136_Backlog</x:v>
      </x:c>
      <x:c r="B933" s="79" t="n">
        <x:v>249</x:v>
      </x:c>
      <x:c r="C933" s="79" t="str">
        <x:v>V136-phg-bionic-05</x:v>
      </x:c>
      <x:c r="D933" s="79" t="str">
        <x:v>phg-bionic</x:v>
      </x:c>
      <x:c r="E933" s="79" t="str">
        <x:v>Rendu jeu et contrôle</x:v>
      </x:c>
      <x:c r="F933" s="79" t="str">
        <x:v>PARTIEL · rendu React + QA autonome, jeu complet à tester</x:v>
      </x:c>
      <x:c r="G933" s="79" t="str">
        <x:v>Comparaison toutes vues et modes</x:v>
      </x:c>
      <x:c r="H933" s="79" t="str">
        <x:v>ART 1:1</x:v>
      </x:c>
      <x:c r="I933" s="79" t="str">
        <x:v>Non : preuve humaine requise</x:v>
      </x:c>
      <x:c r="J933" s="79" t="str">
        <x:v>P1</x:v>
      </x:c>
      <x:c r="K933" s="79" t="str">
        <x:v>https://store.steampowered.com/app/1556200/Predator__Hunting_Grounds/</x:v>
      </x:c>
      <x:c r="L933" s="79" t="str">
        <x:v>Avancement technique indicatif 45 %</x:v>
      </x:c>
    </x:row>
    <x:row r="934" ht="29" customHeight="1">
      <x:c r="A934" s="79" t="str">
        <x:v>22_V136_Backlog</x:v>
      </x:c>
      <x:c r="B934" s="79" t="n">
        <x:v>250</x:v>
      </x:c>
      <x:c r="C934" s="79" t="str">
        <x:v>V136-phg-bionic-06</x:v>
      </x:c>
      <x:c r="D934" s="79" t="str">
        <x:v>phg-bionic</x:v>
      </x:c>
      <x:c r="E934" s="79" t="str">
        <x:v>Revue artistique et droits</x:v>
      </x:c>
      <x:c r="F934" s="79" t="str">
        <x:v>OUVERT · revue humaine et autorisation IP nécessaires</x:v>
      </x:c>
      <x:c r="G934" s="79" t="str">
        <x:v>Ne jamais certifier sans approbation manuelle</x:v>
      </x:c>
      <x:c r="H934" s="79" t="str">
        <x:v>ART 1:1</x:v>
      </x:c>
      <x:c r="I934" s="79" t="str">
        <x:v>Non : preuve humaine requise</x:v>
      </x:c>
      <x:c r="J934" s="79" t="str">
        <x:v>P1</x:v>
      </x:c>
      <x:c r="K934" s="79" t="str">
        <x:v>https://store.steampowered.com/app/1556200/Predator__Hunting_Grounds/</x:v>
      </x:c>
      <x:c r="L934" s="79" t="str">
        <x:v>Avancement technique indicatif 0 %</x:v>
      </x:c>
    </x:row>
    <x:row r="935" ht="29" customHeight="1">
      <x:c r="A935" s="79" t="str">
        <x:v>22_V136_Backlog</x:v>
      </x:c>
      <x:c r="B935" s="79" t="n">
        <x:v>251</x:v>
      </x:c>
      <x:c r="C935" s="79" t="str">
        <x:v>V136-phg-emissary-01</x:v>
      </x:c>
      <x:c r="D935" s="79" t="str">
        <x:v>phg-emissary</x:v>
      </x:c>
      <x:c r="E935" s="79" t="str">
        <x:v>Plan face/dessus/profil</x:v>
      </x:c>
      <x:c r="F935" s="79" t="str">
        <x:v>OUVERT · plusieurs vues source film/jeu non relevées</x:v>
      </x:c>
      <x:c r="G935" s="79" t="str">
        <x:v>Photo, prop, capture jeu propre au gauntlet</x:v>
      </x:c>
      <x:c r="H935" s="79" t="str">
        <x:v>ART 1:1</x:v>
      </x:c>
      <x:c r="I935" s="79" t="str">
        <x:v>Non : preuve humaine requise</x:v>
      </x:c>
      <x:c r="J935" s="79" t="str">
        <x:v>P1</x:v>
      </x:c>
      <x:c r="K935" s="79" t="str">
        <x:v>https://store.steampowered.com/app/1556200/Predator__Hunting_Grounds/</x:v>
      </x:c>
      <x:c r="L935" s="79" t="str">
        <x:v>Avancement technique indicatif 0 %</x:v>
      </x:c>
    </x:row>
    <x:row r="936" ht="29" customHeight="1">
      <x:c r="A936" s="79" t="str">
        <x:v>22_V136_Backlog</x:v>
      </x:c>
      <x:c r="B936" s="79" t="n">
        <x:v>252</x:v>
      </x:c>
      <x:c r="C936" s="79" t="str">
        <x:v>V136-phg-emissary-02</x:v>
      </x:c>
      <x:c r="D936" s="79" t="str">
        <x:v>phg-emissary</x:v>
      </x:c>
      <x:c r="E936" s="79" t="str">
        <x:v>Proportions et silhouette</x:v>
      </x:c>
      <x:c r="F936" s="79" t="str">
        <x:v>PARTIEL · silhouette SVG originale, proportions non mesurées</x:v>
      </x:c>
      <x:c r="G936" s="79" t="str">
        <x:v>Contrôle alignement poignet et pièces</x:v>
      </x:c>
      <x:c r="H936" s="79" t="str">
        <x:v>ART 1:1</x:v>
      </x:c>
      <x:c r="I936" s="79" t="str">
        <x:v>Non : preuve humaine requise</x:v>
      </x:c>
      <x:c r="J936" s="79" t="str">
        <x:v>P1</x:v>
      </x:c>
      <x:c r="K936" s="79" t="str">
        <x:v>https://store.steampowered.com/app/1556200/Predator__Hunting_Grounds/</x:v>
      </x:c>
      <x:c r="L936" s="79" t="str">
        <x:v>Avancement technique indicatif 25 %</x:v>
      </x:c>
    </x:row>
    <x:row r="937" ht="29" customHeight="1">
      <x:c r="A937" s="79" t="str">
        <x:v>22_V136_Backlog</x:v>
      </x:c>
      <x:c r="B937" s="79" t="n">
        <x:v>253</x:v>
      </x:c>
      <x:c r="C937" s="79" t="str">
        <x:v>V136-phg-emissary-03</x:v>
      </x:c>
      <x:c r="D937" s="79" t="str">
        <x:v>phg-emissary</x:v>
      </x:c>
      <x:c r="E937" s="79" t="str">
        <x:v>Textures UV et matériaux</x:v>
      </x:c>
      <x:c r="F937" s="79" t="str">
        <x:v>OUVERT · textures UV/PNG 1:1 et patine à produire</x:v>
      </x:c>
      <x:c r="G937" s="79" t="str">
        <x:v>PNG indépendants aux bons détails et reflets</x:v>
      </x:c>
      <x:c r="H937" s="79" t="str">
        <x:v>ART 1:1</x:v>
      </x:c>
      <x:c r="I937" s="79" t="str">
        <x:v>Non : preuve humaine requise</x:v>
      </x:c>
      <x:c r="J937" s="79" t="str">
        <x:v>P1</x:v>
      </x:c>
      <x:c r="K937" s="79" t="str">
        <x:v>https://store.steampowered.com/app/1556200/Predator__Hunting_Grounds/</x:v>
      </x:c>
      <x:c r="L937" s="79" t="str">
        <x:v>Avancement technique indicatif 0 %</x:v>
      </x:c>
    </x:row>
    <x:row r="938" ht="29" customHeight="1">
      <x:c r="A938" s="79" t="str">
        <x:v>22_V136_Backlog</x:v>
      </x:c>
      <x:c r="B938" s="79" t="n">
        <x:v>254</x:v>
      </x:c>
      <x:c r="C938" s="79" t="str">
        <x:v>V136-phg-emissary-04</x:v>
      </x:c>
      <x:c r="D938" s="79" t="str">
        <x:v>phg-emissary</x:v>
      </x:c>
      <x:c r="E938" s="79" t="str">
        <x:v>Charnière et animations</x:v>
      </x:c>
      <x:c r="F938" s="79" t="str">
        <x:v>PARTIEL · capot CSS ; 3 gestes / rig 1:1 manquants</x:v>
      </x:c>
      <x:c r="G938" s="79" t="str">
        <x:v>Cohérence rig / armurerie / hologramme</x:v>
      </x:c>
      <x:c r="H938" s="79" t="str">
        <x:v>ART 1:1</x:v>
      </x:c>
      <x:c r="I938" s="79" t="str">
        <x:v>Non : preuve humaine requise</x:v>
      </x:c>
      <x:c r="J938" s="79" t="str">
        <x:v>P1</x:v>
      </x:c>
      <x:c r="K938" s="79" t="str">
        <x:v>https://store.steampowered.com/app/1556200/Predator__Hunting_Grounds/</x:v>
      </x:c>
      <x:c r="L938" s="79" t="str">
        <x:v>Avancement technique indicatif 25 %</x:v>
      </x:c>
    </x:row>
    <x:row r="939" ht="29" customHeight="1">
      <x:c r="A939" s="79" t="str">
        <x:v>22_V136_Backlog</x:v>
      </x:c>
      <x:c r="B939" s="79" t="n">
        <x:v>255</x:v>
      </x:c>
      <x:c r="C939" s="79" t="str">
        <x:v>V136-phg-emissary-05</x:v>
      </x:c>
      <x:c r="D939" s="79" t="str">
        <x:v>phg-emissary</x:v>
      </x:c>
      <x:c r="E939" s="79" t="str">
        <x:v>Rendu jeu et contrôle</x:v>
      </x:c>
      <x:c r="F939" s="79" t="str">
        <x:v>PARTIEL · rendu React + QA autonome, jeu complet à tester</x:v>
      </x:c>
      <x:c r="G939" s="79" t="str">
        <x:v>Comparaison toutes vues et modes</x:v>
      </x:c>
      <x:c r="H939" s="79" t="str">
        <x:v>ART 1:1</x:v>
      </x:c>
      <x:c r="I939" s="79" t="str">
        <x:v>Non : preuve humaine requise</x:v>
      </x:c>
      <x:c r="J939" s="79" t="str">
        <x:v>P1</x:v>
      </x:c>
      <x:c r="K939" s="79" t="str">
        <x:v>https://store.steampowered.com/app/1556200/Predator__Hunting_Grounds/</x:v>
      </x:c>
      <x:c r="L939" s="79" t="str">
        <x:v>Avancement technique indicatif 45 %</x:v>
      </x:c>
    </x:row>
    <x:row r="940" ht="29" customHeight="1">
      <x:c r="A940" s="79" t="str">
        <x:v>22_V136_Backlog</x:v>
      </x:c>
      <x:c r="B940" s="79" t="n">
        <x:v>256</x:v>
      </x:c>
      <x:c r="C940" s="79" t="str">
        <x:v>V136-phg-emissary-06</x:v>
      </x:c>
      <x:c r="D940" s="79" t="str">
        <x:v>phg-emissary</x:v>
      </x:c>
      <x:c r="E940" s="79" t="str">
        <x:v>Revue artistique et droits</x:v>
      </x:c>
      <x:c r="F940" s="79" t="str">
        <x:v>OUVERT · revue humaine et autorisation IP nécessaires</x:v>
      </x:c>
      <x:c r="G940" s="79" t="str">
        <x:v>Ne jamais certifier sans approbation manuelle</x:v>
      </x:c>
      <x:c r="H940" s="79" t="str">
        <x:v>ART 1:1</x:v>
      </x:c>
      <x:c r="I940" s="79" t="str">
        <x:v>Non : preuve humaine requise</x:v>
      </x:c>
      <x:c r="J940" s="79" t="str">
        <x:v>P1</x:v>
      </x:c>
      <x:c r="K940" s="79" t="str">
        <x:v>https://store.steampowered.com/app/1556200/Predator__Hunting_Grounds/</x:v>
      </x:c>
      <x:c r="L940" s="79" t="str">
        <x:v>Avancement technique indicatif 0 %</x:v>
      </x:c>
    </x:row>
    <x:row r="941" ht="29" customHeight="1">
      <x:c r="A941" s="79" t="str">
        <x:v>22_V136_Backlog</x:v>
      </x:c>
      <x:c r="B941" s="79" t="n">
        <x:v>257</x:v>
      </x:c>
      <x:c r="C941" s="79" t="str">
        <x:v>V136-phg-oni-01</x:v>
      </x:c>
      <x:c r="D941" s="79" t="str">
        <x:v>phg-oni</x:v>
      </x:c>
      <x:c r="E941" s="79" t="str">
        <x:v>Plan face/dessus/profil</x:v>
      </x:c>
      <x:c r="F941" s="79" t="str">
        <x:v>OUVERT · plusieurs vues source film/jeu non relevées</x:v>
      </x:c>
      <x:c r="G941" s="79" t="str">
        <x:v>Photo, prop, capture jeu propre au gauntlet</x:v>
      </x:c>
      <x:c r="H941" s="79" t="str">
        <x:v>ART 1:1</x:v>
      </x:c>
      <x:c r="I941" s="79" t="str">
        <x:v>Non : preuve humaine requise</x:v>
      </x:c>
      <x:c r="J941" s="79" t="str">
        <x:v>P1</x:v>
      </x:c>
      <x:c r="K941" s="79" t="str">
        <x:v>https://store.steampowered.com/app/1556200/Predator__Hunting_Grounds/</x:v>
      </x:c>
      <x:c r="L941" s="79" t="str">
        <x:v>Avancement technique indicatif 0 %</x:v>
      </x:c>
    </x:row>
    <x:row r="942" ht="29" customHeight="1">
      <x:c r="A942" s="79" t="str">
        <x:v>22_V136_Backlog</x:v>
      </x:c>
      <x:c r="B942" s="79" t="n">
        <x:v>258</x:v>
      </x:c>
      <x:c r="C942" s="79" t="str">
        <x:v>V136-phg-oni-02</x:v>
      </x:c>
      <x:c r="D942" s="79" t="str">
        <x:v>phg-oni</x:v>
      </x:c>
      <x:c r="E942" s="79" t="str">
        <x:v>Proportions et silhouette</x:v>
      </x:c>
      <x:c r="F942" s="79" t="str">
        <x:v>PARTIEL · silhouette SVG originale, proportions non mesurées</x:v>
      </x:c>
      <x:c r="G942" s="79" t="str">
        <x:v>Contrôle alignement poignet et pièces</x:v>
      </x:c>
      <x:c r="H942" s="79" t="str">
        <x:v>ART 1:1</x:v>
      </x:c>
      <x:c r="I942" s="79" t="str">
        <x:v>Non : preuve humaine requise</x:v>
      </x:c>
      <x:c r="J942" s="79" t="str">
        <x:v>P1</x:v>
      </x:c>
      <x:c r="K942" s="79" t="str">
        <x:v>https://store.steampowered.com/app/1556200/Predator__Hunting_Grounds/</x:v>
      </x:c>
      <x:c r="L942" s="79" t="str">
        <x:v>Avancement technique indicatif 25 %</x:v>
      </x:c>
    </x:row>
    <x:row r="943" ht="29" customHeight="1">
      <x:c r="A943" s="79" t="str">
        <x:v>22_V136_Backlog</x:v>
      </x:c>
      <x:c r="B943" s="79" t="n">
        <x:v>259</x:v>
      </x:c>
      <x:c r="C943" s="79" t="str">
        <x:v>V136-phg-oni-03</x:v>
      </x:c>
      <x:c r="D943" s="79" t="str">
        <x:v>phg-oni</x:v>
      </x:c>
      <x:c r="E943" s="79" t="str">
        <x:v>Textures UV et matériaux</x:v>
      </x:c>
      <x:c r="F943" s="79" t="str">
        <x:v>OUVERT · textures UV/PNG 1:1 et patine à produire</x:v>
      </x:c>
      <x:c r="G943" s="79" t="str">
        <x:v>PNG indépendants aux bons détails et reflets</x:v>
      </x:c>
      <x:c r="H943" s="79" t="str">
        <x:v>ART 1:1</x:v>
      </x:c>
      <x:c r="I943" s="79" t="str">
        <x:v>Non : preuve humaine requise</x:v>
      </x:c>
      <x:c r="J943" s="79" t="str">
        <x:v>P1</x:v>
      </x:c>
      <x:c r="K943" s="79" t="str">
        <x:v>https://store.steampowered.com/app/1556200/Predator__Hunting_Grounds/</x:v>
      </x:c>
      <x:c r="L943" s="79" t="str">
        <x:v>Avancement technique indicatif 0 %</x:v>
      </x:c>
    </x:row>
    <x:row r="944" ht="29" customHeight="1">
      <x:c r="A944" s="79" t="str">
        <x:v>22_V136_Backlog</x:v>
      </x:c>
      <x:c r="B944" s="79" t="n">
        <x:v>260</x:v>
      </x:c>
      <x:c r="C944" s="79" t="str">
        <x:v>V136-phg-oni-04</x:v>
      </x:c>
      <x:c r="D944" s="79" t="str">
        <x:v>phg-oni</x:v>
      </x:c>
      <x:c r="E944" s="79" t="str">
        <x:v>Charnière et animations</x:v>
      </x:c>
      <x:c r="F944" s="79" t="str">
        <x:v>PARTIEL · capot CSS ; 3 gestes / rig 1:1 manquants</x:v>
      </x:c>
      <x:c r="G944" s="79" t="str">
        <x:v>Cohérence rig / armurerie / hologramme</x:v>
      </x:c>
      <x:c r="H944" s="79" t="str">
        <x:v>ART 1:1</x:v>
      </x:c>
      <x:c r="I944" s="79" t="str">
        <x:v>Non : preuve humaine requise</x:v>
      </x:c>
      <x:c r="J944" s="79" t="str">
        <x:v>P1</x:v>
      </x:c>
      <x:c r="K944" s="79" t="str">
        <x:v>https://store.steampowered.com/app/1556200/Predator__Hunting_Grounds/</x:v>
      </x:c>
      <x:c r="L944" s="79" t="str">
        <x:v>Avancement technique indicatif 25 %</x:v>
      </x:c>
    </x:row>
    <x:row r="945" ht="29" customHeight="1">
      <x:c r="A945" s="79" t="str">
        <x:v>22_V136_Backlog</x:v>
      </x:c>
      <x:c r="B945" s="79" t="n">
        <x:v>261</x:v>
      </x:c>
      <x:c r="C945" s="79" t="str">
        <x:v>V136-phg-oni-05</x:v>
      </x:c>
      <x:c r="D945" s="79" t="str">
        <x:v>phg-oni</x:v>
      </x:c>
      <x:c r="E945" s="79" t="str">
        <x:v>Rendu jeu et contrôle</x:v>
      </x:c>
      <x:c r="F945" s="79" t="str">
        <x:v>PARTIEL · rendu React + QA autonome, jeu complet à tester</x:v>
      </x:c>
      <x:c r="G945" s="79" t="str">
        <x:v>Comparaison toutes vues et modes</x:v>
      </x:c>
      <x:c r="H945" s="79" t="str">
        <x:v>ART 1:1</x:v>
      </x:c>
      <x:c r="I945" s="79" t="str">
        <x:v>Non : preuve humaine requise</x:v>
      </x:c>
      <x:c r="J945" s="79" t="str">
        <x:v>P1</x:v>
      </x:c>
      <x:c r="K945" s="79" t="str">
        <x:v>https://store.steampowered.com/app/1556200/Predator__Hunting_Grounds/</x:v>
      </x:c>
      <x:c r="L945" s="79" t="str">
        <x:v>Avancement technique indicatif 45 %</x:v>
      </x:c>
    </x:row>
    <x:row r="946" ht="29" customHeight="1">
      <x:c r="A946" s="79" t="str">
        <x:v>22_V136_Backlog</x:v>
      </x:c>
      <x:c r="B946" s="79" t="n">
        <x:v>262</x:v>
      </x:c>
      <x:c r="C946" s="79" t="str">
        <x:v>V136-phg-oni-06</x:v>
      </x:c>
      <x:c r="D946" s="79" t="str">
        <x:v>phg-oni</x:v>
      </x:c>
      <x:c r="E946" s="79" t="str">
        <x:v>Revue artistique et droits</x:v>
      </x:c>
      <x:c r="F946" s="79" t="str">
        <x:v>OUVERT · revue humaine et autorisation IP nécessaires</x:v>
      </x:c>
      <x:c r="G946" s="79" t="str">
        <x:v>Ne jamais certifier sans approbation manuelle</x:v>
      </x:c>
      <x:c r="H946" s="79" t="str">
        <x:v>ART 1:1</x:v>
      </x:c>
      <x:c r="I946" s="79" t="str">
        <x:v>Non : preuve humaine requise</x:v>
      </x:c>
      <x:c r="J946" s="79" t="str">
        <x:v>P1</x:v>
      </x:c>
      <x:c r="K946" s="79" t="str">
        <x:v>https://store.steampowered.com/app/1556200/Predator__Hunting_Grounds/</x:v>
      </x:c>
      <x:c r="L946" s="79" t="str">
        <x:v>Avancement technique indicatif 0 %</x:v>
      </x:c>
    </x:row>
    <x:row r="947" ht="29" customHeight="1">
      <x:c r="A947" s="79" t="str">
        <x:v>22_V136_Backlog</x:v>
      </x:c>
      <x:c r="B947" s="79" t="n">
        <x:v>263</x:v>
      </x:c>
      <x:c r="C947" s="79" t="str">
        <x:v>V136-phg-witch-01</x:v>
      </x:c>
      <x:c r="D947" s="79" t="str">
        <x:v>phg-witch</x:v>
      </x:c>
      <x:c r="E947" s="79" t="str">
        <x:v>Plan face/dessus/profil</x:v>
      </x:c>
      <x:c r="F947" s="79" t="str">
        <x:v>OUVERT · plusieurs vues source film/jeu non relevées</x:v>
      </x:c>
      <x:c r="G947" s="79" t="str">
        <x:v>Photo, prop, capture jeu propre au gauntlet</x:v>
      </x:c>
      <x:c r="H947" s="79" t="str">
        <x:v>ART 1:1</x:v>
      </x:c>
      <x:c r="I947" s="79" t="str">
        <x:v>Non : preuve humaine requise</x:v>
      </x:c>
      <x:c r="J947" s="79" t="str">
        <x:v>P1</x:v>
      </x:c>
      <x:c r="K947" s="79" t="str">
        <x:v>https://store.steampowered.com/app/1556200/Predator__Hunting_Grounds/</x:v>
      </x:c>
      <x:c r="L947" s="79" t="str">
        <x:v>Avancement technique indicatif 0 %</x:v>
      </x:c>
    </x:row>
    <x:row r="948" ht="29" customHeight="1">
      <x:c r="A948" s="79" t="str">
        <x:v>22_V136_Backlog</x:v>
      </x:c>
      <x:c r="B948" s="79" t="n">
        <x:v>264</x:v>
      </x:c>
      <x:c r="C948" s="79" t="str">
        <x:v>V136-phg-witch-02</x:v>
      </x:c>
      <x:c r="D948" s="79" t="str">
        <x:v>phg-witch</x:v>
      </x:c>
      <x:c r="E948" s="79" t="str">
        <x:v>Proportions et silhouette</x:v>
      </x:c>
      <x:c r="F948" s="79" t="str">
        <x:v>PARTIEL · silhouette SVG originale, proportions non mesurées</x:v>
      </x:c>
      <x:c r="G948" s="79" t="str">
        <x:v>Contrôle alignement poignet et pièces</x:v>
      </x:c>
      <x:c r="H948" s="79" t="str">
        <x:v>ART 1:1</x:v>
      </x:c>
      <x:c r="I948" s="79" t="str">
        <x:v>Non : preuve humaine requise</x:v>
      </x:c>
      <x:c r="J948" s="79" t="str">
        <x:v>P1</x:v>
      </x:c>
      <x:c r="K948" s="79" t="str">
        <x:v>https://store.steampowered.com/app/1556200/Predator__Hunting_Grounds/</x:v>
      </x:c>
      <x:c r="L948" s="79" t="str">
        <x:v>Avancement technique indicatif 25 %</x:v>
      </x:c>
    </x:row>
    <x:row r="949" ht="29" customHeight="1">
      <x:c r="A949" s="79" t="str">
        <x:v>22_V136_Backlog</x:v>
      </x:c>
      <x:c r="B949" s="79" t="n">
        <x:v>265</x:v>
      </x:c>
      <x:c r="C949" s="79" t="str">
        <x:v>V136-phg-witch-03</x:v>
      </x:c>
      <x:c r="D949" s="79" t="str">
        <x:v>phg-witch</x:v>
      </x:c>
      <x:c r="E949" s="79" t="str">
        <x:v>Textures UV et matériaux</x:v>
      </x:c>
      <x:c r="F949" s="79" t="str">
        <x:v>OUVERT · textures UV/PNG 1:1 et patine à produire</x:v>
      </x:c>
      <x:c r="G949" s="79" t="str">
        <x:v>PNG indépendants aux bons détails et reflets</x:v>
      </x:c>
      <x:c r="H949" s="79" t="str">
        <x:v>ART 1:1</x:v>
      </x:c>
      <x:c r="I949" s="79" t="str">
        <x:v>Non : preuve humaine requise</x:v>
      </x:c>
      <x:c r="J949" s="79" t="str">
        <x:v>P1</x:v>
      </x:c>
      <x:c r="K949" s="79" t="str">
        <x:v>https://store.steampowered.com/app/1556200/Predator__Hunting_Grounds/</x:v>
      </x:c>
      <x:c r="L949" s="79" t="str">
        <x:v>Avancement technique indicatif 0 %</x:v>
      </x:c>
    </x:row>
    <x:row r="950" ht="29" customHeight="1">
      <x:c r="A950" s="79" t="str">
        <x:v>22_V136_Backlog</x:v>
      </x:c>
      <x:c r="B950" s="79" t="n">
        <x:v>266</x:v>
      </x:c>
      <x:c r="C950" s="79" t="str">
        <x:v>V136-phg-witch-04</x:v>
      </x:c>
      <x:c r="D950" s="79" t="str">
        <x:v>phg-witch</x:v>
      </x:c>
      <x:c r="E950" s="79" t="str">
        <x:v>Charnière et animations</x:v>
      </x:c>
      <x:c r="F950" s="79" t="str">
        <x:v>PARTIEL · capot CSS ; 3 gestes / rig 1:1 manquants</x:v>
      </x:c>
      <x:c r="G950" s="79" t="str">
        <x:v>Cohérence rig / armurerie / hologramme</x:v>
      </x:c>
      <x:c r="H950" s="79" t="str">
        <x:v>ART 1:1</x:v>
      </x:c>
      <x:c r="I950" s="79" t="str">
        <x:v>Non : preuve humaine requise</x:v>
      </x:c>
      <x:c r="J950" s="79" t="str">
        <x:v>P1</x:v>
      </x:c>
      <x:c r="K950" s="79" t="str">
        <x:v>https://store.steampowered.com/app/1556200/Predator__Hunting_Grounds/</x:v>
      </x:c>
      <x:c r="L950" s="79" t="str">
        <x:v>Avancement technique indicatif 25 %</x:v>
      </x:c>
    </x:row>
    <x:row r="951" ht="29" customHeight="1">
      <x:c r="A951" s="79" t="str">
        <x:v>22_V136_Backlog</x:v>
      </x:c>
      <x:c r="B951" s="79" t="n">
        <x:v>267</x:v>
      </x:c>
      <x:c r="C951" s="79" t="str">
        <x:v>V136-phg-witch-05</x:v>
      </x:c>
      <x:c r="D951" s="79" t="str">
        <x:v>phg-witch</x:v>
      </x:c>
      <x:c r="E951" s="79" t="str">
        <x:v>Rendu jeu et contrôle</x:v>
      </x:c>
      <x:c r="F951" s="79" t="str">
        <x:v>PARTIEL · rendu React + QA autonome, jeu complet à tester</x:v>
      </x:c>
      <x:c r="G951" s="79" t="str">
        <x:v>Comparaison toutes vues et modes</x:v>
      </x:c>
      <x:c r="H951" s="79" t="str">
        <x:v>ART 1:1</x:v>
      </x:c>
      <x:c r="I951" s="79" t="str">
        <x:v>Non : preuve humaine requise</x:v>
      </x:c>
      <x:c r="J951" s="79" t="str">
        <x:v>P1</x:v>
      </x:c>
      <x:c r="K951" s="79" t="str">
        <x:v>https://store.steampowered.com/app/1556200/Predator__Hunting_Grounds/</x:v>
      </x:c>
      <x:c r="L951" s="79" t="str">
        <x:v>Avancement technique indicatif 45 %</x:v>
      </x:c>
    </x:row>
    <x:row r="952" ht="29" customHeight="1">
      <x:c r="A952" s="79" t="str">
        <x:v>22_V136_Backlog</x:v>
      </x:c>
      <x:c r="B952" s="79" t="n">
        <x:v>268</x:v>
      </x:c>
      <x:c r="C952" s="79" t="str">
        <x:v>V136-phg-witch-06</x:v>
      </x:c>
      <x:c r="D952" s="79" t="str">
        <x:v>phg-witch</x:v>
      </x:c>
      <x:c r="E952" s="79" t="str">
        <x:v>Revue artistique et droits</x:v>
      </x:c>
      <x:c r="F952" s="79" t="str">
        <x:v>OUVERT · revue humaine et autorisation IP nécessaires</x:v>
      </x:c>
      <x:c r="G952" s="79" t="str">
        <x:v>Ne jamais certifier sans approbation manuelle</x:v>
      </x:c>
      <x:c r="H952" s="79" t="str">
        <x:v>ART 1:1</x:v>
      </x:c>
      <x:c r="I952" s="79" t="str">
        <x:v>Non : preuve humaine requise</x:v>
      </x:c>
      <x:c r="J952" s="79" t="str">
        <x:v>P1</x:v>
      </x:c>
      <x:c r="K952" s="79" t="str">
        <x:v>https://store.steampowered.com/app/1556200/Predator__Hunting_Grounds/</x:v>
      </x:c>
      <x:c r="L952" s="79" t="str">
        <x:v>Avancement technique indicatif 0 %</x:v>
      </x:c>
    </x:row>
    <x:row r="953" ht="29" customHeight="1">
      <x:c r="A953" s="79" t="str">
        <x:v>22_V136_Backlog</x:v>
      </x:c>
      <x:c r="B953" s="79" t="n">
        <x:v>269</x:v>
      </x:c>
      <x:c r="C953" s="79" t="str">
        <x:v>V136-phg-father-01</x:v>
      </x:c>
      <x:c r="D953" s="79" t="str">
        <x:v>phg-father</x:v>
      </x:c>
      <x:c r="E953" s="79" t="str">
        <x:v>Plan face/dessus/profil</x:v>
      </x:c>
      <x:c r="F953" s="79" t="str">
        <x:v>OUVERT · plusieurs vues source film/jeu non relevées</x:v>
      </x:c>
      <x:c r="G953" s="79" t="str">
        <x:v>Photo, prop, capture jeu propre au gauntlet</x:v>
      </x:c>
      <x:c r="H953" s="79" t="str">
        <x:v>ART 1:1</x:v>
      </x:c>
      <x:c r="I953" s="79" t="str">
        <x:v>Non : preuve humaine requise</x:v>
      </x:c>
      <x:c r="J953" s="79" t="str">
        <x:v>P1</x:v>
      </x:c>
      <x:c r="K953" s="79" t="str">
        <x:v>https://store.steampowered.com/app/1556200/Predator__Hunting_Grounds/</x:v>
      </x:c>
      <x:c r="L953" s="79" t="str">
        <x:v>Avancement technique indicatif 0 %</x:v>
      </x:c>
    </x:row>
    <x:row r="954" ht="29" customHeight="1">
      <x:c r="A954" s="79" t="str">
        <x:v>22_V136_Backlog</x:v>
      </x:c>
      <x:c r="B954" s="79" t="n">
        <x:v>270</x:v>
      </x:c>
      <x:c r="C954" s="79" t="str">
        <x:v>V136-phg-father-02</x:v>
      </x:c>
      <x:c r="D954" s="79" t="str">
        <x:v>phg-father</x:v>
      </x:c>
      <x:c r="E954" s="79" t="str">
        <x:v>Proportions et silhouette</x:v>
      </x:c>
      <x:c r="F954" s="79" t="str">
        <x:v>PARTIEL · silhouette SVG originale, proportions non mesurées</x:v>
      </x:c>
      <x:c r="G954" s="79" t="str">
        <x:v>Contrôle alignement poignet et pièces</x:v>
      </x:c>
      <x:c r="H954" s="79" t="str">
        <x:v>ART 1:1</x:v>
      </x:c>
      <x:c r="I954" s="79" t="str">
        <x:v>Non : preuve humaine requise</x:v>
      </x:c>
      <x:c r="J954" s="79" t="str">
        <x:v>P1</x:v>
      </x:c>
      <x:c r="K954" s="79" t="str">
        <x:v>https://store.steampowered.com/app/1556200/Predator__Hunting_Grounds/</x:v>
      </x:c>
      <x:c r="L954" s="79" t="str">
        <x:v>Avancement technique indicatif 25 %</x:v>
      </x:c>
    </x:row>
    <x:row r="955" ht="29" customHeight="1">
      <x:c r="A955" s="79" t="str">
        <x:v>22_V136_Backlog</x:v>
      </x:c>
      <x:c r="B955" s="79" t="n">
        <x:v>271</x:v>
      </x:c>
      <x:c r="C955" s="79" t="str">
        <x:v>V136-phg-father-03</x:v>
      </x:c>
      <x:c r="D955" s="79" t="str">
        <x:v>phg-father</x:v>
      </x:c>
      <x:c r="E955" s="79" t="str">
        <x:v>Textures UV et matériaux</x:v>
      </x:c>
      <x:c r="F955" s="79" t="str">
        <x:v>OUVERT · textures UV/PNG 1:1 et patine à produire</x:v>
      </x:c>
      <x:c r="G955" s="79" t="str">
        <x:v>PNG indépendants aux bons détails et reflets</x:v>
      </x:c>
      <x:c r="H955" s="79" t="str">
        <x:v>ART 1:1</x:v>
      </x:c>
      <x:c r="I955" s="79" t="str">
        <x:v>Non : preuve humaine requise</x:v>
      </x:c>
      <x:c r="J955" s="79" t="str">
        <x:v>P1</x:v>
      </x:c>
      <x:c r="K955" s="79" t="str">
        <x:v>https://store.steampowered.com/app/1556200/Predator__Hunting_Grounds/</x:v>
      </x:c>
      <x:c r="L955" s="79" t="str">
        <x:v>Avancement technique indicatif 0 %</x:v>
      </x:c>
    </x:row>
    <x:row r="956" ht="29" customHeight="1">
      <x:c r="A956" s="79" t="str">
        <x:v>22_V136_Backlog</x:v>
      </x:c>
      <x:c r="B956" s="79" t="n">
        <x:v>272</x:v>
      </x:c>
      <x:c r="C956" s="79" t="str">
        <x:v>V136-phg-father-04</x:v>
      </x:c>
      <x:c r="D956" s="79" t="str">
        <x:v>phg-father</x:v>
      </x:c>
      <x:c r="E956" s="79" t="str">
        <x:v>Charnière et animations</x:v>
      </x:c>
      <x:c r="F956" s="79" t="str">
        <x:v>PARTIEL · capot CSS ; 3 gestes / rig 1:1 manquants</x:v>
      </x:c>
      <x:c r="G956" s="79" t="str">
        <x:v>Cohérence rig / armurerie / hologramme</x:v>
      </x:c>
      <x:c r="H956" s="79" t="str">
        <x:v>ART 1:1</x:v>
      </x:c>
      <x:c r="I956" s="79" t="str">
        <x:v>Non : preuve humaine requise</x:v>
      </x:c>
      <x:c r="J956" s="79" t="str">
        <x:v>P1</x:v>
      </x:c>
      <x:c r="K956" s="79" t="str">
        <x:v>https://store.steampowered.com/app/1556200/Predator__Hunting_Grounds/</x:v>
      </x:c>
      <x:c r="L956" s="79" t="str">
        <x:v>Avancement technique indicatif 25 %</x:v>
      </x:c>
    </x:row>
    <x:row r="957" ht="29" customHeight="1">
      <x:c r="A957" s="79" t="str">
        <x:v>22_V136_Backlog</x:v>
      </x:c>
      <x:c r="B957" s="79" t="n">
        <x:v>273</x:v>
      </x:c>
      <x:c r="C957" s="79" t="str">
        <x:v>V136-phg-father-05</x:v>
      </x:c>
      <x:c r="D957" s="79" t="str">
        <x:v>phg-father</x:v>
      </x:c>
      <x:c r="E957" s="79" t="str">
        <x:v>Rendu jeu et contrôle</x:v>
      </x:c>
      <x:c r="F957" s="79" t="str">
        <x:v>PARTIEL · rendu React + QA autonome, jeu complet à tester</x:v>
      </x:c>
      <x:c r="G957" s="79" t="str">
        <x:v>Comparaison toutes vues et modes</x:v>
      </x:c>
      <x:c r="H957" s="79" t="str">
        <x:v>ART 1:1</x:v>
      </x:c>
      <x:c r="I957" s="79" t="str">
        <x:v>Non : preuve humaine requise</x:v>
      </x:c>
      <x:c r="J957" s="79" t="str">
        <x:v>P1</x:v>
      </x:c>
      <x:c r="K957" s="79" t="str">
        <x:v>https://store.steampowered.com/app/1556200/Predator__Hunting_Grounds/</x:v>
      </x:c>
      <x:c r="L957" s="79" t="str">
        <x:v>Avancement technique indicatif 45 %</x:v>
      </x:c>
    </x:row>
    <x:row r="958" ht="29" customHeight="1">
      <x:c r="A958" s="79" t="str">
        <x:v>22_V136_Backlog</x:v>
      </x:c>
      <x:c r="B958" s="79" t="n">
        <x:v>274</x:v>
      </x:c>
      <x:c r="C958" s="79" t="str">
        <x:v>V136-phg-father-06</x:v>
      </x:c>
      <x:c r="D958" s="79" t="str">
        <x:v>phg-father</x:v>
      </x:c>
      <x:c r="E958" s="79" t="str">
        <x:v>Revue artistique et droits</x:v>
      </x:c>
      <x:c r="F958" s="79" t="str">
        <x:v>OUVERT · revue humaine et autorisation IP nécessaires</x:v>
      </x:c>
      <x:c r="G958" s="79" t="str">
        <x:v>Ne jamais certifier sans approbation manuelle</x:v>
      </x:c>
      <x:c r="H958" s="79" t="str">
        <x:v>ART 1:1</x:v>
      </x:c>
      <x:c r="I958" s="79" t="str">
        <x:v>Non : preuve humaine requise</x:v>
      </x:c>
      <x:c r="J958" s="79" t="str">
        <x:v>P1</x:v>
      </x:c>
      <x:c r="K958" s="79" t="str">
        <x:v>https://store.steampowered.com/app/1556200/Predator__Hunting_Grounds/</x:v>
      </x:c>
      <x:c r="L958" s="79" t="str">
        <x:v>Avancement technique indicatif 0 %</x:v>
      </x:c>
    </x:row>
    <x:row r="959" ht="29" customHeight="1">
      <x:c r="A959" s="79" t="str">
        <x:v>22_V136_Backlog</x:v>
      </x:c>
      <x:c r="B959" s="79" t="n">
        <x:v>275</x:v>
      </x:c>
      <x:c r="C959" s="79" t="str">
        <x:v>V136-phg-jotun-01</x:v>
      </x:c>
      <x:c r="D959" s="79" t="str">
        <x:v>phg-jotun</x:v>
      </x:c>
      <x:c r="E959" s="79" t="str">
        <x:v>Plan face/dessus/profil</x:v>
      </x:c>
      <x:c r="F959" s="79" t="str">
        <x:v>OUVERT · plusieurs vues source film/jeu non relevées</x:v>
      </x:c>
      <x:c r="G959" s="79" t="str">
        <x:v>Photo, prop, capture jeu propre au gauntlet</x:v>
      </x:c>
      <x:c r="H959" s="79" t="str">
        <x:v>ART 1:1</x:v>
      </x:c>
      <x:c r="I959" s="79" t="str">
        <x:v>Non : preuve humaine requise</x:v>
      </x:c>
      <x:c r="J959" s="79" t="str">
        <x:v>P1</x:v>
      </x:c>
      <x:c r="K959" s="79" t="str">
        <x:v>https://store.steampowered.com/app/1556200/Predator__Hunting_Grounds/</x:v>
      </x:c>
      <x:c r="L959" s="79" t="str">
        <x:v>Avancement technique indicatif 0 %</x:v>
      </x:c>
    </x:row>
    <x:row r="960" ht="29" customHeight="1">
      <x:c r="A960" s="79" t="str">
        <x:v>22_V136_Backlog</x:v>
      </x:c>
      <x:c r="B960" s="79" t="n">
        <x:v>276</x:v>
      </x:c>
      <x:c r="C960" s="79" t="str">
        <x:v>V136-phg-jotun-02</x:v>
      </x:c>
      <x:c r="D960" s="79" t="str">
        <x:v>phg-jotun</x:v>
      </x:c>
      <x:c r="E960" s="79" t="str">
        <x:v>Proportions et silhouette</x:v>
      </x:c>
      <x:c r="F960" s="79" t="str">
        <x:v>PARTIEL · silhouette SVG originale, proportions non mesurées</x:v>
      </x:c>
      <x:c r="G960" s="79" t="str">
        <x:v>Contrôle alignement poignet et pièces</x:v>
      </x:c>
      <x:c r="H960" s="79" t="str">
        <x:v>ART 1:1</x:v>
      </x:c>
      <x:c r="I960" s="79" t="str">
        <x:v>Non : preuve humaine requise</x:v>
      </x:c>
      <x:c r="J960" s="79" t="str">
        <x:v>P1</x:v>
      </x:c>
      <x:c r="K960" s="79" t="str">
        <x:v>https://store.steampowered.com/app/1556200/Predator__Hunting_Grounds/</x:v>
      </x:c>
      <x:c r="L960" s="79" t="str">
        <x:v>Avancement technique indicatif 25 %</x:v>
      </x:c>
    </x:row>
    <x:row r="961" ht="29" customHeight="1">
      <x:c r="A961" s="79" t="str">
        <x:v>22_V136_Backlog</x:v>
      </x:c>
      <x:c r="B961" s="79" t="n">
        <x:v>277</x:v>
      </x:c>
      <x:c r="C961" s="79" t="str">
        <x:v>V136-phg-jotun-03</x:v>
      </x:c>
      <x:c r="D961" s="79" t="str">
        <x:v>phg-jotun</x:v>
      </x:c>
      <x:c r="E961" s="79" t="str">
        <x:v>Textures UV et matériaux</x:v>
      </x:c>
      <x:c r="F961" s="79" t="str">
        <x:v>OUVERT · textures UV/PNG 1:1 et patine à produire</x:v>
      </x:c>
      <x:c r="G961" s="79" t="str">
        <x:v>PNG indépendants aux bons détails et reflets</x:v>
      </x:c>
      <x:c r="H961" s="79" t="str">
        <x:v>ART 1:1</x:v>
      </x:c>
      <x:c r="I961" s="79" t="str">
        <x:v>Non : preuve humaine requise</x:v>
      </x:c>
      <x:c r="J961" s="79" t="str">
        <x:v>P1</x:v>
      </x:c>
      <x:c r="K961" s="79" t="str">
        <x:v>https://store.steampowered.com/app/1556200/Predator__Hunting_Grounds/</x:v>
      </x:c>
      <x:c r="L961" s="79" t="str">
        <x:v>Avancement technique indicatif 0 %</x:v>
      </x:c>
    </x:row>
    <x:row r="962" ht="29" customHeight="1">
      <x:c r="A962" s="79" t="str">
        <x:v>22_V136_Backlog</x:v>
      </x:c>
      <x:c r="B962" s="79" t="n">
        <x:v>278</x:v>
      </x:c>
      <x:c r="C962" s="79" t="str">
        <x:v>V136-phg-jotun-04</x:v>
      </x:c>
      <x:c r="D962" s="79" t="str">
        <x:v>phg-jotun</x:v>
      </x:c>
      <x:c r="E962" s="79" t="str">
        <x:v>Charnière et animations</x:v>
      </x:c>
      <x:c r="F962" s="79" t="str">
        <x:v>PARTIEL · capot CSS ; 3 gestes / rig 1:1 manquants</x:v>
      </x:c>
      <x:c r="G962" s="79" t="str">
        <x:v>Cohérence rig / armurerie / hologramme</x:v>
      </x:c>
      <x:c r="H962" s="79" t="str">
        <x:v>ART 1:1</x:v>
      </x:c>
      <x:c r="I962" s="79" t="str">
        <x:v>Non : preuve humaine requise</x:v>
      </x:c>
      <x:c r="J962" s="79" t="str">
        <x:v>P1</x:v>
      </x:c>
      <x:c r="K962" s="79" t="str">
        <x:v>https://store.steampowered.com/app/1556200/Predator__Hunting_Grounds/</x:v>
      </x:c>
      <x:c r="L962" s="79" t="str">
        <x:v>Avancement technique indicatif 25 %</x:v>
      </x:c>
    </x:row>
    <x:row r="963" ht="29" customHeight="1">
      <x:c r="A963" s="79" t="str">
        <x:v>22_V136_Backlog</x:v>
      </x:c>
      <x:c r="B963" s="79" t="n">
        <x:v>279</x:v>
      </x:c>
      <x:c r="C963" s="79" t="str">
        <x:v>V136-phg-jotun-05</x:v>
      </x:c>
      <x:c r="D963" s="79" t="str">
        <x:v>phg-jotun</x:v>
      </x:c>
      <x:c r="E963" s="79" t="str">
        <x:v>Rendu jeu et contrôle</x:v>
      </x:c>
      <x:c r="F963" s="79" t="str">
        <x:v>PARTIEL · rendu React + QA autonome, jeu complet à tester</x:v>
      </x:c>
      <x:c r="G963" s="79" t="str">
        <x:v>Comparaison toutes vues et modes</x:v>
      </x:c>
      <x:c r="H963" s="79" t="str">
        <x:v>ART 1:1</x:v>
      </x:c>
      <x:c r="I963" s="79" t="str">
        <x:v>Non : preuve humaine requise</x:v>
      </x:c>
      <x:c r="J963" s="79" t="str">
        <x:v>P1</x:v>
      </x:c>
      <x:c r="K963" s="79" t="str">
        <x:v>https://store.steampowered.com/app/1556200/Predator__Hunting_Grounds/</x:v>
      </x:c>
      <x:c r="L963" s="79" t="str">
        <x:v>Avancement technique indicatif 45 %</x:v>
      </x:c>
    </x:row>
    <x:row r="964" ht="29" customHeight="1">
      <x:c r="A964" s="79" t="str">
        <x:v>22_V136_Backlog</x:v>
      </x:c>
      <x:c r="B964" s="79" t="n">
        <x:v>280</x:v>
      </x:c>
      <x:c r="C964" s="79" t="str">
        <x:v>V136-phg-jotun-06</x:v>
      </x:c>
      <x:c r="D964" s="79" t="str">
        <x:v>phg-jotun</x:v>
      </x:c>
      <x:c r="E964" s="79" t="str">
        <x:v>Revue artistique et droits</x:v>
      </x:c>
      <x:c r="F964" s="79" t="str">
        <x:v>OUVERT · revue humaine et autorisation IP nécessaires</x:v>
      </x:c>
      <x:c r="G964" s="79" t="str">
        <x:v>Ne jamais certifier sans approbation manuelle</x:v>
      </x:c>
      <x:c r="H964" s="79" t="str">
        <x:v>ART 1:1</x:v>
      </x:c>
      <x:c r="I964" s="79" t="str">
        <x:v>Non : preuve humaine requise</x:v>
      </x:c>
      <x:c r="J964" s="79" t="str">
        <x:v>P1</x:v>
      </x:c>
      <x:c r="K964" s="79" t="str">
        <x:v>https://store.steampowered.com/app/1556200/Predator__Hunting_Grounds/</x:v>
      </x:c>
      <x:c r="L964" s="79" t="str">
        <x:v>Avancement technique indicatif 0 %</x:v>
      </x:c>
    </x:row>
    <x:row r="965" ht="29" customHeight="1">
      <x:c r="A965" s="79" t="str">
        <x:v>22_V136_Backlog</x:v>
      </x:c>
      <x:c r="B965" s="79" t="n">
        <x:v>281</x:v>
      </x:c>
      <x:c r="C965" s="79" t="str">
        <x:v>V136-phg-exalted-01</x:v>
      </x:c>
      <x:c r="D965" s="79" t="str">
        <x:v>phg-exalted</x:v>
      </x:c>
      <x:c r="E965" s="79" t="str">
        <x:v>Plan face/dessus/profil</x:v>
      </x:c>
      <x:c r="F965" s="79" t="str">
        <x:v>OUVERT · plusieurs vues source film/jeu non relevées</x:v>
      </x:c>
      <x:c r="G965" s="79" t="str">
        <x:v>Photo, prop, capture jeu propre au gauntlet</x:v>
      </x:c>
      <x:c r="H965" s="79" t="str">
        <x:v>ART 1:1</x:v>
      </x:c>
      <x:c r="I965" s="79" t="str">
        <x:v>Non : preuve humaine requise</x:v>
      </x:c>
      <x:c r="J965" s="79" t="str">
        <x:v>P1</x:v>
      </x:c>
      <x:c r="K965" s="79" t="str">
        <x:v>https://store.steampowered.com/app/1556200/Predator__Hunting_Grounds/</x:v>
      </x:c>
      <x:c r="L965" s="79" t="str">
        <x:v>Avancement technique indicatif 0 %</x:v>
      </x:c>
    </x:row>
    <x:row r="966" ht="29" customHeight="1">
      <x:c r="A966" s="79" t="str">
        <x:v>22_V136_Backlog</x:v>
      </x:c>
      <x:c r="B966" s="79" t="n">
        <x:v>282</x:v>
      </x:c>
      <x:c r="C966" s="79" t="str">
        <x:v>V136-phg-exalted-02</x:v>
      </x:c>
      <x:c r="D966" s="79" t="str">
        <x:v>phg-exalted</x:v>
      </x:c>
      <x:c r="E966" s="79" t="str">
        <x:v>Proportions et silhouette</x:v>
      </x:c>
      <x:c r="F966" s="79" t="str">
        <x:v>PARTIEL · silhouette SVG originale, proportions non mesurées</x:v>
      </x:c>
      <x:c r="G966" s="79" t="str">
        <x:v>Contrôle alignement poignet et pièces</x:v>
      </x:c>
      <x:c r="H966" s="79" t="str">
        <x:v>ART 1:1</x:v>
      </x:c>
      <x:c r="I966" s="79" t="str">
        <x:v>Non : preuve humaine requise</x:v>
      </x:c>
      <x:c r="J966" s="79" t="str">
        <x:v>P1</x:v>
      </x:c>
      <x:c r="K966" s="79" t="str">
        <x:v>https://store.steampowered.com/app/1556200/Predator__Hunting_Grounds/</x:v>
      </x:c>
      <x:c r="L966" s="79" t="str">
        <x:v>Avancement technique indicatif 25 %</x:v>
      </x:c>
    </x:row>
    <x:row r="967" ht="29" customHeight="1">
      <x:c r="A967" s="79" t="str">
        <x:v>22_V136_Backlog</x:v>
      </x:c>
      <x:c r="B967" s="79" t="n">
        <x:v>283</x:v>
      </x:c>
      <x:c r="C967" s="79" t="str">
        <x:v>V136-phg-exalted-03</x:v>
      </x:c>
      <x:c r="D967" s="79" t="str">
        <x:v>phg-exalted</x:v>
      </x:c>
      <x:c r="E967" s="79" t="str">
        <x:v>Textures UV et matériaux</x:v>
      </x:c>
      <x:c r="F967" s="79" t="str">
        <x:v>OUVERT · textures UV/PNG 1:1 et patine à produire</x:v>
      </x:c>
      <x:c r="G967" s="79" t="str">
        <x:v>PNG indépendants aux bons détails et reflets</x:v>
      </x:c>
      <x:c r="H967" s="79" t="str">
        <x:v>ART 1:1</x:v>
      </x:c>
      <x:c r="I967" s="79" t="str">
        <x:v>Non : preuve humaine requise</x:v>
      </x:c>
      <x:c r="J967" s="79" t="str">
        <x:v>P1</x:v>
      </x:c>
      <x:c r="K967" s="79" t="str">
        <x:v>https://store.steampowered.com/app/1556200/Predator__Hunting_Grounds/</x:v>
      </x:c>
      <x:c r="L967" s="79" t="str">
        <x:v>Avancement technique indicatif 0 %</x:v>
      </x:c>
    </x:row>
    <x:row r="968" ht="29" customHeight="1">
      <x:c r="A968" s="79" t="str">
        <x:v>22_V136_Backlog</x:v>
      </x:c>
      <x:c r="B968" s="79" t="n">
        <x:v>284</x:v>
      </x:c>
      <x:c r="C968" s="79" t="str">
        <x:v>V136-phg-exalted-04</x:v>
      </x:c>
      <x:c r="D968" s="79" t="str">
        <x:v>phg-exalted</x:v>
      </x:c>
      <x:c r="E968" s="79" t="str">
        <x:v>Charnière et animations</x:v>
      </x:c>
      <x:c r="F968" s="79" t="str">
        <x:v>PARTIEL · capot CSS ; 3 gestes / rig 1:1 manquants</x:v>
      </x:c>
      <x:c r="G968" s="79" t="str">
        <x:v>Cohérence rig / armurerie / hologramme</x:v>
      </x:c>
      <x:c r="H968" s="79" t="str">
        <x:v>ART 1:1</x:v>
      </x:c>
      <x:c r="I968" s="79" t="str">
        <x:v>Non : preuve humaine requise</x:v>
      </x:c>
      <x:c r="J968" s="79" t="str">
        <x:v>P1</x:v>
      </x:c>
      <x:c r="K968" s="79" t="str">
        <x:v>https://store.steampowered.com/app/1556200/Predator__Hunting_Grounds/</x:v>
      </x:c>
      <x:c r="L968" s="79" t="str">
        <x:v>Avancement technique indicatif 25 %</x:v>
      </x:c>
    </x:row>
    <x:row r="969" ht="29" customHeight="1">
      <x:c r="A969" s="79" t="str">
        <x:v>22_V136_Backlog</x:v>
      </x:c>
      <x:c r="B969" s="79" t="n">
        <x:v>285</x:v>
      </x:c>
      <x:c r="C969" s="79" t="str">
        <x:v>V136-phg-exalted-05</x:v>
      </x:c>
      <x:c r="D969" s="79" t="str">
        <x:v>phg-exalted</x:v>
      </x:c>
      <x:c r="E969" s="79" t="str">
        <x:v>Rendu jeu et contrôle</x:v>
      </x:c>
      <x:c r="F969" s="79" t="str">
        <x:v>PARTIEL · rendu React + QA autonome, jeu complet à tester</x:v>
      </x:c>
      <x:c r="G969" s="79" t="str">
        <x:v>Comparaison toutes vues et modes</x:v>
      </x:c>
      <x:c r="H969" s="79" t="str">
        <x:v>ART 1:1</x:v>
      </x:c>
      <x:c r="I969" s="79" t="str">
        <x:v>Non : preuve humaine requise</x:v>
      </x:c>
      <x:c r="J969" s="79" t="str">
        <x:v>P1</x:v>
      </x:c>
      <x:c r="K969" s="79" t="str">
        <x:v>https://store.steampowered.com/app/1556200/Predator__Hunting_Grounds/</x:v>
      </x:c>
      <x:c r="L969" s="79" t="str">
        <x:v>Avancement technique indicatif 45 %</x:v>
      </x:c>
    </x:row>
    <x:row r="970" ht="29" customHeight="1">
      <x:c r="A970" s="79" t="str">
        <x:v>22_V136_Backlog</x:v>
      </x:c>
      <x:c r="B970" s="79" t="n">
        <x:v>286</x:v>
      </x:c>
      <x:c r="C970" s="79" t="str">
        <x:v>V136-phg-exalted-06</x:v>
      </x:c>
      <x:c r="D970" s="79" t="str">
        <x:v>phg-exalted</x:v>
      </x:c>
      <x:c r="E970" s="79" t="str">
        <x:v>Revue artistique et droits</x:v>
      </x:c>
      <x:c r="F970" s="79" t="str">
        <x:v>OUVERT · revue humaine et autorisation IP nécessaires</x:v>
      </x:c>
      <x:c r="G970" s="79" t="str">
        <x:v>Ne jamais certifier sans approbation manuelle</x:v>
      </x:c>
      <x:c r="H970" s="79" t="str">
        <x:v>ART 1:1</x:v>
      </x:c>
      <x:c r="I970" s="79" t="str">
        <x:v>Non : preuve humaine requise</x:v>
      </x:c>
      <x:c r="J970" s="79" t="str">
        <x:v>P1</x:v>
      </x:c>
      <x:c r="K970" s="79" t="str">
        <x:v>https://store.steampowered.com/app/1556200/Predator__Hunting_Grounds/</x:v>
      </x:c>
      <x:c r="L970" s="79" t="str">
        <x:v>Avancement technique indicatif 0 %</x:v>
      </x:c>
    </x:row>
    <x:row r="971" ht="29" customHeight="1">
      <x:c r="A971" s="79" t="str">
        <x:v>22_V136_Backlog</x:v>
      </x:c>
      <x:c r="B971" s="79" t="n">
        <x:v>287</x:v>
      </x:c>
      <x:c r="C971" s="79" t="str">
        <x:v>V136-phg-anubis-01</x:v>
      </x:c>
      <x:c r="D971" s="79" t="str">
        <x:v>phg-anubis</x:v>
      </x:c>
      <x:c r="E971" s="79" t="str">
        <x:v>Plan face/dessus/profil</x:v>
      </x:c>
      <x:c r="F971" s="79" t="str">
        <x:v>OUVERT · plusieurs vues source film/jeu non relevées</x:v>
      </x:c>
      <x:c r="G971" s="79" t="str">
        <x:v>Photo, prop, capture jeu propre au gauntlet</x:v>
      </x:c>
      <x:c r="H971" s="79" t="str">
        <x:v>ART 1:1</x:v>
      </x:c>
      <x:c r="I971" s="79" t="str">
        <x:v>Non : preuve humaine requise</x:v>
      </x:c>
      <x:c r="J971" s="79" t="str">
        <x:v>P1</x:v>
      </x:c>
      <x:c r="K971" s="79" t="str">
        <x:v>https://store.steampowered.com/app/1556200/Predator__Hunting_Grounds/</x:v>
      </x:c>
      <x:c r="L971" s="79" t="str">
        <x:v>Avancement technique indicatif 0 %</x:v>
      </x:c>
    </x:row>
    <x:row r="972" ht="29" customHeight="1">
      <x:c r="A972" s="79" t="str">
        <x:v>22_V136_Backlog</x:v>
      </x:c>
      <x:c r="B972" s="79" t="n">
        <x:v>288</x:v>
      </x:c>
      <x:c r="C972" s="79" t="str">
        <x:v>V136-phg-anubis-02</x:v>
      </x:c>
      <x:c r="D972" s="79" t="str">
        <x:v>phg-anubis</x:v>
      </x:c>
      <x:c r="E972" s="79" t="str">
        <x:v>Proportions et silhouette</x:v>
      </x:c>
      <x:c r="F972" s="79" t="str">
        <x:v>PARTIEL · silhouette SVG originale, proportions non mesurées</x:v>
      </x:c>
      <x:c r="G972" s="79" t="str">
        <x:v>Contrôle alignement poignet et pièces</x:v>
      </x:c>
      <x:c r="H972" s="79" t="str">
        <x:v>ART 1:1</x:v>
      </x:c>
      <x:c r="I972" s="79" t="str">
        <x:v>Non : preuve humaine requise</x:v>
      </x:c>
      <x:c r="J972" s="79" t="str">
        <x:v>P1</x:v>
      </x:c>
      <x:c r="K972" s="79" t="str">
        <x:v>https://store.steampowered.com/app/1556200/Predator__Hunting_Grounds/</x:v>
      </x:c>
      <x:c r="L972" s="79" t="str">
        <x:v>Avancement technique indicatif 25 %</x:v>
      </x:c>
    </x:row>
    <x:row r="973" ht="29" customHeight="1">
      <x:c r="A973" s="79" t="str">
        <x:v>22_V136_Backlog</x:v>
      </x:c>
      <x:c r="B973" s="79" t="n">
        <x:v>289</x:v>
      </x:c>
      <x:c r="C973" s="79" t="str">
        <x:v>V136-phg-anubis-03</x:v>
      </x:c>
      <x:c r="D973" s="79" t="str">
        <x:v>phg-anubis</x:v>
      </x:c>
      <x:c r="E973" s="79" t="str">
        <x:v>Textures UV et matériaux</x:v>
      </x:c>
      <x:c r="F973" s="79" t="str">
        <x:v>OUVERT · textures UV/PNG 1:1 et patine à produire</x:v>
      </x:c>
      <x:c r="G973" s="79" t="str">
        <x:v>PNG indépendants aux bons détails et reflets</x:v>
      </x:c>
      <x:c r="H973" s="79" t="str">
        <x:v>ART 1:1</x:v>
      </x:c>
      <x:c r="I973" s="79" t="str">
        <x:v>Non : preuve humaine requise</x:v>
      </x:c>
      <x:c r="J973" s="79" t="str">
        <x:v>P1</x:v>
      </x:c>
      <x:c r="K973" s="79" t="str">
        <x:v>https://store.steampowered.com/app/1556200/Predator__Hunting_Grounds/</x:v>
      </x:c>
      <x:c r="L973" s="79" t="str">
        <x:v>Avancement technique indicatif 0 %</x:v>
      </x:c>
    </x:row>
    <x:row r="974" ht="29" customHeight="1">
      <x:c r="A974" s="79" t="str">
        <x:v>22_V136_Backlog</x:v>
      </x:c>
      <x:c r="B974" s="79" t="n">
        <x:v>290</x:v>
      </x:c>
      <x:c r="C974" s="79" t="str">
        <x:v>V136-phg-anubis-04</x:v>
      </x:c>
      <x:c r="D974" s="79" t="str">
        <x:v>phg-anubis</x:v>
      </x:c>
      <x:c r="E974" s="79" t="str">
        <x:v>Charnière et animations</x:v>
      </x:c>
      <x:c r="F974" s="79" t="str">
        <x:v>PARTIEL · capot CSS ; 3 gestes / rig 1:1 manquants</x:v>
      </x:c>
      <x:c r="G974" s="79" t="str">
        <x:v>Cohérence rig / armurerie / hologramme</x:v>
      </x:c>
      <x:c r="H974" s="79" t="str">
        <x:v>ART 1:1</x:v>
      </x:c>
      <x:c r="I974" s="79" t="str">
        <x:v>Non : preuve humaine requise</x:v>
      </x:c>
      <x:c r="J974" s="79" t="str">
        <x:v>P1</x:v>
      </x:c>
      <x:c r="K974" s="79" t="str">
        <x:v>https://store.steampowered.com/app/1556200/Predator__Hunting_Grounds/</x:v>
      </x:c>
      <x:c r="L974" s="79" t="str">
        <x:v>Avancement technique indicatif 25 %</x:v>
      </x:c>
    </x:row>
    <x:row r="975" ht="29" customHeight="1">
      <x:c r="A975" s="79" t="str">
        <x:v>22_V136_Backlog</x:v>
      </x:c>
      <x:c r="B975" s="79" t="n">
        <x:v>291</x:v>
      </x:c>
      <x:c r="C975" s="79" t="str">
        <x:v>V136-phg-anubis-05</x:v>
      </x:c>
      <x:c r="D975" s="79" t="str">
        <x:v>phg-anubis</x:v>
      </x:c>
      <x:c r="E975" s="79" t="str">
        <x:v>Rendu jeu et contrôle</x:v>
      </x:c>
      <x:c r="F975" s="79" t="str">
        <x:v>PARTIEL · rendu React + QA autonome, jeu complet à tester</x:v>
      </x:c>
      <x:c r="G975" s="79" t="str">
        <x:v>Comparaison toutes vues et modes</x:v>
      </x:c>
      <x:c r="H975" s="79" t="str">
        <x:v>ART 1:1</x:v>
      </x:c>
      <x:c r="I975" s="79" t="str">
        <x:v>Non : preuve humaine requise</x:v>
      </x:c>
      <x:c r="J975" s="79" t="str">
        <x:v>P1</x:v>
      </x:c>
      <x:c r="K975" s="79" t="str">
        <x:v>https://store.steampowered.com/app/1556200/Predator__Hunting_Grounds/</x:v>
      </x:c>
      <x:c r="L975" s="79" t="str">
        <x:v>Avancement technique indicatif 45 %</x:v>
      </x:c>
    </x:row>
    <x:row r="976" ht="29" customHeight="1">
      <x:c r="A976" s="79" t="str">
        <x:v>22_V136_Backlog</x:v>
      </x:c>
      <x:c r="B976" s="79" t="n">
        <x:v>292</x:v>
      </x:c>
      <x:c r="C976" s="79" t="str">
        <x:v>V136-phg-anubis-06</x:v>
      </x:c>
      <x:c r="D976" s="79" t="str">
        <x:v>phg-anubis</x:v>
      </x:c>
      <x:c r="E976" s="79" t="str">
        <x:v>Revue artistique et droits</x:v>
      </x:c>
      <x:c r="F976" s="79" t="str">
        <x:v>OUVERT · revue humaine et autorisation IP nécessaires</x:v>
      </x:c>
      <x:c r="G976" s="79" t="str">
        <x:v>Ne jamais certifier sans approbation manuelle</x:v>
      </x:c>
      <x:c r="H976" s="79" t="str">
        <x:v>ART 1:1</x:v>
      </x:c>
      <x:c r="I976" s="79" t="str">
        <x:v>Non : preuve humaine requise</x:v>
      </x:c>
      <x:c r="J976" s="79" t="str">
        <x:v>P1</x:v>
      </x:c>
      <x:c r="K976" s="79" t="str">
        <x:v>https://store.steampowered.com/app/1556200/Predator__Hunting_Grounds/</x:v>
      </x:c>
      <x:c r="L976" s="79" t="str">
        <x:v>Avancement technique indicatif 0 %</x:v>
      </x:c>
    </x:row>
    <x:row r="977" ht="29" customHeight="1">
      <x:c r="A977" s="79" t="str">
        <x:v>22_V136_Backlog</x:v>
      </x:c>
      <x:c r="B977" s="79" t="n">
        <x:v>293</x:v>
      </x:c>
      <x:c r="C977" s="79" t="str">
        <x:v>V136-phg-gladiator-01</x:v>
      </x:c>
      <x:c r="D977" s="79" t="str">
        <x:v>phg-gladiator</x:v>
      </x:c>
      <x:c r="E977" s="79" t="str">
        <x:v>Plan face/dessus/profil</x:v>
      </x:c>
      <x:c r="F977" s="79" t="str">
        <x:v>OUVERT · plusieurs vues source film/jeu non relevées</x:v>
      </x:c>
      <x:c r="G977" s="79" t="str">
        <x:v>Photo, prop, capture jeu propre au gauntlet</x:v>
      </x:c>
      <x:c r="H977" s="79" t="str">
        <x:v>ART 1:1</x:v>
      </x:c>
      <x:c r="I977" s="79" t="str">
        <x:v>Non : preuve humaine requise</x:v>
      </x:c>
      <x:c r="J977" s="79" t="str">
        <x:v>P1</x:v>
      </x:c>
      <x:c r="K977" s="79" t="str">
        <x:v>https://store.steampowered.com/app/1556200/Predator__Hunting_Grounds/</x:v>
      </x:c>
      <x:c r="L977" s="79" t="str">
        <x:v>Avancement technique indicatif 0 %</x:v>
      </x:c>
    </x:row>
    <x:row r="978" ht="29" customHeight="1">
      <x:c r="A978" s="79" t="str">
        <x:v>22_V136_Backlog</x:v>
      </x:c>
      <x:c r="B978" s="79" t="n">
        <x:v>294</x:v>
      </x:c>
      <x:c r="C978" s="79" t="str">
        <x:v>V136-phg-gladiator-02</x:v>
      </x:c>
      <x:c r="D978" s="79" t="str">
        <x:v>phg-gladiator</x:v>
      </x:c>
      <x:c r="E978" s="79" t="str">
        <x:v>Proportions et silhouette</x:v>
      </x:c>
      <x:c r="F978" s="79" t="str">
        <x:v>PARTIEL · silhouette SVG originale, proportions non mesurées</x:v>
      </x:c>
      <x:c r="G978" s="79" t="str">
        <x:v>Contrôle alignement poignet et pièces</x:v>
      </x:c>
      <x:c r="H978" s="79" t="str">
        <x:v>ART 1:1</x:v>
      </x:c>
      <x:c r="I978" s="79" t="str">
        <x:v>Non : preuve humaine requise</x:v>
      </x:c>
      <x:c r="J978" s="79" t="str">
        <x:v>P1</x:v>
      </x:c>
      <x:c r="K978" s="79" t="str">
        <x:v>https://store.steampowered.com/app/1556200/Predator__Hunting_Grounds/</x:v>
      </x:c>
      <x:c r="L978" s="79" t="str">
        <x:v>Avancement technique indicatif 25 %</x:v>
      </x:c>
    </x:row>
    <x:row r="979" ht="29" customHeight="1">
      <x:c r="A979" s="79" t="str">
        <x:v>22_V136_Backlog</x:v>
      </x:c>
      <x:c r="B979" s="79" t="n">
        <x:v>295</x:v>
      </x:c>
      <x:c r="C979" s="79" t="str">
        <x:v>V136-phg-gladiator-03</x:v>
      </x:c>
      <x:c r="D979" s="79" t="str">
        <x:v>phg-gladiator</x:v>
      </x:c>
      <x:c r="E979" s="79" t="str">
        <x:v>Textures UV et matériaux</x:v>
      </x:c>
      <x:c r="F979" s="79" t="str">
        <x:v>OUVERT · textures UV/PNG 1:1 et patine à produire</x:v>
      </x:c>
      <x:c r="G979" s="79" t="str">
        <x:v>PNG indépendants aux bons détails et reflets</x:v>
      </x:c>
      <x:c r="H979" s="79" t="str">
        <x:v>ART 1:1</x:v>
      </x:c>
      <x:c r="I979" s="79" t="str">
        <x:v>Non : preuve humaine requise</x:v>
      </x:c>
      <x:c r="J979" s="79" t="str">
        <x:v>P1</x:v>
      </x:c>
      <x:c r="K979" s="79" t="str">
        <x:v>https://store.steampowered.com/app/1556200/Predator__Hunting_Grounds/</x:v>
      </x:c>
      <x:c r="L979" s="79" t="str">
        <x:v>Avancement technique indicatif 0 %</x:v>
      </x:c>
    </x:row>
    <x:row r="980" ht="29" customHeight="1">
      <x:c r="A980" s="79" t="str">
        <x:v>22_V136_Backlog</x:v>
      </x:c>
      <x:c r="B980" s="79" t="n">
        <x:v>296</x:v>
      </x:c>
      <x:c r="C980" s="79" t="str">
        <x:v>V136-phg-gladiator-04</x:v>
      </x:c>
      <x:c r="D980" s="79" t="str">
        <x:v>phg-gladiator</x:v>
      </x:c>
      <x:c r="E980" s="79" t="str">
        <x:v>Charnière et animations</x:v>
      </x:c>
      <x:c r="F980" s="79" t="str">
        <x:v>PARTIEL · capot CSS ; 3 gestes / rig 1:1 manquants</x:v>
      </x:c>
      <x:c r="G980" s="79" t="str">
        <x:v>Cohérence rig / armurerie / hologramme</x:v>
      </x:c>
      <x:c r="H980" s="79" t="str">
        <x:v>ART 1:1</x:v>
      </x:c>
      <x:c r="I980" s="79" t="str">
        <x:v>Non : preuve humaine requise</x:v>
      </x:c>
      <x:c r="J980" s="79" t="str">
        <x:v>P1</x:v>
      </x:c>
      <x:c r="K980" s="79" t="str">
        <x:v>https://store.steampowered.com/app/1556200/Predator__Hunting_Grounds/</x:v>
      </x:c>
      <x:c r="L980" s="79" t="str">
        <x:v>Avancement technique indicatif 25 %</x:v>
      </x:c>
    </x:row>
    <x:row r="981" ht="29" customHeight="1">
      <x:c r="A981" s="79" t="str">
        <x:v>22_V136_Backlog</x:v>
      </x:c>
      <x:c r="B981" s="79" t="n">
        <x:v>297</x:v>
      </x:c>
      <x:c r="C981" s="79" t="str">
        <x:v>V136-phg-gladiator-05</x:v>
      </x:c>
      <x:c r="D981" s="79" t="str">
        <x:v>phg-gladiator</x:v>
      </x:c>
      <x:c r="E981" s="79" t="str">
        <x:v>Rendu jeu et contrôle</x:v>
      </x:c>
      <x:c r="F981" s="79" t="str">
        <x:v>PARTIEL · rendu React + QA autonome, jeu complet à tester</x:v>
      </x:c>
      <x:c r="G981" s="79" t="str">
        <x:v>Comparaison toutes vues et modes</x:v>
      </x:c>
      <x:c r="H981" s="79" t="str">
        <x:v>ART 1:1</x:v>
      </x:c>
      <x:c r="I981" s="79" t="str">
        <x:v>Non : preuve humaine requise</x:v>
      </x:c>
      <x:c r="J981" s="79" t="str">
        <x:v>P1</x:v>
      </x:c>
      <x:c r="K981" s="79" t="str">
        <x:v>https://store.steampowered.com/app/1556200/Predator__Hunting_Grounds/</x:v>
      </x:c>
      <x:c r="L981" s="79" t="str">
        <x:v>Avancement technique indicatif 45 %</x:v>
      </x:c>
    </x:row>
    <x:row r="982" ht="29" customHeight="1">
      <x:c r="A982" s="79" t="str">
        <x:v>22_V136_Backlog</x:v>
      </x:c>
      <x:c r="B982" s="79" t="n">
        <x:v>298</x:v>
      </x:c>
      <x:c r="C982" s="79" t="str">
        <x:v>V136-phg-gladiator-06</x:v>
      </x:c>
      <x:c r="D982" s="79" t="str">
        <x:v>phg-gladiator</x:v>
      </x:c>
      <x:c r="E982" s="79" t="str">
        <x:v>Revue artistique et droits</x:v>
      </x:c>
      <x:c r="F982" s="79" t="str">
        <x:v>OUVERT · revue humaine et autorisation IP nécessaires</x:v>
      </x:c>
      <x:c r="G982" s="79" t="str">
        <x:v>Ne jamais certifier sans approbation manuelle</x:v>
      </x:c>
      <x:c r="H982" s="79" t="str">
        <x:v>ART 1:1</x:v>
      </x:c>
      <x:c r="I982" s="79" t="str">
        <x:v>Non : preuve humaine requise</x:v>
      </x:c>
      <x:c r="J982" s="79" t="str">
        <x:v>P1</x:v>
      </x:c>
      <x:c r="K982" s="79" t="str">
        <x:v>https://store.steampowered.com/app/1556200/Predator__Hunting_Grounds/</x:v>
      </x:c>
      <x:c r="L982" s="79" t="str">
        <x:v>Avancement technique indicatif 0 %</x:v>
      </x:c>
    </x:row>
    <x:row r="983" ht="29" customHeight="1">
      <x:c r="A983" s="79" t="str">
        <x:v>22_V136_Backlog</x:v>
      </x:c>
      <x:c r="B983" s="79" t="n">
        <x:v>299</x:v>
      </x:c>
      <x:c r="C983" s="79" t="str">
        <x:v>V136-scarface-01</x:v>
      </x:c>
      <x:c r="D983" s="79" t="str">
        <x:v>scarface</x:v>
      </x:c>
      <x:c r="E983" s="79" t="str">
        <x:v>Plan face/dessus/profil</x:v>
      </x:c>
      <x:c r="F983" s="79" t="str">
        <x:v>OUVERT · plusieurs vues source film/jeu non relevées</x:v>
      </x:c>
      <x:c r="G983" s="79" t="str">
        <x:v>Photo, prop, capture jeu propre au gauntlet</x:v>
      </x:c>
      <x:c r="H983" s="79" t="str">
        <x:v>ART 1:1</x:v>
      </x:c>
      <x:c r="I983" s="79" t="str">
        <x:v>Non : preuve humaine requise</x:v>
      </x:c>
      <x:c r="J983" s="79" t="str">
        <x:v>P1</x:v>
      </x:c>
      <x:c r="K983" s="79" t="str">
        <x:v>https://www.avpgalaxy.net/merch/neca/predator/series/</x:v>
      </x:c>
      <x:c r="L983" s="79" t="str">
        <x:v>Avancement technique indicatif 0 %</x:v>
      </x:c>
    </x:row>
    <x:row r="984" ht="29" customHeight="1">
      <x:c r="A984" s="79" t="str">
        <x:v>22_V136_Backlog</x:v>
      </x:c>
      <x:c r="B984" s="79" t="n">
        <x:v>300</x:v>
      </x:c>
      <x:c r="C984" s="79" t="str">
        <x:v>V136-scarface-02</x:v>
      </x:c>
      <x:c r="D984" s="79" t="str">
        <x:v>scarface</x:v>
      </x:c>
      <x:c r="E984" s="79" t="str">
        <x:v>Proportions et silhouette</x:v>
      </x:c>
      <x:c r="F984" s="79" t="str">
        <x:v>PARTIEL · silhouette SVG originale, proportions non mesurées</x:v>
      </x:c>
      <x:c r="G984" s="79" t="str">
        <x:v>Contrôle alignement poignet et pièces</x:v>
      </x:c>
      <x:c r="H984" s="79" t="str">
        <x:v>ART 1:1</x:v>
      </x:c>
      <x:c r="I984" s="79" t="str">
        <x:v>Non : preuve humaine requise</x:v>
      </x:c>
      <x:c r="J984" s="79" t="str">
        <x:v>P1</x:v>
      </x:c>
      <x:c r="K984" s="79" t="str">
        <x:v>https://www.avpgalaxy.net/merch/neca/predator/series/</x:v>
      </x:c>
      <x:c r="L984" s="79" t="str">
        <x:v>Avancement technique indicatif 25 %</x:v>
      </x:c>
    </x:row>
    <x:row r="985" ht="29" customHeight="1">
      <x:c r="A985" s="79" t="str">
        <x:v>22_V136_Backlog</x:v>
      </x:c>
      <x:c r="B985" s="79" t="n">
        <x:v>301</x:v>
      </x:c>
      <x:c r="C985" s="79" t="str">
        <x:v>V136-scarface-03</x:v>
      </x:c>
      <x:c r="D985" s="79" t="str">
        <x:v>scarface</x:v>
      </x:c>
      <x:c r="E985" s="79" t="str">
        <x:v>Textures UV et matériaux</x:v>
      </x:c>
      <x:c r="F985" s="79" t="str">
        <x:v>OUVERT · textures UV/PNG 1:1 et patine à produire</x:v>
      </x:c>
      <x:c r="G985" s="79" t="str">
        <x:v>PNG indépendants aux bons détails et reflets</x:v>
      </x:c>
      <x:c r="H985" s="79" t="str">
        <x:v>ART 1:1</x:v>
      </x:c>
      <x:c r="I985" s="79" t="str">
        <x:v>Non : preuve humaine requise</x:v>
      </x:c>
      <x:c r="J985" s="79" t="str">
        <x:v>P1</x:v>
      </x:c>
      <x:c r="K985" s="79" t="str">
        <x:v>https://www.avpgalaxy.net/merch/neca/predator/series/</x:v>
      </x:c>
      <x:c r="L985" s="79" t="str">
        <x:v>Avancement technique indicatif 0 %</x:v>
      </x:c>
    </x:row>
    <x:row r="986" ht="29" customHeight="1">
      <x:c r="A986" s="79" t="str">
        <x:v>22_V136_Backlog</x:v>
      </x:c>
      <x:c r="B986" s="79" t="n">
        <x:v>302</x:v>
      </x:c>
      <x:c r="C986" s="79" t="str">
        <x:v>V136-scarface-04</x:v>
      </x:c>
      <x:c r="D986" s="79" t="str">
        <x:v>scarface</x:v>
      </x:c>
      <x:c r="E986" s="79" t="str">
        <x:v>Charnière et animations</x:v>
      </x:c>
      <x:c r="F986" s="79" t="str">
        <x:v>PARTIEL · capot CSS ; 3 gestes / rig 1:1 manquants</x:v>
      </x:c>
      <x:c r="G986" s="79" t="str">
        <x:v>Cohérence rig / armurerie / hologramme</x:v>
      </x:c>
      <x:c r="H986" s="79" t="str">
        <x:v>ART 1:1</x:v>
      </x:c>
      <x:c r="I986" s="79" t="str">
        <x:v>Non : preuve humaine requise</x:v>
      </x:c>
      <x:c r="J986" s="79" t="str">
        <x:v>P1</x:v>
      </x:c>
      <x:c r="K986" s="79" t="str">
        <x:v>https://www.avpgalaxy.net/merch/neca/predator/series/</x:v>
      </x:c>
      <x:c r="L986" s="79" t="str">
        <x:v>Avancement technique indicatif 25 %</x:v>
      </x:c>
    </x:row>
    <x:row r="987" ht="29" customHeight="1">
      <x:c r="A987" s="79" t="str">
        <x:v>22_V136_Backlog</x:v>
      </x:c>
      <x:c r="B987" s="79" t="n">
        <x:v>303</x:v>
      </x:c>
      <x:c r="C987" s="79" t="str">
        <x:v>V136-scarface-05</x:v>
      </x:c>
      <x:c r="D987" s="79" t="str">
        <x:v>scarface</x:v>
      </x:c>
      <x:c r="E987" s="79" t="str">
        <x:v>Rendu jeu et contrôle</x:v>
      </x:c>
      <x:c r="F987" s="79" t="str">
        <x:v>PARTIEL · rendu React + QA autonome, jeu complet à tester</x:v>
      </x:c>
      <x:c r="G987" s="79" t="str">
        <x:v>Comparaison toutes vues et modes</x:v>
      </x:c>
      <x:c r="H987" s="79" t="str">
        <x:v>ART 1:1</x:v>
      </x:c>
      <x:c r="I987" s="79" t="str">
        <x:v>Non : preuve humaine requise</x:v>
      </x:c>
      <x:c r="J987" s="79" t="str">
        <x:v>P1</x:v>
      </x:c>
      <x:c r="K987" s="79" t="str">
        <x:v>https://www.avpgalaxy.net/merch/neca/predator/series/</x:v>
      </x:c>
      <x:c r="L987" s="79" t="str">
        <x:v>Avancement technique indicatif 45 %</x:v>
      </x:c>
    </x:row>
    <x:row r="988" ht="29" customHeight="1">
      <x:c r="A988" s="79" t="str">
        <x:v>22_V136_Backlog</x:v>
      </x:c>
      <x:c r="B988" s="79" t="n">
        <x:v>304</x:v>
      </x:c>
      <x:c r="C988" s="79" t="str">
        <x:v>V136-scarface-06</x:v>
      </x:c>
      <x:c r="D988" s="79" t="str">
        <x:v>scarface</x:v>
      </x:c>
      <x:c r="E988" s="79" t="str">
        <x:v>Revue artistique et droits</x:v>
      </x:c>
      <x:c r="F988" s="79" t="str">
        <x:v>OUVERT · revue humaine et autorisation IP nécessaires</x:v>
      </x:c>
      <x:c r="G988" s="79" t="str">
        <x:v>Ne jamais certifier sans approbation manuelle</x:v>
      </x:c>
      <x:c r="H988" s="79" t="str">
        <x:v>ART 1:1</x:v>
      </x:c>
      <x:c r="I988" s="79" t="str">
        <x:v>Non : preuve humaine requise</x:v>
      </x:c>
      <x:c r="J988" s="79" t="str">
        <x:v>P1</x:v>
      </x:c>
      <x:c r="K988" s="79" t="str">
        <x:v>https://www.avpgalaxy.net/merch/neca/predator/series/</x:v>
      </x:c>
      <x:c r="L988" s="79" t="str">
        <x:v>Avancement technique indicatif 0 %</x:v>
      </x:c>
    </x:row>
    <x:row r="989" ht="29" customHeight="1">
      <x:c r="A989" s="79" t="str">
        <x:v>22_V136_Backlog</x:v>
      </x:c>
      <x:c r="B989" s="79" t="n">
        <x:v>305</x:v>
      </x:c>
      <x:c r="C989" s="79" t="str">
        <x:v>V136-stone-heart-01</x:v>
      </x:c>
      <x:c r="D989" s="79" t="str">
        <x:v>stone-heart</x:v>
      </x:c>
      <x:c r="E989" s="79" t="str">
        <x:v>Plan face/dessus/profil</x:v>
      </x:c>
      <x:c r="F989" s="79" t="str">
        <x:v>OUVERT · plusieurs vues source film/jeu non relevées</x:v>
      </x:c>
      <x:c r="G989" s="79" t="str">
        <x:v>Photo, prop, capture jeu propre au gauntlet</x:v>
      </x:c>
      <x:c r="H989" s="79" t="str">
        <x:v>ART 1:1</x:v>
      </x:c>
      <x:c r="I989" s="79" t="str">
        <x:v>Non : preuve humaine requise</x:v>
      </x:c>
      <x:c r="J989" s="79" t="str">
        <x:v>P1</x:v>
      </x:c>
      <x:c r="K989" s="79" t="str">
        <x:v>https://www.avpgalaxy.net/merch/neca/predator/series/</x:v>
      </x:c>
      <x:c r="L989" s="79" t="str">
        <x:v>Avancement technique indicatif 0 %</x:v>
      </x:c>
    </x:row>
    <x:row r="990" ht="29" customHeight="1">
      <x:c r="A990" s="79" t="str">
        <x:v>22_V136_Backlog</x:v>
      </x:c>
      <x:c r="B990" s="79" t="n">
        <x:v>306</x:v>
      </x:c>
      <x:c r="C990" s="79" t="str">
        <x:v>V136-stone-heart-02</x:v>
      </x:c>
      <x:c r="D990" s="79" t="str">
        <x:v>stone-heart</x:v>
      </x:c>
      <x:c r="E990" s="79" t="str">
        <x:v>Proportions et silhouette</x:v>
      </x:c>
      <x:c r="F990" s="79" t="str">
        <x:v>PARTIEL · silhouette SVG originale, proportions non mesurées</x:v>
      </x:c>
      <x:c r="G990" s="79" t="str">
        <x:v>Contrôle alignement poignet et pièces</x:v>
      </x:c>
      <x:c r="H990" s="79" t="str">
        <x:v>ART 1:1</x:v>
      </x:c>
      <x:c r="I990" s="79" t="str">
        <x:v>Non : preuve humaine requise</x:v>
      </x:c>
      <x:c r="J990" s="79" t="str">
        <x:v>P1</x:v>
      </x:c>
      <x:c r="K990" s="79" t="str">
        <x:v>https://www.avpgalaxy.net/merch/neca/predator/series/</x:v>
      </x:c>
      <x:c r="L990" s="79" t="str">
        <x:v>Avancement technique indicatif 25 %</x:v>
      </x:c>
    </x:row>
    <x:row r="991" ht="29" customHeight="1">
      <x:c r="A991" s="79" t="str">
        <x:v>22_V136_Backlog</x:v>
      </x:c>
      <x:c r="B991" s="79" t="n">
        <x:v>307</x:v>
      </x:c>
      <x:c r="C991" s="79" t="str">
        <x:v>V136-stone-heart-03</x:v>
      </x:c>
      <x:c r="D991" s="79" t="str">
        <x:v>stone-heart</x:v>
      </x:c>
      <x:c r="E991" s="79" t="str">
        <x:v>Textures UV et matériaux</x:v>
      </x:c>
      <x:c r="F991" s="79" t="str">
        <x:v>OUVERT · textures UV/PNG 1:1 et patine à produire</x:v>
      </x:c>
      <x:c r="G991" s="79" t="str">
        <x:v>PNG indépendants aux bons détails et reflets</x:v>
      </x:c>
      <x:c r="H991" s="79" t="str">
        <x:v>ART 1:1</x:v>
      </x:c>
      <x:c r="I991" s="79" t="str">
        <x:v>Non : preuve humaine requise</x:v>
      </x:c>
      <x:c r="J991" s="79" t="str">
        <x:v>P1</x:v>
      </x:c>
      <x:c r="K991" s="79" t="str">
        <x:v>https://www.avpgalaxy.net/merch/neca/predator/series/</x:v>
      </x:c>
      <x:c r="L991" s="79" t="str">
        <x:v>Avancement technique indicatif 0 %</x:v>
      </x:c>
    </x:row>
    <x:row r="992" ht="29" customHeight="1">
      <x:c r="A992" s="79" t="str">
        <x:v>22_V136_Backlog</x:v>
      </x:c>
      <x:c r="B992" s="79" t="n">
        <x:v>308</x:v>
      </x:c>
      <x:c r="C992" s="79" t="str">
        <x:v>V136-stone-heart-04</x:v>
      </x:c>
      <x:c r="D992" s="79" t="str">
        <x:v>stone-heart</x:v>
      </x:c>
      <x:c r="E992" s="79" t="str">
        <x:v>Charnière et animations</x:v>
      </x:c>
      <x:c r="F992" s="79" t="str">
        <x:v>PARTIEL · capot CSS ; 3 gestes / rig 1:1 manquants</x:v>
      </x:c>
      <x:c r="G992" s="79" t="str">
        <x:v>Cohérence rig / armurerie / hologramme</x:v>
      </x:c>
      <x:c r="H992" s="79" t="str">
        <x:v>ART 1:1</x:v>
      </x:c>
      <x:c r="I992" s="79" t="str">
        <x:v>Non : preuve humaine requise</x:v>
      </x:c>
      <x:c r="J992" s="79" t="str">
        <x:v>P1</x:v>
      </x:c>
      <x:c r="K992" s="79" t="str">
        <x:v>https://www.avpgalaxy.net/merch/neca/predator/series/</x:v>
      </x:c>
      <x:c r="L992" s="79" t="str">
        <x:v>Avancement technique indicatif 25 %</x:v>
      </x:c>
    </x:row>
    <x:row r="993" ht="29" customHeight="1">
      <x:c r="A993" s="79" t="str">
        <x:v>22_V136_Backlog</x:v>
      </x:c>
      <x:c r="B993" s="79" t="n">
        <x:v>309</x:v>
      </x:c>
      <x:c r="C993" s="79" t="str">
        <x:v>V136-stone-heart-05</x:v>
      </x:c>
      <x:c r="D993" s="79" t="str">
        <x:v>stone-heart</x:v>
      </x:c>
      <x:c r="E993" s="79" t="str">
        <x:v>Rendu jeu et contrôle</x:v>
      </x:c>
      <x:c r="F993" s="79" t="str">
        <x:v>PARTIEL · rendu React + QA autonome, jeu complet à tester</x:v>
      </x:c>
      <x:c r="G993" s="79" t="str">
        <x:v>Comparaison toutes vues et modes</x:v>
      </x:c>
      <x:c r="H993" s="79" t="str">
        <x:v>ART 1:1</x:v>
      </x:c>
      <x:c r="I993" s="79" t="str">
        <x:v>Non : preuve humaine requise</x:v>
      </x:c>
      <x:c r="J993" s="79" t="str">
        <x:v>P1</x:v>
      </x:c>
      <x:c r="K993" s="79" t="str">
        <x:v>https://www.avpgalaxy.net/merch/neca/predator/series/</x:v>
      </x:c>
      <x:c r="L993" s="79" t="str">
        <x:v>Avancement technique indicatif 45 %</x:v>
      </x:c>
    </x:row>
    <x:row r="994" ht="29" customHeight="1">
      <x:c r="A994" s="79" t="str">
        <x:v>22_V136_Backlog</x:v>
      </x:c>
      <x:c r="B994" s="79" t="n">
        <x:v>310</x:v>
      </x:c>
      <x:c r="C994" s="79" t="str">
        <x:v>V136-stone-heart-06</x:v>
      </x:c>
      <x:c r="D994" s="79" t="str">
        <x:v>stone-heart</x:v>
      </x:c>
      <x:c r="E994" s="79" t="str">
        <x:v>Revue artistique et droits</x:v>
      </x:c>
      <x:c r="F994" s="79" t="str">
        <x:v>OUVERT · revue humaine et autorisation IP nécessaires</x:v>
      </x:c>
      <x:c r="G994" s="79" t="str">
        <x:v>Ne jamais certifier sans approbation manuelle</x:v>
      </x:c>
      <x:c r="H994" s="79" t="str">
        <x:v>ART 1:1</x:v>
      </x:c>
      <x:c r="I994" s="79" t="str">
        <x:v>Non : preuve humaine requise</x:v>
      </x:c>
      <x:c r="J994" s="79" t="str">
        <x:v>P1</x:v>
      </x:c>
      <x:c r="K994" s="79" t="str">
        <x:v>https://www.avpgalaxy.net/merch/neca/predator/series/</x:v>
      </x:c>
      <x:c r="L994" s="79" t="str">
        <x:v>Avancement technique indicatif 0 %</x:v>
      </x:c>
    </x:row>
    <x:row r="995" ht="29" customHeight="1">
      <x:c r="A995" s="79" t="str">
        <x:v>22_V136_Backlog</x:v>
      </x:c>
      <x:c r="B995" s="79" t="n">
        <x:v>311</x:v>
      </x:c>
      <x:c r="C995" s="79" t="str">
        <x:v>V136-ahab-01</x:v>
      </x:c>
      <x:c r="D995" s="79" t="str">
        <x:v>ahab</x:v>
      </x:c>
      <x:c r="E995" s="79" t="str">
        <x:v>Plan face/dessus/profil</x:v>
      </x:c>
      <x:c r="F995" s="79" t="str">
        <x:v>OUVERT · plusieurs vues source film/jeu non relevées</x:v>
      </x:c>
      <x:c r="G995" s="79" t="str">
        <x:v>Photo, prop, capture jeu propre au gauntlet</x:v>
      </x:c>
      <x:c r="H995" s="79" t="str">
        <x:v>ART 1:1</x:v>
      </x:c>
      <x:c r="I995" s="79" t="str">
        <x:v>Non : preuve humaine requise</x:v>
      </x:c>
      <x:c r="J995" s="79" t="str">
        <x:v>P1</x:v>
      </x:c>
      <x:c r="K995" s="79" t="str">
        <x:v>https://www.avpgalaxy.net/merch/neca/predator/series/</x:v>
      </x:c>
      <x:c r="L995" s="79" t="str">
        <x:v>Avancement technique indicatif 0 %</x:v>
      </x:c>
    </x:row>
    <x:row r="996" ht="29" customHeight="1">
      <x:c r="A996" s="79" t="str">
        <x:v>22_V136_Backlog</x:v>
      </x:c>
      <x:c r="B996" s="79" t="n">
        <x:v>312</x:v>
      </x:c>
      <x:c r="C996" s="79" t="str">
        <x:v>V136-ahab-02</x:v>
      </x:c>
      <x:c r="D996" s="79" t="str">
        <x:v>ahab</x:v>
      </x:c>
      <x:c r="E996" s="79" t="str">
        <x:v>Proportions et silhouette</x:v>
      </x:c>
      <x:c r="F996" s="79" t="str">
        <x:v>PARTIEL · silhouette SVG originale, proportions non mesurées</x:v>
      </x:c>
      <x:c r="G996" s="79" t="str">
        <x:v>Contrôle alignement poignet et pièces</x:v>
      </x:c>
      <x:c r="H996" s="79" t="str">
        <x:v>ART 1:1</x:v>
      </x:c>
      <x:c r="I996" s="79" t="str">
        <x:v>Non : preuve humaine requise</x:v>
      </x:c>
      <x:c r="J996" s="79" t="str">
        <x:v>P1</x:v>
      </x:c>
      <x:c r="K996" s="79" t="str">
        <x:v>https://www.avpgalaxy.net/merch/neca/predator/series/</x:v>
      </x:c>
      <x:c r="L996" s="79" t="str">
        <x:v>Avancement technique indicatif 25 %</x:v>
      </x:c>
    </x:row>
    <x:row r="997" ht="29" customHeight="1">
      <x:c r="A997" s="79" t="str">
        <x:v>22_V136_Backlog</x:v>
      </x:c>
      <x:c r="B997" s="79" t="n">
        <x:v>313</x:v>
      </x:c>
      <x:c r="C997" s="79" t="str">
        <x:v>V136-ahab-03</x:v>
      </x:c>
      <x:c r="D997" s="79" t="str">
        <x:v>ahab</x:v>
      </x:c>
      <x:c r="E997" s="79" t="str">
        <x:v>Textures UV et matériaux</x:v>
      </x:c>
      <x:c r="F997" s="79" t="str">
        <x:v>OUVERT · textures UV/PNG 1:1 et patine à produire</x:v>
      </x:c>
      <x:c r="G997" s="79" t="str">
        <x:v>PNG indépendants aux bons détails et reflets</x:v>
      </x:c>
      <x:c r="H997" s="79" t="str">
        <x:v>ART 1:1</x:v>
      </x:c>
      <x:c r="I997" s="79" t="str">
        <x:v>Non : preuve humaine requise</x:v>
      </x:c>
      <x:c r="J997" s="79" t="str">
        <x:v>P1</x:v>
      </x:c>
      <x:c r="K997" s="79" t="str">
        <x:v>https://www.avpgalaxy.net/merch/neca/predator/series/</x:v>
      </x:c>
      <x:c r="L997" s="79" t="str">
        <x:v>Avancement technique indicatif 0 %</x:v>
      </x:c>
    </x:row>
    <x:row r="998" ht="29" customHeight="1">
      <x:c r="A998" s="79" t="str">
        <x:v>22_V136_Backlog</x:v>
      </x:c>
      <x:c r="B998" s="79" t="n">
        <x:v>314</x:v>
      </x:c>
      <x:c r="C998" s="79" t="str">
        <x:v>V136-ahab-04</x:v>
      </x:c>
      <x:c r="D998" s="79" t="str">
        <x:v>ahab</x:v>
      </x:c>
      <x:c r="E998" s="79" t="str">
        <x:v>Charnière et animations</x:v>
      </x:c>
      <x:c r="F998" s="79" t="str">
        <x:v>PARTIEL · capot CSS ; 3 gestes / rig 1:1 manquants</x:v>
      </x:c>
      <x:c r="G998" s="79" t="str">
        <x:v>Cohérence rig / armurerie / hologramme</x:v>
      </x:c>
      <x:c r="H998" s="79" t="str">
        <x:v>ART 1:1</x:v>
      </x:c>
      <x:c r="I998" s="79" t="str">
        <x:v>Non : preuve humaine requise</x:v>
      </x:c>
      <x:c r="J998" s="79" t="str">
        <x:v>P1</x:v>
      </x:c>
      <x:c r="K998" s="79" t="str">
        <x:v>https://www.avpgalaxy.net/merch/neca/predator/series/</x:v>
      </x:c>
      <x:c r="L998" s="79" t="str">
        <x:v>Avancement technique indicatif 25 %</x:v>
      </x:c>
    </x:row>
    <x:row r="999" ht="29" customHeight="1">
      <x:c r="A999" s="79" t="str">
        <x:v>22_V136_Backlog</x:v>
      </x:c>
      <x:c r="B999" s="79" t="n">
        <x:v>315</x:v>
      </x:c>
      <x:c r="C999" s="79" t="str">
        <x:v>V136-ahab-05</x:v>
      </x:c>
      <x:c r="D999" s="79" t="str">
        <x:v>ahab</x:v>
      </x:c>
      <x:c r="E999" s="79" t="str">
        <x:v>Rendu jeu et contrôle</x:v>
      </x:c>
      <x:c r="F999" s="79" t="str">
        <x:v>PARTIEL · rendu React + QA autonome, jeu complet à tester</x:v>
      </x:c>
      <x:c r="G999" s="79" t="str">
        <x:v>Comparaison toutes vues et modes</x:v>
      </x:c>
      <x:c r="H999" s="79" t="str">
        <x:v>ART 1:1</x:v>
      </x:c>
      <x:c r="I999" s="79" t="str">
        <x:v>Non : preuve humaine requise</x:v>
      </x:c>
      <x:c r="J999" s="79" t="str">
        <x:v>P1</x:v>
      </x:c>
      <x:c r="K999" s="79" t="str">
        <x:v>https://www.avpgalaxy.net/merch/neca/predator/series/</x:v>
      </x:c>
      <x:c r="L999" s="79" t="str">
        <x:v>Avancement technique indicatif 45 %</x:v>
      </x:c>
    </x:row>
    <x:row r="1000" ht="29" customHeight="1">
      <x:c r="A1000" s="79" t="str">
        <x:v>22_V136_Backlog</x:v>
      </x:c>
      <x:c r="B1000" s="79" t="n">
        <x:v>316</x:v>
      </x:c>
      <x:c r="C1000" s="79" t="str">
        <x:v>V136-ahab-06</x:v>
      </x:c>
      <x:c r="D1000" s="79" t="str">
        <x:v>ahab</x:v>
      </x:c>
      <x:c r="E1000" s="79" t="str">
        <x:v>Revue artistique et droits</x:v>
      </x:c>
      <x:c r="F1000" s="79" t="str">
        <x:v>OUVERT · revue humaine et autorisation IP nécessaires</x:v>
      </x:c>
      <x:c r="G1000" s="79" t="str">
        <x:v>Ne jamais certifier sans approbation manuelle</x:v>
      </x:c>
      <x:c r="H1000" s="79" t="str">
        <x:v>ART 1:1</x:v>
      </x:c>
      <x:c r="I1000" s="79" t="str">
        <x:v>Non : preuve humaine requise</x:v>
      </x:c>
      <x:c r="J1000" s="79" t="str">
        <x:v>P1</x:v>
      </x:c>
      <x:c r="K1000" s="79" t="str">
        <x:v>https://www.avpgalaxy.net/merch/neca/predator/series/</x:v>
      </x:c>
      <x:c r="L1000" s="79" t="str">
        <x:v>Avancement technique indicatif 0 %</x:v>
      </x:c>
    </x:row>
    <x:row r="1001" ht="29" customHeight="1">
      <x:c r="A1001" s="79" t="str">
        <x:v>22_V136_Backlog</x:v>
      </x:c>
      <x:c r="B1001" s="79" t="n">
        <x:v>317</x:v>
      </x:c>
      <x:c r="C1001" s="79" t="str">
        <x:v>V136-dark-2010-01</x:v>
      </x:c>
      <x:c r="D1001" s="79" t="str">
        <x:v>dark-2010</x:v>
      </x:c>
      <x:c r="E1001" s="79" t="str">
        <x:v>Plan face/dessus/profil</x:v>
      </x:c>
      <x:c r="F1001" s="79" t="str">
        <x:v>OUVERT · plusieurs vues source film/jeu non relevées</x:v>
      </x:c>
      <x:c r="G1001" s="79" t="str">
        <x:v>Photo, prop, capture jeu propre au gauntlet</x:v>
      </x:c>
      <x:c r="H1001" s="79" t="str">
        <x:v>ART 1:1</x:v>
      </x:c>
      <x:c r="I1001" s="79" t="str">
        <x:v>Non : preuve humaine requise</x:v>
      </x:c>
      <x:c r="J1001" s="79" t="str">
        <x:v>P1</x:v>
      </x:c>
      <x:c r="K1001" s="79" t="str">
        <x:v>https://www.avpgalaxy.net/merch/neca/predator/series/</x:v>
      </x:c>
      <x:c r="L1001" s="79" t="str">
        <x:v>Avancement technique indicatif 0 %</x:v>
      </x:c>
    </x:row>
    <x:row r="1002" ht="29" customHeight="1">
      <x:c r="A1002" s="79" t="str">
        <x:v>22_V136_Backlog</x:v>
      </x:c>
      <x:c r="B1002" s="79" t="n">
        <x:v>318</x:v>
      </x:c>
      <x:c r="C1002" s="79" t="str">
        <x:v>V136-dark-2010-02</x:v>
      </x:c>
      <x:c r="D1002" s="79" t="str">
        <x:v>dark-2010</x:v>
      </x:c>
      <x:c r="E1002" s="79" t="str">
        <x:v>Proportions et silhouette</x:v>
      </x:c>
      <x:c r="F1002" s="79" t="str">
        <x:v>PARTIEL · silhouette SVG originale, proportions non mesurées</x:v>
      </x:c>
      <x:c r="G1002" s="79" t="str">
        <x:v>Contrôle alignement poignet et pièces</x:v>
      </x:c>
      <x:c r="H1002" s="79" t="str">
        <x:v>ART 1:1</x:v>
      </x:c>
      <x:c r="I1002" s="79" t="str">
        <x:v>Non : preuve humaine requise</x:v>
      </x:c>
      <x:c r="J1002" s="79" t="str">
        <x:v>P1</x:v>
      </x:c>
      <x:c r="K1002" s="79" t="str">
        <x:v>https://www.avpgalaxy.net/merch/neca/predator/series/</x:v>
      </x:c>
      <x:c r="L1002" s="79" t="str">
        <x:v>Avancement technique indicatif 25 %</x:v>
      </x:c>
    </x:row>
    <x:row r="1003" ht="29" customHeight="1">
      <x:c r="A1003" s="79" t="str">
        <x:v>22_V136_Backlog</x:v>
      </x:c>
      <x:c r="B1003" s="79" t="n">
        <x:v>319</x:v>
      </x:c>
      <x:c r="C1003" s="79" t="str">
        <x:v>V136-dark-2010-03</x:v>
      </x:c>
      <x:c r="D1003" s="79" t="str">
        <x:v>dark-2010</x:v>
      </x:c>
      <x:c r="E1003" s="79" t="str">
        <x:v>Textures UV et matériaux</x:v>
      </x:c>
      <x:c r="F1003" s="79" t="str">
        <x:v>OUVERT · textures UV/PNG 1:1 et patine à produire</x:v>
      </x:c>
      <x:c r="G1003" s="79" t="str">
        <x:v>PNG indépendants aux bons détails et reflets</x:v>
      </x:c>
      <x:c r="H1003" s="79" t="str">
        <x:v>ART 1:1</x:v>
      </x:c>
      <x:c r="I1003" s="79" t="str">
        <x:v>Non : preuve humaine requise</x:v>
      </x:c>
      <x:c r="J1003" s="79" t="str">
        <x:v>P1</x:v>
      </x:c>
      <x:c r="K1003" s="79" t="str">
        <x:v>https://www.avpgalaxy.net/merch/neca/predator/series/</x:v>
      </x:c>
      <x:c r="L1003" s="79" t="str">
        <x:v>Avancement technique indicatif 0 %</x:v>
      </x:c>
    </x:row>
    <x:row r="1004" ht="29" customHeight="1">
      <x:c r="A1004" s="79" t="str">
        <x:v>22_V136_Backlog</x:v>
      </x:c>
      <x:c r="B1004" s="79" t="n">
        <x:v>320</x:v>
      </x:c>
      <x:c r="C1004" s="79" t="str">
        <x:v>V136-dark-2010-04</x:v>
      </x:c>
      <x:c r="D1004" s="79" t="str">
        <x:v>dark-2010</x:v>
      </x:c>
      <x:c r="E1004" s="79" t="str">
        <x:v>Charnière et animations</x:v>
      </x:c>
      <x:c r="F1004" s="79" t="str">
        <x:v>PARTIEL · capot CSS ; 3 gestes / rig 1:1 manquants</x:v>
      </x:c>
      <x:c r="G1004" s="79" t="str">
        <x:v>Cohérence rig / armurerie / hologramme</x:v>
      </x:c>
      <x:c r="H1004" s="79" t="str">
        <x:v>ART 1:1</x:v>
      </x:c>
      <x:c r="I1004" s="79" t="str">
        <x:v>Non : preuve humaine requise</x:v>
      </x:c>
      <x:c r="J1004" s="79" t="str">
        <x:v>P1</x:v>
      </x:c>
      <x:c r="K1004" s="79" t="str">
        <x:v>https://www.avpgalaxy.net/merch/neca/predator/series/</x:v>
      </x:c>
      <x:c r="L1004" s="79" t="str">
        <x:v>Avancement technique indicatif 25 %</x:v>
      </x:c>
    </x:row>
    <x:row r="1005" ht="29" customHeight="1">
      <x:c r="A1005" s="79" t="str">
        <x:v>22_V136_Backlog</x:v>
      </x:c>
      <x:c r="B1005" s="79" t="n">
        <x:v>321</x:v>
      </x:c>
      <x:c r="C1005" s="79" t="str">
        <x:v>V136-dark-2010-05</x:v>
      </x:c>
      <x:c r="D1005" s="79" t="str">
        <x:v>dark-2010</x:v>
      </x:c>
      <x:c r="E1005" s="79" t="str">
        <x:v>Rendu jeu et contrôle</x:v>
      </x:c>
      <x:c r="F1005" s="79" t="str">
        <x:v>PARTIEL · rendu React + QA autonome, jeu complet à tester</x:v>
      </x:c>
      <x:c r="G1005" s="79" t="str">
        <x:v>Comparaison toutes vues et modes</x:v>
      </x:c>
      <x:c r="H1005" s="79" t="str">
        <x:v>ART 1:1</x:v>
      </x:c>
      <x:c r="I1005" s="79" t="str">
        <x:v>Non : preuve humaine requise</x:v>
      </x:c>
      <x:c r="J1005" s="79" t="str">
        <x:v>P1</x:v>
      </x:c>
      <x:c r="K1005" s="79" t="str">
        <x:v>https://www.avpgalaxy.net/merch/neca/predator/series/</x:v>
      </x:c>
      <x:c r="L1005" s="79" t="str">
        <x:v>Avancement technique indicatif 45 %</x:v>
      </x:c>
    </x:row>
    <x:row r="1006" ht="29" customHeight="1">
      <x:c r="A1006" s="79" t="str">
        <x:v>22_V136_Backlog</x:v>
      </x:c>
      <x:c r="B1006" s="79" t="n">
        <x:v>322</x:v>
      </x:c>
      <x:c r="C1006" s="79" t="str">
        <x:v>V136-dark-2010-06</x:v>
      </x:c>
      <x:c r="D1006" s="79" t="str">
        <x:v>dark-2010</x:v>
      </x:c>
      <x:c r="E1006" s="79" t="str">
        <x:v>Revue artistique et droits</x:v>
      </x:c>
      <x:c r="F1006" s="79" t="str">
        <x:v>OUVERT · revue humaine et autorisation IP nécessaires</x:v>
      </x:c>
      <x:c r="G1006" s="79" t="str">
        <x:v>Ne jamais certifier sans approbation manuelle</x:v>
      </x:c>
      <x:c r="H1006" s="79" t="str">
        <x:v>ART 1:1</x:v>
      </x:c>
      <x:c r="I1006" s="79" t="str">
        <x:v>Non : preuve humaine requise</x:v>
      </x:c>
      <x:c r="J1006" s="79" t="str">
        <x:v>P1</x:v>
      </x:c>
      <x:c r="K1006" s="79" t="str">
        <x:v>https://www.avpgalaxy.net/merch/neca/predator/series/</x:v>
      </x:c>
      <x:c r="L1006" s="79" t="str">
        <x:v>Avancement technique indicatif 0 %</x:v>
      </x:c>
    </x:row>
    <x:row r="1007" ht="29" customHeight="1">
      <x:c r="A1007" s="79" t="str">
        <x:v>22_V136_Backlog</x:v>
      </x:c>
      <x:c r="B1007" s="79" t="n">
        <x:v>323</x:v>
      </x:c>
      <x:c r="C1007" s="79" t="str">
        <x:v>V136-phg-captured-01</x:v>
      </x:c>
      <x:c r="D1007" s="79" t="str">
        <x:v>phg-captured</x:v>
      </x:c>
      <x:c r="E1007" s="79" t="str">
        <x:v>Plan face/dessus/profil</x:v>
      </x:c>
      <x:c r="F1007" s="79" t="str">
        <x:v>OUVERT · plusieurs vues source film/jeu non relevées</x:v>
      </x:c>
      <x:c r="G1007" s="79" t="str">
        <x:v>Photo, prop, capture jeu propre au gauntlet</x:v>
      </x:c>
      <x:c r="H1007" s="79" t="str">
        <x:v>ART 1:1</x:v>
      </x:c>
      <x:c r="I1007" s="79" t="str">
        <x:v>Non : preuve humaine requise</x:v>
      </x:c>
      <x:c r="J1007" s="79" t="str">
        <x:v>P1</x:v>
      </x:c>
      <x:c r="K1007" s="79" t="str">
        <x:v>https://predator.illfonic.com/</x:v>
      </x:c>
      <x:c r="L1007" s="79" t="str">
        <x:v>Avancement technique indicatif 0 %</x:v>
      </x:c>
    </x:row>
    <x:row r="1008" ht="29" customHeight="1">
      <x:c r="A1008" s="79" t="str">
        <x:v>22_V136_Backlog</x:v>
      </x:c>
      <x:c r="B1008" s="79" t="n">
        <x:v>324</x:v>
      </x:c>
      <x:c r="C1008" s="79" t="str">
        <x:v>V136-phg-captured-02</x:v>
      </x:c>
      <x:c r="D1008" s="79" t="str">
        <x:v>phg-captured</x:v>
      </x:c>
      <x:c r="E1008" s="79" t="str">
        <x:v>Proportions et silhouette</x:v>
      </x:c>
      <x:c r="F1008" s="79" t="str">
        <x:v>PARTIEL · silhouette SVG originale, proportions non mesurées</x:v>
      </x:c>
      <x:c r="G1008" s="79" t="str">
        <x:v>Contrôle alignement poignet et pièces</x:v>
      </x:c>
      <x:c r="H1008" s="79" t="str">
        <x:v>ART 1:1</x:v>
      </x:c>
      <x:c r="I1008" s="79" t="str">
        <x:v>Non : preuve humaine requise</x:v>
      </x:c>
      <x:c r="J1008" s="79" t="str">
        <x:v>P1</x:v>
      </x:c>
      <x:c r="K1008" s="79" t="str">
        <x:v>https://predator.illfonic.com/</x:v>
      </x:c>
      <x:c r="L1008" s="79" t="str">
        <x:v>Avancement technique indicatif 25 %</x:v>
      </x:c>
    </x:row>
    <x:row r="1009" ht="29" customHeight="1">
      <x:c r="A1009" s="79" t="str">
        <x:v>22_V136_Backlog</x:v>
      </x:c>
      <x:c r="B1009" s="79" t="n">
        <x:v>325</x:v>
      </x:c>
      <x:c r="C1009" s="79" t="str">
        <x:v>V136-phg-captured-03</x:v>
      </x:c>
      <x:c r="D1009" s="79" t="str">
        <x:v>phg-captured</x:v>
      </x:c>
      <x:c r="E1009" s="79" t="str">
        <x:v>Textures UV et matériaux</x:v>
      </x:c>
      <x:c r="F1009" s="79" t="str">
        <x:v>OUVERT · textures UV/PNG 1:1 et patine à produire</x:v>
      </x:c>
      <x:c r="G1009" s="79" t="str">
        <x:v>PNG indépendants aux bons détails et reflets</x:v>
      </x:c>
      <x:c r="H1009" s="79" t="str">
        <x:v>ART 1:1</x:v>
      </x:c>
      <x:c r="I1009" s="79" t="str">
        <x:v>Non : preuve humaine requise</x:v>
      </x:c>
      <x:c r="J1009" s="79" t="str">
        <x:v>P1</x:v>
      </x:c>
      <x:c r="K1009" s="79" t="str">
        <x:v>https://predator.illfonic.com/</x:v>
      </x:c>
      <x:c r="L1009" s="79" t="str">
        <x:v>Avancement technique indicatif 0 %</x:v>
      </x:c>
    </x:row>
    <x:row r="1010" ht="29" customHeight="1">
      <x:c r="A1010" s="79" t="str">
        <x:v>22_V136_Backlog</x:v>
      </x:c>
      <x:c r="B1010" s="79" t="n">
        <x:v>326</x:v>
      </x:c>
      <x:c r="C1010" s="79" t="str">
        <x:v>V136-phg-captured-04</x:v>
      </x:c>
      <x:c r="D1010" s="79" t="str">
        <x:v>phg-captured</x:v>
      </x:c>
      <x:c r="E1010" s="79" t="str">
        <x:v>Charnière et animations</x:v>
      </x:c>
      <x:c r="F1010" s="79" t="str">
        <x:v>PARTIEL · capot CSS ; 3 gestes / rig 1:1 manquants</x:v>
      </x:c>
      <x:c r="G1010" s="79" t="str">
        <x:v>Cohérence rig / armurerie / hologramme</x:v>
      </x:c>
      <x:c r="H1010" s="79" t="str">
        <x:v>ART 1:1</x:v>
      </x:c>
      <x:c r="I1010" s="79" t="str">
        <x:v>Non : preuve humaine requise</x:v>
      </x:c>
      <x:c r="J1010" s="79" t="str">
        <x:v>P1</x:v>
      </x:c>
      <x:c r="K1010" s="79" t="str">
        <x:v>https://predator.illfonic.com/</x:v>
      </x:c>
      <x:c r="L1010" s="79" t="str">
        <x:v>Avancement technique indicatif 25 %</x:v>
      </x:c>
    </x:row>
    <x:row r="1011" ht="29" customHeight="1">
      <x:c r="A1011" s="79" t="str">
        <x:v>22_V136_Backlog</x:v>
      </x:c>
      <x:c r="B1011" s="79" t="n">
        <x:v>327</x:v>
      </x:c>
      <x:c r="C1011" s="79" t="str">
        <x:v>V136-phg-captured-05</x:v>
      </x:c>
      <x:c r="D1011" s="79" t="str">
        <x:v>phg-captured</x:v>
      </x:c>
      <x:c r="E1011" s="79" t="str">
        <x:v>Rendu jeu et contrôle</x:v>
      </x:c>
      <x:c r="F1011" s="79" t="str">
        <x:v>PARTIEL · rendu React + QA autonome, jeu complet à tester</x:v>
      </x:c>
      <x:c r="G1011" s="79" t="str">
        <x:v>Comparaison toutes vues et modes</x:v>
      </x:c>
      <x:c r="H1011" s="79" t="str">
        <x:v>ART 1:1</x:v>
      </x:c>
      <x:c r="I1011" s="79" t="str">
        <x:v>Non : preuve humaine requise</x:v>
      </x:c>
      <x:c r="J1011" s="79" t="str">
        <x:v>P1</x:v>
      </x:c>
      <x:c r="K1011" s="79" t="str">
        <x:v>https://predator.illfonic.com/</x:v>
      </x:c>
      <x:c r="L1011" s="79" t="str">
        <x:v>Avancement technique indicatif 45 %</x:v>
      </x:c>
    </x:row>
    <x:row r="1012" ht="29" customHeight="1">
      <x:c r="A1012" s="79" t="str">
        <x:v>22_V136_Backlog</x:v>
      </x:c>
      <x:c r="B1012" s="79" t="n">
        <x:v>328</x:v>
      </x:c>
      <x:c r="C1012" s="79" t="str">
        <x:v>V136-phg-captured-06</x:v>
      </x:c>
      <x:c r="D1012" s="79" t="str">
        <x:v>phg-captured</x:v>
      </x:c>
      <x:c r="E1012" s="79" t="str">
        <x:v>Revue artistique et droits</x:v>
      </x:c>
      <x:c r="F1012" s="79" t="str">
        <x:v>OUVERT · revue humaine et autorisation IP nécessaires</x:v>
      </x:c>
      <x:c r="G1012" s="79" t="str">
        <x:v>Ne jamais certifier sans approbation manuelle</x:v>
      </x:c>
      <x:c r="H1012" s="79" t="str">
        <x:v>ART 1:1</x:v>
      </x:c>
      <x:c r="I1012" s="79" t="str">
        <x:v>Non : preuve humaine requise</x:v>
      </x:c>
      <x:c r="J1012" s="79" t="str">
        <x:v>P1</x:v>
      </x:c>
      <x:c r="K1012" s="79" t="str">
        <x:v>https://predator.illfonic.com/</x:v>
      </x:c>
      <x:c r="L1012" s="79" t="str">
        <x:v>Avancement technique indicatif 0 %</x:v>
      </x:c>
    </x:row>
    <x:row r="1013" ht="29" customHeight="1">
      <x:c r="A1013" s="79" t="str">
        <x:v>24_V136_QA</x:v>
      </x:c>
      <x:c r="B1013" s="79" t="n">
        <x:v>5</x:v>
      </x:c>
      <x:c r="C1013" s="79" t="str">
        <x:v>Q136-01</x:v>
      </x:c>
      <x:c r="D1013" s="79" t="str">
        <x:v>V136</x:v>
      </x:c>
      <x:c r="E1013" s="79" t="str">
        <x:v>Champs V13 de progression déclarés dans persistSocialProgress</x:v>
      </x:c>
      <x:c r="F1013" s="79" t="str">
        <x:v>Tests Node/CI ou source PASS ; conditions manuelles restantes</x:v>
      </x:c>
      <x:c r="G1013" s="79" t="str">
        <x:v>TS plein</x:v>
      </x:c>
      <x:c r="H1013" s="79" t="str">
        <x:v>QA V136</x:v>
      </x:c>
      <x:c r="I1013" s="79" t="str">
        <x:v>Selon test</x:v>
      </x:c>
      <x:c r="J1013" s="79" t="str">
        <x:v>P0</x:v>
      </x:c>
      <x:c r="K1013" s="79" t="str">
        <x:v>https://github.com/darknigthmare/yautja-la-longue-chasse/pull/42</x:v>
      </x:c>
      <x:c r="L1013" s="79" t="str">
        <x:v>Tests Node/CI ou source PASS ; conditions manuelles restantes</x:v>
      </x:c>
    </x:row>
    <x:row r="1014" ht="29" customHeight="1">
      <x:c r="A1014" s="79" t="str">
        <x:v>24_V136_QA</x:v>
      </x:c>
      <x:c r="B1014" s="79" t="n">
        <x:v>6</x:v>
      </x:c>
      <x:c r="C1014" s="79" t="str">
        <x:v>Q136-02</x:v>
      </x:c>
      <x:c r="D1014" s="79" t="str">
        <x:v>V136</x:v>
      </x:c>
      <x:c r="E1014" s="79" t="str">
        <x:v>Empreinte de réconciliation inclut gauntletV134</x:v>
      </x:c>
      <x:c r="F1014" s="79" t="str">
        <x:v>Tests Node/CI ou source PASS ; conditions manuelles restantes</x:v>
      </x:c>
      <x:c r="G1014" s="79" t="str">
        <x:v>TS source</x:v>
      </x:c>
      <x:c r="H1014" s="79" t="str">
        <x:v>QA V136</x:v>
      </x:c>
      <x:c r="I1014" s="79" t="str">
        <x:v>Selon test</x:v>
      </x:c>
      <x:c r="J1014" s="79" t="str">
        <x:v>P0</x:v>
      </x:c>
      <x:c r="K1014" s="79" t="str">
        <x:v>https://github.com/darknigthmare/yautja-la-longue-chasse/pull/42</x:v>
      </x:c>
      <x:c r="L1014" s="79" t="str">
        <x:v>Tests Node/CI ou source PASS ; conditions manuelles restantes</x:v>
      </x:c>
    </x:row>
    <x:row r="1015" ht="29" customHeight="1">
      <x:c r="A1015" s="79" t="str">
        <x:v>24_V136_QA</x:v>
      </x:c>
      <x:c r="B1015" s="79" t="n">
        <x:v>7</x:v>
      </x:c>
      <x:c r="C1015" s="79" t="str">
        <x:v>Q136-03</x:v>
      </x:c>
      <x:c r="D1015" s="79" t="str">
        <x:v>V136</x:v>
      </x:c>
      <x:c r="E1015" s="79" t="str">
        <x:v>Guard typé pour les 6 identifiants RTS légitimes</x:v>
      </x:c>
      <x:c r="F1015" s="79" t="str">
        <x:v>Tests Node/CI ou source PASS ; conditions manuelles restantes</x:v>
      </x:c>
      <x:c r="G1015" s="79" t="str">
        <x:v>TS plein</x:v>
      </x:c>
      <x:c r="H1015" s="79" t="str">
        <x:v>QA V136</x:v>
      </x:c>
      <x:c r="I1015" s="79" t="str">
        <x:v>Selon test</x:v>
      </x:c>
      <x:c r="J1015" s="79" t="str">
        <x:v>P0</x:v>
      </x:c>
      <x:c r="K1015" s="79" t="str">
        <x:v>https://github.com/darknigthmare/yautja-la-longue-chasse/pull/42</x:v>
      </x:c>
      <x:c r="L1015" s="79" t="str">
        <x:v>Tests Node/CI ou source PASS ; conditions manuelles restantes</x:v>
      </x:c>
    </x:row>
    <x:row r="1016" ht="29" customHeight="1">
      <x:c r="A1016" s="79" t="str">
        <x:v>24_V136_QA</x:v>
      </x:c>
      <x:c r="B1016" s="79" t="n">
        <x:v>8</x:v>
      </x:c>
      <x:c r="C1016" s="79" t="str">
        <x:v>Q136-04</x:v>
      </x:c>
      <x:c r="D1016" s="79" t="str">
        <x:v>V136</x:v>
      </x:c>
      <x:c r="E1016" s="79" t="str">
        <x:v>49 études individualisées / 196 sources</x:v>
      </x:c>
      <x:c r="F1016" s="79" t="str">
        <x:v>Tests Node/CI ou source PASS ; conditions manuelles restantes</x:v>
      </x:c>
      <x:c r="G1016" s="79" t="str">
        <x:v>node:test et audit</x:v>
      </x:c>
      <x:c r="H1016" s="79" t="str">
        <x:v>QA V136</x:v>
      </x:c>
      <x:c r="I1016" s="79" t="str">
        <x:v>Selon test</x:v>
      </x:c>
      <x:c r="J1016" s="79" t="str">
        <x:v>P0</x:v>
      </x:c>
      <x:c r="K1016" s="79" t="str">
        <x:v>https://github.com/darknigthmare/yautja-la-longue-chasse/pull/42</x:v>
      </x:c>
      <x:c r="L1016" s="79" t="str">
        <x:v>Tests Node/CI ou source PASS ; conditions manuelles restantes</x:v>
      </x:c>
    </x:row>
    <x:row r="1017" ht="29" customHeight="1">
      <x:c r="A1017" s="79" t="str">
        <x:v>24_V136_QA</x:v>
      </x:c>
      <x:c r="B1017" s="79" t="n">
        <x:v>9</x:v>
      </x:c>
      <x:c r="C1017" s="79" t="str">
        <x:v>Q136-05</x:v>
      </x:c>
      <x:c r="D1017" s="79" t="str">
        <x:v>V136</x:v>
      </x:c>
      <x:c r="E1017" s="79" t="str">
        <x:v>Rendu alpha PNG 49 × 4 + 49 composites</x:v>
      </x:c>
      <x:c r="F1017" s="79" t="str">
        <x:v>Tests Node/CI ou source PASS ; conditions manuelles restantes</x:v>
      </x:c>
      <x:c r="G1017" s="79" t="str">
        <x:v>sharp (GitHub CI)</x:v>
      </x:c>
      <x:c r="H1017" s="79" t="str">
        <x:v>QA V136</x:v>
      </x:c>
      <x:c r="I1017" s="79" t="str">
        <x:v>Selon test</x:v>
      </x:c>
      <x:c r="J1017" s="79" t="str">
        <x:v>P0</x:v>
      </x:c>
      <x:c r="K1017" s="79" t="str">
        <x:v>https://github.com/darknigthmare/yautja-la-longue-chasse/pull/42</x:v>
      </x:c>
      <x:c r="L1017" s="79" t="str">
        <x:v>Tests Node/CI ou source PASS ; conditions manuelles restantes</x:v>
      </x:c>
    </x:row>
    <x:row r="1018" ht="29" customHeight="1">
      <x:c r="A1018" s="79" t="str">
        <x:v>24_V136_QA</x:v>
      </x:c>
      <x:c r="B1018" s="79" t="n">
        <x:v>10</x:v>
      </x:c>
      <x:c r="C1018" s="79" t="str">
        <x:v>Q136-06</x:v>
      </x:c>
      <x:c r="D1018" s="79" t="str">
        <x:v>V136</x:v>
      </x:c>
      <x:c r="E1018" s="79" t="str">
        <x:v>219 calques sources au total, aucun doublon</x:v>
      </x:c>
      <x:c r="F1018" s="79" t="str">
        <x:v>Tests Node/CI ou source PASS ; conditions manuelles restantes</x:v>
      </x:c>
      <x:c r="G1018" s="79" t="str">
        <x:v>audit source</x:v>
      </x:c>
      <x:c r="H1018" s="79" t="str">
        <x:v>QA V136</x:v>
      </x:c>
      <x:c r="I1018" s="79" t="str">
        <x:v>Selon test</x:v>
      </x:c>
      <x:c r="J1018" s="79" t="str">
        <x:v>P0</x:v>
      </x:c>
      <x:c r="K1018" s="79" t="str">
        <x:v>https://github.com/darknigthmare/yautja-la-longue-chasse/pull/42</x:v>
      </x:c>
      <x:c r="L1018" s="79" t="str">
        <x:v>Tests Node/CI ou source PASS ; conditions manuelles restantes</x:v>
      </x:c>
    </x:row>
    <x:row r="1019" ht="29" customHeight="1">
      <x:c r="A1019" s="79" t="str">
        <x:v>24_V136_QA</x:v>
      </x:c>
      <x:c r="B1019" s="79" t="n">
        <x:v>11</x:v>
      </x:c>
      <x:c r="C1019" s="79" t="str">
        <x:v>Q136-07</x:v>
      </x:c>
      <x:c r="D1019" s="79" t="str">
        <x:v>V136</x:v>
      </x:c>
      <x:c r="E1019" s="79" t="str">
        <x:v>Chaque étude affiche son nom et son statut non canonique</x:v>
      </x:c>
      <x:c r="F1019" s="79" t="str">
        <x:v>PARTIEL : navigateur QA autonome, jeu complet non vérifié</x:v>
      </x:c>
      <x:c r="G1019" s="79" t="str">
        <x:v>React source</x:v>
      </x:c>
      <x:c r="H1019" s="79" t="str">
        <x:v>QA V136</x:v>
      </x:c>
      <x:c r="I1019" s="79" t="str">
        <x:v>Selon test</x:v>
      </x:c>
      <x:c r="J1019" s="79" t="str">
        <x:v>P0</x:v>
      </x:c>
      <x:c r="K1019" s="79" t="str">
        <x:v>https://github.com/darknigthmare/yautja-la-longue-chasse/pull/42</x:v>
      </x:c>
      <x:c r="L1019" s="79" t="str">
        <x:v>PARTIEL : navigateur QA autonome, jeu complet non vérifié</x:v>
      </x:c>
    </x:row>
    <x:row r="1020" ht="29" customHeight="1">
      <x:c r="A1020" s="79" t="str">
        <x:v>24_V136_QA</x:v>
      </x:c>
      <x:c r="B1020" s="79" t="n">
        <x:v>12</x:v>
      </x:c>
      <x:c r="C1020" s="79" t="str">
        <x:v>Q136-08</x:v>
      </x:c>
      <x:c r="D1020" s="79" t="str">
        <x:v>V136</x:v>
      </x:c>
      <x:c r="E1020" s="79" t="str">
        <x:v>Toutes les 54 identités en armurerie</x:v>
      </x:c>
      <x:c r="F1020" s="79" t="str">
        <x:v>PARTIEL : navigateur QA autonome, jeu complet non vérifié</x:v>
      </x:c>
      <x:c r="G1020" s="79" t="str">
        <x:v>React source</x:v>
      </x:c>
      <x:c r="H1020" s="79" t="str">
        <x:v>QA V136</x:v>
      </x:c>
      <x:c r="I1020" s="79" t="str">
        <x:v>Selon test</x:v>
      </x:c>
      <x:c r="J1020" s="79" t="str">
        <x:v>P0</x:v>
      </x:c>
      <x:c r="K1020" s="79" t="str">
        <x:v>https://github.com/darknigthmare/yautja-la-longue-chasse/pull/42</x:v>
      </x:c>
      <x:c r="L1020" s="79" t="str">
        <x:v>PARTIEL : navigateur QA autonome, jeu complet non vérifié</x:v>
      </x:c>
    </x:row>
    <x:row r="1021" ht="29" customHeight="1">
      <x:c r="A1021" s="79" t="str">
        <x:v>24_V136_QA</x:v>
      </x:c>
      <x:c r="B1021" s="79" t="n">
        <x:v>13</x:v>
      </x:c>
      <x:c r="C1021" s="79" t="str">
        <x:v>Q136-09</x:v>
      </x:c>
      <x:c r="D1021" s="79" t="str">
        <x:v>V136</x:v>
      </x:c>
      <x:c r="E1021" s="79" t="str">
        <x:v>Vue holographique partage toujours le seul atlas</x:v>
      </x:c>
      <x:c r="F1021" s="79" t="str">
        <x:v>Tests Node/CI ou source PASS ; conditions manuelles restantes</x:v>
      </x:c>
      <x:c r="G1021" s="79" t="str">
        <x:v>node:test</x:v>
      </x:c>
      <x:c r="H1021" s="79" t="str">
        <x:v>QA V136</x:v>
      </x:c>
      <x:c r="I1021" s="79" t="str">
        <x:v>Selon test</x:v>
      </x:c>
      <x:c r="J1021" s="79" t="str">
        <x:v>P0</x:v>
      </x:c>
      <x:c r="K1021" s="79" t="str">
        <x:v>https://github.com/darknigthmare/yautja-la-longue-chasse/pull/42</x:v>
      </x:c>
      <x:c r="L1021" s="79" t="str">
        <x:v>Tests Node/CI ou source PASS ; conditions manuelles restantes</x:v>
      </x:c>
    </x:row>
    <x:row r="1022" ht="29" customHeight="1">
      <x:c r="A1022" s="79" t="str">
        <x:v>24_V136_QA</x:v>
      </x:c>
      <x:c r="B1022" s="79" t="n">
        <x:v>14</x:v>
      </x:c>
      <x:c r="C1022" s="79" t="str">
        <x:v>Q136-10</x:v>
      </x:c>
      <x:c r="D1022" s="79" t="str">
        <x:v>V136</x:v>
      </x:c>
      <x:c r="E1022" s="79" t="str">
        <x:v>Retour à la vue classique garde caméra et ordres</x:v>
      </x:c>
      <x:c r="F1022" s="79" t="str">
        <x:v>OUVERT : preuve artistique / utilisateur / juridique absente</x:v>
      </x:c>
      <x:c r="G1022" s="79" t="str">
        <x:v>E2E navigateur</x:v>
      </x:c>
      <x:c r="H1022" s="79" t="str">
        <x:v>QA V136</x:v>
      </x:c>
      <x:c r="I1022" s="79" t="str">
        <x:v>Selon test</x:v>
      </x:c>
      <x:c r="J1022" s="79" t="str">
        <x:v>P0</x:v>
      </x:c>
      <x:c r="K1022" s="79" t="str">
        <x:v>https://github.com/darknigthmare/yautja-la-longue-chasse/pull/42</x:v>
      </x:c>
      <x:c r="L1022" s="79" t="str">
        <x:v>OUVERT : preuve artistique / utilisateur / juridique absente</x:v>
      </x:c>
    </x:row>
    <x:row r="1023" ht="29" customHeight="1">
      <x:c r="A1023" s="79" t="str">
        <x:v>24_V136_QA</x:v>
      </x:c>
      <x:c r="B1023" s="79" t="n">
        <x:v>15</x:v>
      </x:c>
      <x:c r="C1023" s="79" t="str">
        <x:v>Q136-11</x:v>
      </x:c>
      <x:c r="D1023" s="79" t="str">
        <x:v>V136</x:v>
      </x:c>
      <x:c r="E1023" s="79" t="str">
        <x:v>Un ancien V12 s'importe en V13 sans perte</x:v>
      </x:c>
      <x:c r="F1023" s="79" t="str">
        <x:v>Tests Node/CI ou source PASS ; conditions manuelles restantes</x:v>
      </x:c>
      <x:c r="G1023" s="79" t="str">
        <x:v>Save Import E2E</x:v>
      </x:c>
      <x:c r="H1023" s="79" t="str">
        <x:v>QA V136</x:v>
      </x:c>
      <x:c r="I1023" s="79" t="str">
        <x:v>Selon test</x:v>
      </x:c>
      <x:c r="J1023" s="79" t="str">
        <x:v>P0</x:v>
      </x:c>
      <x:c r="K1023" s="79" t="str">
        <x:v>https://github.com/darknigthmare/yautja-la-longue-chasse/pull/42</x:v>
      </x:c>
      <x:c r="L1023" s="79" t="str">
        <x:v>Tests Node/CI ou source PASS ; conditions manuelles restantes</x:v>
      </x:c>
    </x:row>
    <x:row r="1024" ht="29" customHeight="1">
      <x:c r="A1024" s="79" t="str">
        <x:v>24_V136_QA</x:v>
      </x:c>
      <x:c r="B1024" s="79" t="n">
        <x:v>16</x:v>
      </x:c>
      <x:c r="C1024" s="79" t="str">
        <x:v>Q136-12</x:v>
      </x:c>
      <x:c r="D1024" s="79" t="str">
        <x:v>V136</x:v>
      </x:c>
      <x:c r="E1024" s="79" t="str">
        <x:v>L'export V13 transporte la sélection de gauntlet</x:v>
      </x:c>
      <x:c r="F1024" s="79" t="str">
        <x:v>Tests Node/CI ou source PASS ; conditions manuelles restantes</x:v>
      </x:c>
      <x:c r="G1024" s="79" t="str">
        <x:v>Save Import E2E</x:v>
      </x:c>
      <x:c r="H1024" s="79" t="str">
        <x:v>QA V136</x:v>
      </x:c>
      <x:c r="I1024" s="79" t="str">
        <x:v>Selon test</x:v>
      </x:c>
      <x:c r="J1024" s="79" t="str">
        <x:v>P0</x:v>
      </x:c>
      <x:c r="K1024" s="79" t="str">
        <x:v>https://github.com/darknigthmare/yautja-la-longue-chasse/pull/42</x:v>
      </x:c>
      <x:c r="L1024" s="79" t="str">
        <x:v>Tests Node/CI ou source PASS ; conditions manuelles restantes</x:v>
      </x:c>
    </x:row>
    <x:row r="1025" ht="29" customHeight="1">
      <x:c r="A1025" s="79" t="str">
        <x:v>24_V136_QA</x:v>
      </x:c>
      <x:c r="B1025" s="79" t="n">
        <x:v>17</x:v>
      </x:c>
      <x:c r="C1025" s="79" t="str">
        <x:v>Q136-13</x:v>
      </x:c>
      <x:c r="D1025" s="79" t="str">
        <x:v>V136</x:v>
      </x:c>
      <x:c r="E1025" s="79" t="str">
        <x:v>Changement de profil ne mélange pas les équipements</x:v>
      </x:c>
      <x:c r="F1025" s="79" t="str">
        <x:v>Tests Node/CI ou source PASS ; conditions manuelles restantes</x:v>
      </x:c>
      <x:c r="G1025" s="79" t="str">
        <x:v>E2E multi-profils</x:v>
      </x:c>
      <x:c r="H1025" s="79" t="str">
        <x:v>QA V136</x:v>
      </x:c>
      <x:c r="I1025" s="79" t="str">
        <x:v>Selon test</x:v>
      </x:c>
      <x:c r="J1025" s="79" t="str">
        <x:v>P0</x:v>
      </x:c>
      <x:c r="K1025" s="79" t="str">
        <x:v>https://github.com/darknigthmare/yautja-la-longue-chasse/pull/42</x:v>
      </x:c>
      <x:c r="L1025" s="79" t="str">
        <x:v>Tests Node/CI ou source PASS ; conditions manuelles restantes</x:v>
      </x:c>
    </x:row>
    <x:row r="1026" ht="29" customHeight="1">
      <x:c r="A1026" s="79" t="str">
        <x:v>24_V136_QA</x:v>
      </x:c>
      <x:c r="B1026" s="79" t="n">
        <x:v>18</x:v>
      </x:c>
      <x:c r="C1026" s="79" t="str">
        <x:v>Q136-14</x:v>
      </x:c>
      <x:c r="D1026" s="79" t="str">
        <x:v>V136</x:v>
      </x:c>
      <x:c r="E1026" s="79" t="str">
        <x:v>Deux onglets : pas d'écrasement de reçu de quête</x:v>
      </x:c>
      <x:c r="F1026" s="79" t="str">
        <x:v>OUVERT : preuve artistique / utilisateur / juridique absente</x:v>
      </x:c>
      <x:c r="G1026" s="79" t="str">
        <x:v>E2E multi-onglets</x:v>
      </x:c>
      <x:c r="H1026" s="79" t="str">
        <x:v>QA V136</x:v>
      </x:c>
      <x:c r="I1026" s="79" t="str">
        <x:v>Selon test</x:v>
      </x:c>
      <x:c r="J1026" s="79" t="str">
        <x:v>P0</x:v>
      </x:c>
      <x:c r="K1026" s="79" t="str">
        <x:v>https://github.com/darknigthmare/yautja-la-longue-chasse/pull/42</x:v>
      </x:c>
      <x:c r="L1026" s="79" t="str">
        <x:v>OUVERT : preuve artistique / utilisateur / juridique absente</x:v>
      </x:c>
    </x:row>
    <x:row r="1027" ht="29" customHeight="1">
      <x:c r="A1027" s="79" t="str">
        <x:v>24_V136_QA</x:v>
      </x:c>
      <x:c r="B1027" s="79" t="n">
        <x:v>19</x:v>
      </x:c>
      <x:c r="C1027" s="79" t="str">
        <x:v>Q136-15</x:v>
      </x:c>
      <x:c r="D1027" s="79" t="str">
        <x:v>V136</x:v>
      </x:c>
      <x:c r="E1027" s="79" t="str">
        <x:v>Transaction échouée ne crédite pas un déblocage</x:v>
      </x:c>
      <x:c r="F1027" s="79" t="str">
        <x:v>Tests Node/CI ou source PASS ; conditions manuelles restantes</x:v>
      </x:c>
      <x:c r="G1027" s="79" t="str">
        <x:v>E2E stockage refusé</x:v>
      </x:c>
      <x:c r="H1027" s="79" t="str">
        <x:v>QA V136</x:v>
      </x:c>
      <x:c r="I1027" s="79" t="str">
        <x:v>Selon test</x:v>
      </x:c>
      <x:c r="J1027" s="79" t="str">
        <x:v>P0</x:v>
      </x:c>
      <x:c r="K1027" s="79" t="str">
        <x:v>https://github.com/darknigthmare/yautja-la-longue-chasse/pull/42</x:v>
      </x:c>
      <x:c r="L1027" s="79" t="str">
        <x:v>Tests Node/CI ou source PASS ; conditions manuelles restantes</x:v>
      </x:c>
    </x:row>
    <x:row r="1028" ht="29" customHeight="1">
      <x:c r="A1028" s="79" t="str">
        <x:v>24_V136_QA</x:v>
      </x:c>
      <x:c r="B1028" s="79" t="n">
        <x:v>20</x:v>
      </x:c>
      <x:c r="C1028" s="79" t="str">
        <x:v>Q136-16</x:v>
      </x:c>
      <x:c r="D1028" s="79" t="str">
        <x:v>V136</x:v>
      </x:c>
      <x:c r="E1028" s="79" t="str">
        <x:v>44 études : missions et trophées réellement contrôlés</x:v>
      </x:c>
      <x:c r="F1028" s="79" t="str">
        <x:v>Tests Node/CI ou source PASS ; conditions manuelles restantes</x:v>
      </x:c>
      <x:c r="G1028" s="79" t="str">
        <x:v>node:test V134</x:v>
      </x:c>
      <x:c r="H1028" s="79" t="str">
        <x:v>QA V136</x:v>
      </x:c>
      <x:c r="I1028" s="79" t="str">
        <x:v>Selon test</x:v>
      </x:c>
      <x:c r="J1028" s="79" t="str">
        <x:v>P0</x:v>
      </x:c>
      <x:c r="K1028" s="79" t="str">
        <x:v>https://github.com/darknigthmare/yautja-la-longue-chasse/pull/42</x:v>
      </x:c>
      <x:c r="L1028" s="79" t="str">
        <x:v>Tests Node/CI ou source PASS ; conditions manuelles restantes</x:v>
      </x:c>
    </x:row>
    <x:row r="1029" ht="29" customHeight="1">
      <x:c r="A1029" s="79" t="str">
        <x:v>24_V136_QA</x:v>
      </x:c>
      <x:c r="B1029" s="79" t="n">
        <x:v>21</x:v>
      </x:c>
      <x:c r="C1029" s="79" t="str">
        <x:v>Q136-17</x:v>
      </x:c>
      <x:c r="D1029" s="79" t="str">
        <x:v>V136</x:v>
      </x:c>
      <x:c r="E1029" s="79" t="str">
        <x:v>Études d'archives n'altèrent pas les ressources de guerre</x:v>
      </x:c>
      <x:c r="F1029" s="79" t="str">
        <x:v>OUVERT : preuve artistique / utilisateur / juridique absente</x:v>
      </x:c>
      <x:c r="G1029" s="79" t="str">
        <x:v>Test domaine V85/V115</x:v>
      </x:c>
      <x:c r="H1029" s="79" t="str">
        <x:v>QA V136</x:v>
      </x:c>
      <x:c r="I1029" s="79" t="str">
        <x:v>Selon test</x:v>
      </x:c>
      <x:c r="J1029" s="79" t="str">
        <x:v>P0</x:v>
      </x:c>
      <x:c r="K1029" s="79" t="str">
        <x:v>https://github.com/darknigthmare/yautja-la-longue-chasse/pull/42</x:v>
      </x:c>
      <x:c r="L1029" s="79" t="str">
        <x:v>OUVERT : preuve artistique / utilisateur / juridique absente</x:v>
      </x:c>
    </x:row>
    <x:row r="1030" ht="29" customHeight="1">
      <x:c r="A1030" s="79" t="str">
        <x:v>24_V136_QA</x:v>
      </x:c>
      <x:c r="B1030" s="79" t="n">
        <x:v>22</x:v>
      </x:c>
      <x:c r="C1030" s="79" t="str">
        <x:v>Q136-18</x:v>
      </x:c>
      <x:c r="D1030" s="79" t="str">
        <x:v>V136</x:v>
      </x:c>
      <x:c r="E1030" s="79" t="str">
        <x:v>Wolf gauche / droite conforme au prop original</x:v>
      </x:c>
      <x:c r="F1030" s="79" t="str">
        <x:v>OUVERT : preuve artistique / utilisateur / juridique absente</x:v>
      </x:c>
      <x:c r="G1030" s="79" t="str">
        <x:v>Propstore / film</x:v>
      </x:c>
      <x:c r="H1030" s="79" t="str">
        <x:v>QA V136</x:v>
      </x:c>
      <x:c r="I1030" s="79" t="str">
        <x:v>Selon test</x:v>
      </x:c>
      <x:c r="J1030" s="79" t="str">
        <x:v>P0</x:v>
      </x:c>
      <x:c r="K1030" s="79" t="str">
        <x:v>https://github.com/darknigthmare/yautja-la-longue-chasse/pull/42</x:v>
      </x:c>
      <x:c r="L1030" s="79" t="str">
        <x:v>OUVERT : preuve artistique / utilisateur / juridique absente</x:v>
      </x:c>
    </x:row>
    <x:row r="1031" ht="29" customHeight="1">
      <x:c r="A1031" s="79" t="str">
        <x:v>24_V136_QA</x:v>
      </x:c>
      <x:c r="B1031" s="79" t="n">
        <x:v>23</x:v>
      </x:c>
      <x:c r="C1031" s="79" t="str">
        <x:v>Q136-19</x:v>
      </x:c>
      <x:c r="D1031" s="79" t="str">
        <x:v>V136</x:v>
      </x:c>
      <x:c r="E1031" s="79" t="str">
        <x:v>City Hunter finition cuivrée, gauntlet gauche</x:v>
      </x:c>
      <x:c r="F1031" s="79" t="str">
        <x:v>OUVERT : preuve artistique / utilisateur / juridique absente</x:v>
      </x:c>
      <x:c r="G1031" s="79" t="str">
        <x:v>Propstore / film</x:v>
      </x:c>
      <x:c r="H1031" s="79" t="str">
        <x:v>QA V136</x:v>
      </x:c>
      <x:c r="I1031" s="79" t="str">
        <x:v>Selon test</x:v>
      </x:c>
      <x:c r="J1031" s="79" t="str">
        <x:v>P0</x:v>
      </x:c>
      <x:c r="K1031" s="79" t="str">
        <x:v>https://github.com/darknigthmare/yautja-la-longue-chasse/pull/42</x:v>
      </x:c>
      <x:c r="L1031" s="79" t="str">
        <x:v>OUVERT : preuve artistique / utilisateur / juridique absente</x:v>
      </x:c>
    </x:row>
    <x:row r="1032" ht="29" customHeight="1">
      <x:c r="A1032" s="79" t="str">
        <x:v>24_V136_QA</x:v>
      </x:c>
      <x:c r="B1032" s="79" t="n">
        <x:v>24</x:v>
      </x:c>
      <x:c r="C1032" s="79" t="str">
        <x:v>Q136-20</x:v>
      </x:c>
      <x:c r="D1032" s="79" t="str">
        <x:v>V136</x:v>
      </x:c>
      <x:c r="E1032" s="79" t="str">
        <x:v>Feral / Dek sans faux détails canonisés</x:v>
      </x:c>
      <x:c r="F1032" s="79" t="str">
        <x:v>OUVERT : preuve artistique / utilisateur / juridique absente</x:v>
      </x:c>
      <x:c r="G1032" s="79" t="str">
        <x:v>Revue ciné</x:v>
      </x:c>
      <x:c r="H1032" s="79" t="str">
        <x:v>QA V136</x:v>
      </x:c>
      <x:c r="I1032" s="79" t="str">
        <x:v>Selon test</x:v>
      </x:c>
      <x:c r="J1032" s="79" t="str">
        <x:v>P0</x:v>
      </x:c>
      <x:c r="K1032" s="79" t="str">
        <x:v>https://github.com/darknigthmare/yautja-la-longue-chasse/pull/42</x:v>
      </x:c>
      <x:c r="L1032" s="79" t="str">
        <x:v>OUVERT : preuve artistique / utilisateur / juridique absente</x:v>
      </x:c>
    </x:row>
    <x:row r="1033" ht="29" customHeight="1">
      <x:c r="A1033" s="79" t="str">
        <x:v>24_V136_QA</x:v>
      </x:c>
      <x:c r="B1033" s="79" t="n">
        <x:v>25</x:v>
      </x:c>
      <x:c r="C1033" s="79" t="str">
        <x:v>Q136-21</x:v>
      </x:c>
      <x:c r="D1033" s="79" t="str">
        <x:v>V136</x:v>
      </x:c>
      <x:c r="E1033" s="79" t="str">
        <x:v>Tous les capots à l'état ouvert et fermé</x:v>
      </x:c>
      <x:c r="F1033" s="79" t="str">
        <x:v>PARTIEL : navigateur QA autonome, jeu complet non vérifié</x:v>
      </x:c>
      <x:c r="G1033" s="79" t="str">
        <x:v>Playwright / navigateur</x:v>
      </x:c>
      <x:c r="H1033" s="79" t="str">
        <x:v>QA V136</x:v>
      </x:c>
      <x:c r="I1033" s="79" t="str">
        <x:v>Selon test</x:v>
      </x:c>
      <x:c r="J1033" s="79" t="str">
        <x:v>P0</x:v>
      </x:c>
      <x:c r="K1033" s="79" t="str">
        <x:v>https://github.com/darknigthmare/yautja-la-longue-chasse/pull/42</x:v>
      </x:c>
      <x:c r="L1033" s="79" t="str">
        <x:v>PARTIEL : navigateur QA autonome, jeu complet non vérifié</x:v>
      </x:c>
    </x:row>
    <x:row r="1034" ht="29" customHeight="1">
      <x:c r="A1034" s="79" t="str">
        <x:v>24_V136_QA</x:v>
      </x:c>
      <x:c r="B1034" s="79" t="n">
        <x:v>26</x:v>
      </x:c>
      <x:c r="C1034" s="79" t="str">
        <x:v>Q136-22</x:v>
      </x:c>
      <x:c r="D1034" s="79" t="str">
        <x:v>V136</x:v>
      </x:c>
      <x:c r="E1034" s="79" t="str">
        <x:v>Réduction de mouvement / contraste</x:v>
      </x:c>
      <x:c r="F1034" s="79" t="str">
        <x:v>PARTIEL : navigateur QA autonome, jeu complet non vérifié</x:v>
      </x:c>
      <x:c r="G1034" s="79" t="str">
        <x:v>Audit accès</x:v>
      </x:c>
      <x:c r="H1034" s="79" t="str">
        <x:v>QA V136</x:v>
      </x:c>
      <x:c r="I1034" s="79" t="str">
        <x:v>Selon test</x:v>
      </x:c>
      <x:c r="J1034" s="79" t="str">
        <x:v>P1</x:v>
      </x:c>
      <x:c r="K1034" s="79" t="str">
        <x:v>https://github.com/darknigthmare/yautja-la-longue-chasse/pull/42</x:v>
      </x:c>
      <x:c r="L1034" s="79" t="str">
        <x:v>PARTIEL : navigateur QA autonome, jeu complet non vérifié</x:v>
      </x:c>
    </x:row>
    <x:row r="1035" ht="29" customHeight="1">
      <x:c r="A1035" s="79" t="str">
        <x:v>24_V136_QA</x:v>
      </x:c>
      <x:c r="B1035" s="79" t="n">
        <x:v>27</x:v>
      </x:c>
      <x:c r="C1035" s="79" t="str">
        <x:v>Q136-23</x:v>
      </x:c>
      <x:c r="D1035" s="79" t="str">
        <x:v>V136</x:v>
      </x:c>
      <x:c r="E1035" s="79" t="str">
        <x:v>Navigateur tactile / clavier / manette</x:v>
      </x:c>
      <x:c r="F1035" s="79" t="str">
        <x:v>PARTIEL : navigateur QA autonome, jeu complet non vérifié</x:v>
      </x:c>
      <x:c r="G1035" s="79" t="str">
        <x:v>Tests multi-devices</x:v>
      </x:c>
      <x:c r="H1035" s="79" t="str">
        <x:v>QA V136</x:v>
      </x:c>
      <x:c r="I1035" s="79" t="str">
        <x:v>Selon test</x:v>
      </x:c>
      <x:c r="J1035" s="79" t="str">
        <x:v>P1</x:v>
      </x:c>
      <x:c r="K1035" s="79" t="str">
        <x:v>https://github.com/darknigthmare/yautja-la-longue-chasse/pull/42</x:v>
      </x:c>
      <x:c r="L1035" s="79" t="str">
        <x:v>PARTIEL : navigateur QA autonome, jeu complet non vérifié</x:v>
      </x:c>
    </x:row>
    <x:row r="1036" ht="29" customHeight="1">
      <x:c r="A1036" s="79" t="str">
        <x:v>24_V136_QA</x:v>
      </x:c>
      <x:c r="B1036" s="79" t="n">
        <x:v>28</x:v>
      </x:c>
      <x:c r="C1036" s="79" t="str">
        <x:v>Q136-24</x:v>
      </x:c>
      <x:c r="D1036" s="79" t="str">
        <x:v>V136</x:v>
      </x:c>
      <x:c r="E1036" s="79" t="str">
        <x:v>Performances menu 54 modèles et changement rapide</x:v>
      </x:c>
      <x:c r="F1036" s="79" t="str">
        <x:v>OUVERT : preuve artistique / utilisateur / juridique absente</x:v>
      </x:c>
      <x:c r="G1036" s="79" t="str">
        <x:v>Mesure en production</x:v>
      </x:c>
      <x:c r="H1036" s="79" t="str">
        <x:v>QA V136</x:v>
      </x:c>
      <x:c r="I1036" s="79" t="str">
        <x:v>Selon test</x:v>
      </x:c>
      <x:c r="J1036" s="79" t="str">
        <x:v>P1</x:v>
      </x:c>
      <x:c r="K1036" s="79" t="str">
        <x:v>https://github.com/darknigthmare/yautja-la-longue-chasse/pull/42</x:v>
      </x:c>
      <x:c r="L1036" s="79" t="str">
        <x:v>OUVERT : preuve artistique / utilisateur / juridique absente</x:v>
      </x:c>
    </x:row>
    <x:row r="1037" ht="29" customHeight="1">
      <x:c r="A1037" s="79" t="str">
        <x:v>24_V136_QA</x:v>
      </x:c>
      <x:c r="B1037" s="79" t="n">
        <x:v>29</x:v>
      </x:c>
      <x:c r="C1037" s="79" t="str">
        <x:v>Q136-25</x:v>
      </x:c>
      <x:c r="D1037" s="79" t="str">
        <x:v>V136</x:v>
      </x:c>
      <x:c r="E1037" s="79" t="str">
        <x:v>Audio et mute à travers les dix profils</x:v>
      </x:c>
      <x:c r="F1037" s="79" t="str">
        <x:v>OUVERT : preuve artistique / utilisateur / juridique absente</x:v>
      </x:c>
      <x:c r="G1037" s="79" t="str">
        <x:v>Audio lifecycle</x:v>
      </x:c>
      <x:c r="H1037" s="79" t="str">
        <x:v>QA V136</x:v>
      </x:c>
      <x:c r="I1037" s="79" t="str">
        <x:v>Selon test</x:v>
      </x:c>
      <x:c r="J1037" s="79" t="str">
        <x:v>P1</x:v>
      </x:c>
      <x:c r="K1037" s="79" t="str">
        <x:v>https://github.com/darknigthmare/yautja-la-longue-chasse/pull/42</x:v>
      </x:c>
      <x:c r="L1037" s="79" t="str">
        <x:v>OUVERT : preuve artistique / utilisateur / juridique absente</x:v>
      </x:c>
    </x:row>
    <x:row r="1038" ht="29" customHeight="1">
      <x:c r="A1038" s="79" t="str">
        <x:v>24_V136_QA</x:v>
      </x:c>
      <x:c r="B1038" s="79" t="n">
        <x:v>30</x:v>
      </x:c>
      <x:c r="C1038" s="79" t="str">
        <x:v>Q136-26</x:v>
      </x:c>
      <x:c r="D1038" s="79" t="str">
        <x:v>V136</x:v>
      </x:c>
      <x:c r="E1038" s="79" t="str">
        <x:v>Certifications graphiques individuelles en photos</x:v>
      </x:c>
      <x:c r="F1038" s="79" t="str">
        <x:v>OUVERT : preuve artistique / utilisateur / juridique absente</x:v>
      </x:c>
      <x:c r="G1038" s="79" t="str">
        <x:v>Revue humaine</x:v>
      </x:c>
      <x:c r="H1038" s="79" t="str">
        <x:v>QA V136</x:v>
      </x:c>
      <x:c r="I1038" s="79" t="str">
        <x:v>Selon test</x:v>
      </x:c>
      <x:c r="J1038" s="79" t="str">
        <x:v>P0</x:v>
      </x:c>
      <x:c r="K1038" s="79" t="str">
        <x:v>https://github.com/darknigthmare/yautja-la-longue-chasse/pull/42</x:v>
      </x:c>
      <x:c r="L1038" s="79" t="str">
        <x:v>OUVERT : preuve artistique / utilisateur / juridique absente</x:v>
      </x:c>
    </x:row>
    <x:row r="1039" ht="29" customHeight="1">
      <x:c r="A1039" s="79" t="str">
        <x:v>24_V136_QA</x:v>
      </x:c>
      <x:c r="B1039" s="79" t="n">
        <x:v>31</x:v>
      </x:c>
      <x:c r="C1039" s="79" t="str">
        <x:v>Q136-27</x:v>
      </x:c>
      <x:c r="D1039" s="79" t="str">
        <x:v>V136</x:v>
      </x:c>
      <x:c r="E1039" s="79" t="str">
        <x:v>Contrôle des droits commerciaux sur Predator/AVP</x:v>
      </x:c>
      <x:c r="F1039" s="79" t="str">
        <x:v>OUVERT : preuve artistique / utilisateur / juridique absente</x:v>
      </x:c>
      <x:c r="G1039" s="79" t="str">
        <x:v>Revue juridique</x:v>
      </x:c>
      <x:c r="H1039" s="79" t="str">
        <x:v>QA V136</x:v>
      </x:c>
      <x:c r="I1039" s="79" t="str">
        <x:v>Selon test</x:v>
      </x:c>
      <x:c r="J1039" s="79" t="str">
        <x:v>P0</x:v>
      </x:c>
      <x:c r="K1039" s="79" t="str">
        <x:v>https://github.com/darknigthmare/yautja-la-longue-chasse/pull/42</x:v>
      </x:c>
      <x:c r="L1039" s="79" t="str">
        <x:v>OUVERT : preuve artistique / utilisateur / juridique absente</x:v>
      </x:c>
    </x:row>
    <x:row r="1040" ht="29" customHeight="1">
      <x:c r="A1040" s="79" t="str">
        <x:v>24_V136_QA</x:v>
      </x:c>
      <x:c r="B1040" s="79" t="n">
        <x:v>32</x:v>
      </x:c>
      <x:c r="C1040" s="79" t="str">
        <x:v>Q136-28</x:v>
      </x:c>
      <x:c r="D1040" s="79" t="str">
        <x:v>V136</x:v>
      </x:c>
      <x:c r="E1040" s="79" t="str">
        <x:v>Build complet avant merge</x:v>
      </x:c>
      <x:c r="F1040" s="79" t="str">
        <x:v>Tests Node/CI ou source PASS ; conditions manuelles restantes</x:v>
      </x:c>
      <x:c r="G1040" s="79" t="str">
        <x:v>GitHub workflow</x:v>
      </x:c>
      <x:c r="H1040" s="79" t="str">
        <x:v>QA V136</x:v>
      </x:c>
      <x:c r="I1040" s="79" t="str">
        <x:v>Selon test</x:v>
      </x:c>
      <x:c r="J1040" s="79" t="str">
        <x:v>P0</x:v>
      </x:c>
      <x:c r="K1040" s="79" t="str">
        <x:v>https://github.com/darknigthmare/yautja-la-longue-chasse/pull/42</x:v>
      </x:c>
      <x:c r="L1040" s="79" t="str">
        <x:v>Tests Node/CI ou source PASS ; conditions manuelles restantes</x:v>
      </x:c>
    </x:row>
    <x:row r="1041" ht="29" customHeight="1">
      <x:c r="A1041" s="79" t="str">
        <x:v>04_Jungle_1pour1</x:v>
      </x:c>
      <x:c r="B1041" s="79" t="n">
        <x:v>5</x:v>
      </x:c>
      <x:c r="C1041" s="79" t="str">
        <x:v>JH-01</x:v>
      </x:c>
      <x:c r="D1041" s="79" t="str">
        <x:v>jungle-hunter</x:v>
      </x:c>
      <x:c r="E1041" s="79" t="str">
        <x:v>Vue à 3/4 du poignet gauche</x:v>
      </x:c>
      <x:c r="F1041" s="79" t="str">
        <x:v>OUVERT · 1:1 non validé</x:v>
      </x:c>
      <x:c r="G1041" s="79" t="str">
        <x:v>Capot visible, aucun artefact de rotation, ombres constantes</x:v>
      </x:c>
      <x:c r="H1041" s="79" t="str">
        <x:v>FIDÉLITÉ FILM</x:v>
      </x:c>
      <x:c r="I1041" s="79" t="str">
        <x:v>Non : photographie/mesure/art revue indispensables</x:v>
      </x:c>
      <x:c r="J1041" s="79" t="str">
        <x:v>P0</x:v>
      </x:c>
      <x:c r="K1041" s="79" t="str">
        <x:v>1987 film + NECA</x:v>
      </x:c>
      <x:c r="L1041" s="79" t="str">
        <x:v>À comparer avec au moins 2 captures indépendantes</x:v>
      </x:c>
    </x:row>
    <x:row r="1042" ht="29" customHeight="1">
      <x:c r="A1042" s="79" t="str">
        <x:v>04_Jungle_1pour1</x:v>
      </x:c>
      <x:c r="B1042" s="79" t="n">
        <x:v>6</x:v>
      </x:c>
      <x:c r="C1042" s="79" t="str">
        <x:v>JH-02</x:v>
      </x:c>
      <x:c r="D1042" s="79" t="str">
        <x:v>jungle-hunter</x:v>
      </x:c>
      <x:c r="E1042" s="79" t="str">
        <x:v>Ordinateur porté sur l’avant-bras gauche</x:v>
      </x:c>
      <x:c r="F1042" s="79" t="str">
        <x:v>OUVERT · 1:1 non validé</x:v>
      </x:c>
      <x:c r="G1042" s="79" t="str">
        <x:v>Ne pas confondre avec le brassard de lames de l'autre avant-bras</x:v>
      </x:c>
      <x:c r="H1042" s="79" t="str">
        <x:v>FIDÉLITÉ FILM</x:v>
      </x:c>
      <x:c r="I1042" s="79" t="str">
        <x:v>Non : photographie/mesure/art revue indispensables</x:v>
      </x:c>
      <x:c r="J1042" s="79" t="str">
        <x:v>P0</x:v>
      </x:c>
      <x:c r="K1042" s="79" t="str">
        <x:v>Film 1987</x:v>
      </x:c>
      <x:c r="L1042" s="79" t="str">
        <x:v>À comparer avec au moins 2 captures indépendantes</x:v>
      </x:c>
    </x:row>
    <x:row r="1043" ht="29" customHeight="1">
      <x:c r="A1043" s="79" t="str">
        <x:v>04_Jungle_1pour1</x:v>
      </x:c>
      <x:c r="B1043" s="79" t="n">
        <x:v>7</x:v>
      </x:c>
      <x:c r="C1043" s="79" t="str">
        <x:v>JH-03</x:v>
      </x:c>
      <x:c r="D1043" s="79" t="str">
        <x:v>jungle-hunter</x:v>
      </x:c>
      <x:c r="E1043" s="79" t="str">
        <x:v>Silhouette d'origine boîtier rectangulaire</x:v>
      </x:c>
      <x:c r="F1043" s="79" t="str">
        <x:v>OUVERT · 1:1 non validé</x:v>
      </x:c>
      <x:c r="G1043" s="79" t="str">
        <x:v>Ne pas convertir en disque générique ou bracelet magique</x:v>
      </x:c>
      <x:c r="H1043" s="79" t="str">
        <x:v>FIDÉLITÉ FILM</x:v>
      </x:c>
      <x:c r="I1043" s="79" t="str">
        <x:v>Non : photographie/mesure/art revue indispensables</x:v>
      </x:c>
      <x:c r="J1043" s="79" t="str">
        <x:v>P0</x:v>
      </x:c>
      <x:c r="K1043" s="79" t="str">
        <x:v>Gros plans 1987</x:v>
      </x:c>
      <x:c r="L1043" s="79" t="str">
        <x:v>À comparer avec au moins 2 captures indépendantes</x:v>
      </x:c>
    </x:row>
    <x:row r="1044" ht="29" customHeight="1">
      <x:c r="A1044" s="79" t="str">
        <x:v>04_Jungle_1pour1</x:v>
      </x:c>
      <x:c r="B1044" s="79" t="n">
        <x:v>8</x:v>
      </x:c>
      <x:c r="C1044" s="79" t="str">
        <x:v>JH-04</x:v>
      </x:c>
      <x:c r="D1044" s="79" t="str">
        <x:v>jungle-hunter</x:v>
      </x:c>
      <x:c r="E1044" s="79" t="str">
        <x:v>Charnières du couvercle</x:v>
      </x:c>
      <x:c r="F1044" s="79" t="str">
        <x:v>OUVERT · 1:1 non validé</x:v>
      </x:c>
      <x:c r="G1044" s="79" t="str">
        <x:v>Vérifier pivot, ouverture, axes et épaisseur du panneau</x:v>
      </x:c>
      <x:c r="H1044" s="79" t="str">
        <x:v>FIDÉLITÉ FILM</x:v>
      </x:c>
      <x:c r="I1044" s="79" t="str">
        <x:v>Non : photographie/mesure/art revue indispensables</x:v>
      </x:c>
      <x:c r="J1044" s="79" t="str">
        <x:v>P0</x:v>
      </x:c>
      <x:c r="K1044" s="79" t="str">
        <x:v>NECA ouverture</x:v>
      </x:c>
      <x:c r="L1044" s="79" t="str">
        <x:v>Capot ouvrant/refermable dans l'aperçu V133 ; cinématique exacte et charnières à comparer au film.</x:v>
      </x:c>
    </x:row>
    <x:row r="1045" ht="29" customHeight="1">
      <x:c r="A1045" s="79" t="str">
        <x:v>04_Jungle_1pour1</x:v>
      </x:c>
      <x:c r="B1045" s="79" t="n">
        <x:v>9</x:v>
      </x:c>
      <x:c r="C1045" s="79" t="str">
        <x:v>JH-05</x:v>
      </x:c>
      <x:c r="D1045" s="79" t="str">
        <x:v>jungle-hunter</x:v>
      </x:c>
      <x:c r="E1045" s="79" t="str">
        <x:v>Zone de glyphes rouges segmentés</x:v>
      </x:c>
      <x:c r="F1045" s="79" t="str">
        <x:v>OUVERT · 1:1 non validé</x:v>
      </x:c>
      <x:c r="G1045" s="79" t="str">
        <x:v>Cinq rangées horizontales de cellules rouges ; couvercle articulé latéral distinct ; formes des glyphes encore à comparer au film.</x:v>
      </x:c>
      <x:c r="H1045" s="79" t="str">
        <x:v>FIDÉLITÉ FILM</x:v>
      </x:c>
      <x:c r="I1045" s="79" t="str">
        <x:v>Non : photographie/mesure/art revue indispensables</x:v>
      </x:c>
      <x:c r="J1045" s="79" t="str">
        <x:v>P0</x:v>
      </x:c>
      <x:c r="K1045" s="79" t="str">
        <x:v>Film 1987</x:v>
      </x:c>
      <x:c r="L1045" s="79" t="str">
        <x:v>Blockout V133 corrigé (5 rangées) ; relever les glyphes canon et valider avec captures 1987 avant le statut 1:1.</x:v>
      </x:c>
    </x:row>
    <x:row r="1046" ht="29" customHeight="1">
      <x:c r="A1046" s="79" t="str">
        <x:v>04_Jungle_1pour1</x:v>
      </x:c>
      <x:c r="B1046" s="79" t="n">
        <x:v>10</x:v>
      </x:c>
      <x:c r="C1046" s="79" t="str">
        <x:v>JH-06</x:v>
      </x:c>
      <x:c r="D1046" s="79" t="str">
        <x:v>jungle-hunter</x:v>
      </x:c>
      <x:c r="E1046" s="79" t="str">
        <x:v>Métal noir/gris patiné</x:v>
      </x:c>
      <x:c r="F1046" s="79" t="str">
        <x:v>OUVERT · 1:1 non validé</x:v>
      </x:c>
      <x:c r="G1046" s="79" t="str">
        <x:v>Rugosité, arêtes dépolies, traces d'usure cohérentes</x:v>
      </x:c>
      <x:c r="H1046" s="79" t="str">
        <x:v>FIDÉLITÉ FILM</x:v>
      </x:c>
      <x:c r="I1046" s="79" t="str">
        <x:v>Non : photographie/mesure/art revue indispensables</x:v>
      </x:c>
      <x:c r="J1046" s="79" t="str">
        <x:v>P0</x:v>
      </x:c>
      <x:c r="K1046" s="79" t="str">
        <x:v>Prop et film</x:v>
      </x:c>
      <x:c r="L1046" s="79" t="str">
        <x:v>À comparer avec au moins 2 captures indépendantes</x:v>
      </x:c>
    </x:row>
    <x:row r="1047" ht="29" customHeight="1">
      <x:c r="A1047" s="79" t="str">
        <x:v>04_Jungle_1pour1</x:v>
      </x:c>
      <x:c r="B1047" s="79" t="n">
        <x:v>11</x:v>
      </x:c>
      <x:c r="C1047" s="79" t="str">
        <x:v>JH-07</x:v>
      </x:c>
      <x:c r="D1047" s="79" t="str">
        <x:v>jungle-hunter</x:v>
      </x:c>
      <x:c r="E1047" s="79" t="str">
        <x:v>Nervures et tubes latéraux</x:v>
      </x:c>
      <x:c r="F1047" s="79" t="str">
        <x:v>OUVERT · 1:1 non validé</x:v>
      </x:c>
      <x:c r="G1047" s="79" t="str">
        <x:v>Pas de tuyau/structure volant, attaches intégrées</x:v>
      </x:c>
      <x:c r="H1047" s="79" t="str">
        <x:v>FIDÉLITÉ FILM</x:v>
      </x:c>
      <x:c r="I1047" s="79" t="str">
        <x:v>Non : photographie/mesure/art revue indispensables</x:v>
      </x:c>
      <x:c r="J1047" s="79" t="str">
        <x:v>P0</x:v>
      </x:c>
      <x:c r="K1047" s="79" t="str">
        <x:v>Prop et film</x:v>
      </x:c>
      <x:c r="L1047" s="79" t="str">
        <x:v>À comparer avec au moins 2 captures indépendantes</x:v>
      </x:c>
    </x:row>
    <x:row r="1048" ht="29" customHeight="1">
      <x:c r="A1048" s="79" t="str">
        <x:v>04_Jungle_1pour1</x:v>
      </x:c>
      <x:c r="B1048" s="79" t="n">
        <x:v>12</x:v>
      </x:c>
      <x:c r="C1048" s="79" t="str">
        <x:v>JH-08</x:v>
      </x:c>
      <x:c r="D1048" s="79" t="str">
        <x:v>jungle-hunter</x:v>
      </x:c>
      <x:c r="E1048" s="79" t="str">
        <x:v>Brassard et boucles</x:v>
      </x:c>
      <x:c r="F1048" s="79" t="str">
        <x:v>OUVERT · 1:1 non validé</x:v>
      </x:c>
      <x:c r="G1048" s="79" t="str">
        <x:v>Fixation crédible au bras avec mesh et lanière</x:v>
      </x:c>
      <x:c r="H1048" s="79" t="str">
        <x:v>FIDÉLITÉ FILM</x:v>
      </x:c>
      <x:c r="I1048" s="79" t="str">
        <x:v>Non : photographie/mesure/art revue indispensables</x:v>
      </x:c>
      <x:c r="J1048" s="79" t="str">
        <x:v>P0</x:v>
      </x:c>
      <x:c r="K1048" s="79" t="str">
        <x:v>Film et figurine</x:v>
      </x:c>
      <x:c r="L1048" s="79" t="str">
        <x:v>À comparer avec au moins 2 captures indépendantes</x:v>
      </x:c>
    </x:row>
    <x:row r="1049" ht="29" customHeight="1">
      <x:c r="A1049" s="79" t="str">
        <x:v>04_Jungle_1pour1</x:v>
      </x:c>
      <x:c r="B1049" s="79" t="n">
        <x:v>13</x:v>
      </x:c>
      <x:c r="C1049" s="79" t="str">
        <x:v>JH-09</x:v>
      </x:c>
      <x:c r="D1049" s="79" t="str">
        <x:v>jungle-hunter</x:v>
      </x:c>
      <x:c r="E1049" s="79" t="str">
        <x:v>Longueur vs avant-bras</x:v>
      </x:c>
      <x:c r="F1049" s="79" t="str">
        <x:v>OUVERT · 1:1 non validé</x:v>
      </x:c>
      <x:c r="G1049" s="79" t="str">
        <x:v>Mesurer ratios sur images de référence (pas valeurs inventées)</x:v>
      </x:c>
      <x:c r="H1049" s="79" t="str">
        <x:v>FIDÉLITÉ FILM</x:v>
      </x:c>
      <x:c r="I1049" s="79" t="str">
        <x:v>Non : photographie/mesure/art revue indispensables</x:v>
      </x:c>
      <x:c r="J1049" s="79" t="str">
        <x:v>P0</x:v>
      </x:c>
      <x:c r="K1049" s="79" t="str">
        <x:v>3 captures</x:v>
      </x:c>
      <x:c r="L1049" s="79" t="str">
        <x:v>À comparer avec au moins 2 captures indépendantes</x:v>
      </x:c>
    </x:row>
    <x:row r="1050" ht="29" customHeight="1">
      <x:c r="A1050" s="79" t="str">
        <x:v>04_Jungle_1pour1</x:v>
      </x:c>
      <x:c r="B1050" s="79" t="n">
        <x:v>14</x:v>
      </x:c>
      <x:c r="C1050" s="79" t="str">
        <x:v>JH-10</x:v>
      </x:c>
      <x:c r="D1050" s="79" t="str">
        <x:v>jungle-hunter</x:v>
      </x:c>
      <x:c r="E1050" s="79" t="str">
        <x:v>Vue de côté</x:v>
      </x:c>
      <x:c r="F1050" s="79" t="str">
        <x:v>OUVERT · 1:1 non validé</x:v>
      </x:c>
      <x:c r="G1050" s="79" t="str">
        <x:v>Aucune extrusion flottante ou épaisseur erronée</x:v>
      </x:c>
      <x:c r="H1050" s="79" t="str">
        <x:v>FIDÉLITÉ FILM</x:v>
      </x:c>
      <x:c r="I1050" s="79" t="str">
        <x:v>Non : photographie/mesure/art revue indispensables</x:v>
      </x:c>
      <x:c r="J1050" s="79" t="str">
        <x:v>P0</x:v>
      </x:c>
      <x:c r="K1050" s="79" t="str">
        <x:v>Référence side shot</x:v>
      </x:c>
      <x:c r="L1050" s="79" t="str">
        <x:v>À comparer avec au moins 2 captures indépendantes</x:v>
      </x:c>
    </x:row>
    <x:row r="1051" ht="29" customHeight="1">
      <x:c r="A1051" s="79" t="str">
        <x:v>04_Jungle_1pour1</x:v>
      </x:c>
      <x:c r="B1051" s="79" t="n">
        <x:v>15</x:v>
      </x:c>
      <x:c r="C1051" s="79" t="str">
        <x:v>JH-11</x:v>
      </x:c>
      <x:c r="D1051" s="79" t="str">
        <x:v>jungle-hunter</x:v>
      </x:c>
      <x:c r="E1051" s="79" t="str">
        <x:v>Vue frontale</x:v>
      </x:c>
      <x:c r="F1051" s="79" t="str">
        <x:v>OUVERT · 1:1 non validé</x:v>
      </x:c>
      <x:c r="G1051" s="79" t="str">
        <x:v>Coïncidence entre gauche/droite du modèle</x:v>
      </x:c>
      <x:c r="H1051" s="79" t="str">
        <x:v>FIDÉLITÉ FILM</x:v>
      </x:c>
      <x:c r="I1051" s="79" t="str">
        <x:v>Non : photographie/mesure/art revue indispensables</x:v>
      </x:c>
      <x:c r="J1051" s="79" t="str">
        <x:v>P0</x:v>
      </x:c>
      <x:c r="K1051" s="79" t="str">
        <x:v>Référence front</x:v>
      </x:c>
      <x:c r="L1051" s="79" t="str">
        <x:v>À comparer avec au moins 2 captures indépendantes</x:v>
      </x:c>
    </x:row>
    <x:row r="1052" ht="29" customHeight="1">
      <x:c r="A1052" s="79" t="str">
        <x:v>04_Jungle_1pour1</x:v>
      </x:c>
      <x:c r="B1052" s="79" t="n">
        <x:v>16</x:v>
      </x:c>
      <x:c r="C1052" s="79" t="str">
        <x:v>JH-12</x:v>
      </x:c>
      <x:c r="D1052" s="79" t="str">
        <x:v>jungle-hunter</x:v>
      </x:c>
      <x:c r="E1052" s="79" t="str">
        <x:v>Vue dorsale</x:v>
      </x:c>
      <x:c r="F1052" s="79" t="str">
        <x:v>OUVERT · 1:1 non validé</x:v>
      </x:c>
      <x:c r="G1052" s="79" t="str">
        <x:v>Correspondances écran / plis / plaques</x:v>
      </x:c>
      <x:c r="H1052" s="79" t="str">
        <x:v>FIDÉLITÉ FILM</x:v>
      </x:c>
      <x:c r="I1052" s="79" t="str">
        <x:v>Non : photographie/mesure/art revue indispensables</x:v>
      </x:c>
      <x:c r="J1052" s="79" t="str">
        <x:v>P0</x:v>
      </x:c>
      <x:c r="K1052" s="79" t="str">
        <x:v>Référence dessus</x:v>
      </x:c>
      <x:c r="L1052" s="79" t="str">
        <x:v>À comparer avec au moins 2 captures indépendantes</x:v>
      </x:c>
    </x:row>
    <x:row r="1053" ht="29" customHeight="1">
      <x:c r="A1053" s="79" t="str">
        <x:v>04_Jungle_1pour1</x:v>
      </x:c>
      <x:c r="B1053" s="79" t="n">
        <x:v>17</x:v>
      </x:c>
      <x:c r="C1053" s="79" t="str">
        <x:v>JH-13</x:v>
      </x:c>
      <x:c r="D1053" s="79" t="str">
        <x:v>jungle-hunter</x:v>
      </x:c>
      <x:c r="E1053" s="79" t="str">
        <x:v>Pose de levée du gauntlet</x:v>
      </x:c>
      <x:c r="F1053" s="79" t="str">
        <x:v>OUVERT · 1:1 non validé</x:v>
      </x:c>
      <x:c r="G1053" s="79" t="str">
        <x:v>Bras aligné avec perspective caméra joueur</x:v>
      </x:c>
      <x:c r="H1053" s="79" t="str">
        <x:v>FIDÉLITÉ FILM</x:v>
      </x:c>
      <x:c r="I1053" s="79" t="str">
        <x:v>Non : photographie/mesure/art revue indispensables</x:v>
      </x:c>
      <x:c r="J1053" s="79" t="str">
        <x:v>P0</x:v>
      </x:c>
      <x:c r="K1053" s="79" t="str">
        <x:v>Storyboard POv</x:v>
      </x:c>
      <x:c r="L1053" s="79" t="str">
        <x:v>À comparer avec au moins 2 captures indépendantes</x:v>
      </x:c>
    </x:row>
    <x:row r="1054" ht="29" customHeight="1">
      <x:c r="A1054" s="79" t="str">
        <x:v>04_Jungle_1pour1</x:v>
      </x:c>
      <x:c r="B1054" s="79" t="n">
        <x:v>18</x:v>
      </x:c>
      <x:c r="C1054" s="79" t="str">
        <x:v>JH-14</x:v>
      </x:c>
      <x:c r="D1054" s="79" t="str">
        <x:v>jungle-hunter</x:v>
      </x:c>
      <x:c r="E1054" s="79" t="str">
        <x:v>Source du projecteur de guerre</x:v>
      </x:c>
      <x:c r="F1054" s="79" t="str">
        <x:v>OUVERT · 1:1 non validé</x:v>
      </x:c>
      <x:c r="G1054" s="79" t="str">
        <x:v>Ajout de gameplay original, ne pas attribuer au film de 1987</x:v>
      </x:c>
      <x:c r="H1054" s="79" t="str">
        <x:v>FIDÉLITÉ FILM</x:v>
      </x:c>
      <x:c r="I1054" s="79" t="str">
        <x:v>Non : photographie/mesure/art revue indispensables</x:v>
      </x:c>
      <x:c r="J1054" s="79" t="str">
        <x:v>P0</x:v>
      </x:c>
      <x:c r="K1054" s="79" t="str">
        <x:v>Document de gameplay</x:v>
      </x:c>
      <x:c r="L1054" s="79" t="str">
        <x:v>À comparer avec au moins 2 captures indépendantes</x:v>
      </x:c>
    </x:row>
    <x:row r="1055" ht="29" customHeight="1">
      <x:c r="A1055" s="79" t="str">
        <x:v>04_Jungle_1pour1</x:v>
      </x:c>
      <x:c r="B1055" s="79" t="n">
        <x:v>19</x:v>
      </x:c>
      <x:c r="C1055" s="79" t="str">
        <x:v>JH-15</x:v>
      </x:c>
      <x:c r="D1055" s="79" t="str">
        <x:v>jungle-hunter</x:v>
      </x:c>
      <x:c r="E1055" s="79" t="str">
        <x:v>Déployer / ouvrir / refermer</x:v>
      </x:c>
      <x:c r="F1055" s="79" t="str">
        <x:v>OUVERT · 1:1 non validé</x:v>
      </x:c>
      <x:c r="G1055" s="79" t="str">
        <x:v>Retours d'état strictement déterministes, aucune charnière incohérente</x:v>
      </x:c>
      <x:c r="H1055" s="79" t="str">
        <x:v>FIDÉLITÉ FILM</x:v>
      </x:c>
      <x:c r="I1055" s="79" t="str">
        <x:v>Non : photographie/mesure/art revue indispensables</x:v>
      </x:c>
      <x:c r="J1055" s="79" t="str">
        <x:v>P0</x:v>
      </x:c>
      <x:c r="K1055" s="79" t="str">
        <x:v>Storyboard</x:v>
      </x:c>
      <x:c r="L1055" s="79" t="str">
        <x:v>La commande de prévisualisation ouvre/ferme un capot SVG ; transformation technique, pas encore cinématique 1:1.</x:v>
      </x:c>
    </x:row>
    <x:row r="1056" ht="29" customHeight="1">
      <x:c r="A1056" s="79" t="str">
        <x:v>04_Jungle_1pour1</x:v>
      </x:c>
      <x:c r="B1056" s="79" t="n">
        <x:v>20</x:v>
      </x:c>
      <x:c r="C1056" s="79" t="str">
        <x:v>JH-16</x:v>
      </x:c>
      <x:c r="D1056" s="79" t="str">
        <x:v>jungle-hunter</x:v>
      </x:c>
      <x:c r="E1056" s="79" t="str">
        <x:v>Langue Yautja</x:v>
      </x:c>
      <x:c r="F1056" s="79" t="str">
        <x:v>OUVERT · 1:1 non validé</x:v>
      </x:c>
      <x:c r="G1056" s="79" t="str">
        <x:v>Source linguistique validée ou glyphes inventés affichés comme tels</x:v>
      </x:c>
      <x:c r="H1056" s="79" t="str">
        <x:v>FIDÉLITÉ FILM</x:v>
      </x:c>
      <x:c r="I1056" s="79" t="str">
        <x:v>Non : photographie/mesure/art revue indispensables</x:v>
      </x:c>
      <x:c r="J1056" s="79" t="str">
        <x:v>P1</x:v>
      </x:c>
      <x:c r="K1056" s="79" t="str">
        <x:v>Yautja lore</x:v>
      </x:c>
      <x:c r="L1056" s="79" t="str">
        <x:v>À comparer avec au moins 2 captures indépendantes</x:v>
      </x:c>
    </x:row>
    <x:row r="1057" ht="29" customHeight="1">
      <x:c r="A1057" s="79" t="str">
        <x:v>04_Jungle_1pour1</x:v>
      </x:c>
      <x:c r="B1057" s="79" t="n">
        <x:v>21</x:v>
      </x:c>
      <x:c r="C1057" s="79" t="str">
        <x:v>JH-17</x:v>
      </x:c>
      <x:c r="D1057" s="79" t="str">
        <x:v>jungle-hunter</x:v>
      </x:c>
      <x:c r="E1057" s="79" t="str">
        <x:v>Réaction de l'écran rouge sur la peau</x:v>
      </x:c>
      <x:c r="F1057" s="79" t="str">
        <x:v>OUVERT · 1:1 non validé</x:v>
      </x:c>
      <x:c r="G1057" s="79" t="str">
        <x:v>Réflexion mesurée, pas glow blanc arbitraire</x:v>
      </x:c>
      <x:c r="H1057" s="79" t="str">
        <x:v>FIDÉLITÉ FILM</x:v>
      </x:c>
      <x:c r="I1057" s="79" t="str">
        <x:v>Non : photographie/mesure/art revue indispensables</x:v>
      </x:c>
      <x:c r="J1057" s="79" t="str">
        <x:v>P1</x:v>
      </x:c>
      <x:c r="K1057" s="79" t="str">
        <x:v>Plate screenshots</x:v>
      </x:c>
      <x:c r="L1057" s="79" t="str">
        <x:v>À comparer avec au moins 2 captures indépendantes</x:v>
      </x:c>
    </x:row>
    <x:row r="1058" ht="29" customHeight="1">
      <x:c r="A1058" s="79" t="str">
        <x:v>04_Jungle_1pour1</x:v>
      </x:c>
      <x:c r="B1058" s="79" t="n">
        <x:v>22</x:v>
      </x:c>
      <x:c r="C1058" s="79" t="str">
        <x:v>JH-18</x:v>
      </x:c>
      <x:c r="D1058" s="79" t="str">
        <x:v>jungle-hunter</x:v>
      </x:c>
      <x:c r="E1058" s="79" t="str">
        <x:v>Couleur et profondeur</x:v>
      </x:c>
      <x:c r="F1058" s="79" t="str">
        <x:v>OUVERT · 1:1 non validé</x:v>
      </x:c>
      <x:c r="G1058" s="79" t="str">
        <x:v>Projection lisible, pas liée artificiellement à la géographie</x:v>
      </x:c>
      <x:c r="H1058" s="79" t="str">
        <x:v>FIDÉLITÉ FILM</x:v>
      </x:c>
      <x:c r="I1058" s="79" t="str">
        <x:v>Non : photographie/mesure/art revue indispensables</x:v>
      </x:c>
      <x:c r="J1058" s="79" t="str">
        <x:v>P1</x:v>
      </x:c>
      <x:c r="K1058" s="79" t="str">
        <x:v>Gamme UI</x:v>
      </x:c>
      <x:c r="L1058" s="79" t="str">
        <x:v>À comparer avec au moins 2 captures indépendantes</x:v>
      </x:c>
    </x:row>
    <x:row r="1059" ht="29" customHeight="1">
      <x:c r="A1059" s="79" t="str">
        <x:v>04_Jungle_1pour1</x:v>
      </x:c>
      <x:c r="B1059" s="79" t="n">
        <x:v>23</x:v>
      </x:c>
      <x:c r="C1059" s="79" t="str">
        <x:v>JH-19</x:v>
      </x:c>
      <x:c r="D1059" s="79" t="str">
        <x:v>jungle-hunter</x:v>
      </x:c>
      <x:c r="E1059" s="79" t="str">
        <x:v>Animation sur téléphone</x:v>
      </x:c>
      <x:c r="F1059" s="79" t="str">
        <x:v>OUVERT · 1:1 non validé</x:v>
      </x:c>
      <x:c r="G1059" s="79" t="str">
        <x:v>Fps à mesurer, effet réduit accessible</x:v>
      </x:c>
      <x:c r="H1059" s="79" t="str">
        <x:v>FIDÉLITÉ FILM</x:v>
      </x:c>
      <x:c r="I1059" s="79" t="str">
        <x:v>Non : photographie/mesure/art revue indispensables</x:v>
      </x:c>
      <x:c r="J1059" s="79" t="str">
        <x:v>P1</x:v>
      </x:c>
      <x:c r="K1059" s="79" t="str">
        <x:v>QA mobile</x:v>
      </x:c>
      <x:c r="L1059" s="79" t="str">
        <x:v>À comparer avec au moins 2 captures indépendantes</x:v>
      </x:c>
    </x:row>
    <x:row r="1060" ht="29" customHeight="1">
      <x:c r="A1060" s="79" t="str">
        <x:v>04_Jungle_1pour1</x:v>
      </x:c>
      <x:c r="B1060" s="79" t="n">
        <x:v>24</x:v>
      </x:c>
      <x:c r="C1060" s="79" t="str">
        <x:v>JH-20</x:v>
      </x:c>
      <x:c r="D1060" s="79" t="str">
        <x:v>jungle-hunter</x:v>
      </x:c>
      <x:c r="E1060" s="79" t="str">
        <x:v>Enregistrer bruitage original</x:v>
      </x:c>
      <x:c r="F1060" s="79" t="str">
        <x:v>OUVERT · 1:1 non validé</x:v>
      </x:c>
      <x:c r="G1060" s="79" t="str">
        <x:v>Aucune extraction non autorisée de film ; mix audio jeu</x:v>
      </x:c>
      <x:c r="H1060" s="79" t="str">
        <x:v>FIDÉLITÉ FILM</x:v>
      </x:c>
      <x:c r="I1060" s="79" t="str">
        <x:v>Non : photographie/mesure/art revue indispensables</x:v>
      </x:c>
      <x:c r="J1060" s="79" t="str">
        <x:v>P1</x:v>
      </x:c>
      <x:c r="K1060" s="79" t="str">
        <x:v>Audio QA</x:v>
      </x:c>
      <x:c r="L1060" s="79" t="str">
        <x:v>À comparer avec au moins 2 captures indépendantes</x:v>
      </x:c>
    </x:row>
    <x:row r="1061" ht="29" customHeight="1">
      <x:c r="A1061" s="79" t="str">
        <x:v>04_Jungle_1pour1</x:v>
      </x:c>
      <x:c r="B1061" s="79" t="n">
        <x:v>25</x:v>
      </x:c>
      <x:c r="C1061" s="79" t="str">
        <x:v>JH-21</x:v>
      </x:c>
      <x:c r="D1061" s="79" t="str">
        <x:v>jungle-hunter</x:v>
      </x:c>
      <x:c r="E1061" s="79" t="str">
        <x:v>Sprite source séparé 2D / atlas</x:v>
      </x:c>
      <x:c r="F1061" s="79" t="str">
        <x:v>OUVERT · 1:1 non validé</x:v>
      </x:c>
      <x:c r="G1061" s="79" t="str">
        <x:v>Alpha net, corps/bras non tronqué, pivot propre</x:v>
      </x:c>
      <x:c r="H1061" s="79" t="str">
        <x:v>FIDÉLITÉ FILM</x:v>
      </x:c>
      <x:c r="I1061" s="79" t="str">
        <x:v>Non : photographie/mesure/art revue indispensables</x:v>
      </x:c>
      <x:c r="J1061" s="79" t="str">
        <x:v>P1</x:v>
      </x:c>
      <x:c r="K1061" s="79" t="str">
        <x:v>Game design</x:v>
      </x:c>
      <x:c r="L1061" s="79" t="str">
        <x:v>À comparer avec au moins 2 captures indépendantes</x:v>
      </x:c>
    </x:row>
    <x:row r="1062" ht="29" customHeight="1">
      <x:c r="A1062" s="79" t="str">
        <x:v>04_Jungle_1pour1</x:v>
      </x:c>
      <x:c r="B1062" s="79" t="n">
        <x:v>26</x:v>
      </x:c>
      <x:c r="C1062" s="79" t="str">
        <x:v>JH-22</x:v>
      </x:c>
      <x:c r="D1062" s="79" t="str">
        <x:v>jungle-hunter</x:v>
      </x:c>
      <x:c r="E1062" s="79" t="str">
        <x:v>Sous-couleurs authentiques uniquement</x:v>
      </x:c>
      <x:c r="F1062" s="79" t="str">
        <x:v>OUVERT · 1:1 non validé</x:v>
      </x:c>
      <x:c r="G1062" s="79" t="str">
        <x:v>Ne pas déclarer une teinte arbitraire comme variante canon</x:v>
      </x:c>
      <x:c r="H1062" s="79" t="str">
        <x:v>FIDÉLITÉ FILM</x:v>
      </x:c>
      <x:c r="I1062" s="79" t="str">
        <x:v>Non : photographie/mesure/art revue indispensables</x:v>
      </x:c>
      <x:c r="J1062" s="79" t="str">
        <x:v>P1</x:v>
      </x:c>
      <x:c r="K1062" s="79" t="str">
        <x:v>Atlas PHG</x:v>
      </x:c>
      <x:c r="L1062" s="79" t="str">
        <x:v>À comparer avec au moins 2 captures indépendantes</x:v>
      </x:c>
    </x:row>
    <x:row r="1063" ht="29" customHeight="1">
      <x:c r="A1063" s="79" t="str">
        <x:v>04_Jungle_1pour1</x:v>
      </x:c>
      <x:c r="B1063" s="79" t="n">
        <x:v>27</x:v>
      </x:c>
      <x:c r="C1063" s="79" t="str">
        <x:v>JH-23</x:v>
      </x:c>
      <x:c r="D1063" s="79" t="str">
        <x:v>jungle-hunter</x:v>
      </x:c>
      <x:c r="E1063" s="79" t="str">
        <x:v>Comparaison côte-à-côte</x:v>
      </x:c>
      <x:c r="F1063" s="79" t="str">
        <x:v>OUVERT · 1:1 non validé</x:v>
      </x:c>
      <x:c r="G1063" s="79" t="str">
        <x:v>Définir plan, angle, focale et validation artiste</x:v>
      </x:c>
      <x:c r="H1063" s="79" t="str">
        <x:v>FIDÉLITÉ FILM</x:v>
      </x:c>
      <x:c r="I1063" s="79" t="str">
        <x:v>Non : photographie/mesure/art revue indispensables</x:v>
      </x:c>
      <x:c r="J1063" s="79" t="str">
        <x:v>P0</x:v>
      </x:c>
      <x:c r="K1063" s="79" t="str">
        <x:v>Comparaison art</x:v>
      </x:c>
      <x:c r="L1063" s="79" t="str">
        <x:v>À comparer avec au moins 2 captures indépendantes</x:v>
      </x:c>
    </x:row>
    <x:row r="1064" ht="29" customHeight="1">
      <x:c r="A1064" s="79" t="str">
        <x:v>04_Jungle_1pour1</x:v>
      </x:c>
      <x:c r="B1064" s="79" t="n">
        <x:v>28</x:v>
      </x:c>
      <x:c r="C1064" s="79" t="str">
        <x:v>JH-24</x:v>
      </x:c>
      <x:c r="D1064" s="79" t="str">
        <x:v>jungle-hunter</x:v>
      </x:c>
      <x:c r="E1064" s="79" t="str">
        <x:v>Références suffisamment nombreuses</x:v>
      </x:c>
      <x:c r="F1064" s="79" t="str">
        <x:v>OUVERT · 1:1 non validé</x:v>
      </x:c>
      <x:c r="G1064" s="79" t="str">
        <x:v>Marquer '1:1 validé' seulement avec relecture humaine</x:v>
      </x:c>
      <x:c r="H1064" s="79" t="str">
        <x:v>FIDÉLITÉ FILM</x:v>
      </x:c>
      <x:c r="I1064" s="79" t="str">
        <x:v>Non : photographie/mesure/art revue indispensables</x:v>
      </x:c>
      <x:c r="J1064" s="79" t="str">
        <x:v>P0</x:v>
      </x:c>
      <x:c r="K1064" s="79" t="str">
        <x:v>Art director</x:v>
      </x:c>
      <x:c r="L1064" s="79" t="str">
        <x:v>À comparer avec au moins 2 captures indépendantes</x:v>
      </x:c>
    </x:row>
    <x:row r="1065" ht="29" customHeight="1">
      <x:c r="A1065" s="79" t="str">
        <x:v>04_Jungle_1pour1</x:v>
      </x:c>
      <x:c r="B1065" s="79" t="n">
        <x:v>29</x:v>
      </x:c>
      <x:c r="C1065" s="79" t="str">
        <x:v>JH-25</x:v>
      </x:c>
      <x:c r="D1065" s="79" t="str">
        <x:v>jungle-hunter</x:v>
      </x:c>
      <x:c r="E1065" s="79" t="str">
        <x:v>Clavier / contraste / reduced motion</x:v>
      </x:c>
      <x:c r="F1065" s="79" t="str">
        <x:v>OUVERT · 1:1 non validé</x:v>
      </x:c>
      <x:c r="G1065" s="79" t="str">
        <x:v>Aucune entrée cachée par FX, focus lisible</x:v>
      </x:c>
      <x:c r="H1065" s="79" t="str">
        <x:v>FIDÉLITÉ FILM</x:v>
      </x:c>
      <x:c r="I1065" s="79" t="str">
        <x:v>Non : photographie/mesure/art revue indispensables</x:v>
      </x:c>
      <x:c r="J1065" s="79" t="str">
        <x:v>P0</x:v>
      </x:c>
      <x:c r="K1065" s="79" t="str">
        <x:v>QA interaction</x:v>
      </x:c>
      <x:c r="L1065" s="79" t="str">
        <x:v>À comparer avec au moins 2 captures indépendantes</x:v>
      </x:c>
    </x:row>
    <x:row r="1066" ht="29" customHeight="1">
      <x:c r="A1066" s="79" t="str">
        <x:v>04_Jungle_1pour1</x:v>
      </x:c>
      <x:c r="B1066" s="79" t="n">
        <x:v>30</x:v>
      </x:c>
      <x:c r="C1066" s="79" t="str">
        <x:v>JH-26</x:v>
      </x:c>
      <x:c r="D1066" s="79" t="str">
        <x:v>jungle-hunter</x:v>
      </x:c>
      <x:c r="E1066" s="79" t="str">
        <x:v>Vue classique conservée</x:v>
      </x:c>
      <x:c r="F1066" s="79" t="str">
        <x:v>OUVERT · 1:1 non validé</x:v>
      </x:c>
      <x:c r="G1066" s="79" t="str">
        <x:v>Bascule sans rerender de l'atlas ni perte d'ordre</x:v>
      </x:c>
      <x:c r="H1066" s="79" t="str">
        <x:v>FIDÉLITÉ FILM</x:v>
      </x:c>
      <x:c r="I1066" s="79" t="str">
        <x:v>Non : photographie/mesure/art revue indispensables</x:v>
      </x:c>
      <x:c r="J1066" s="79" t="str">
        <x:v>P0</x:v>
      </x:c>
      <x:c r="K1066" s="79" t="str">
        <x:v>Code V131</x:v>
      </x:c>
      <x:c r="L1066" s="79" t="str">
        <x:v>À comparer avec au moins 2 captures indépendantes</x:v>
      </x:c>
    </x:row>
    <x:row r="1067" ht="29" customHeight="1">
      <x:c r="A1067" s="79" t="str">
        <x:v>04_Jungle_1pour1</x:v>
      </x:c>
      <x:c r="B1067" s="79" t="n">
        <x:v>31</x:v>
      </x:c>
      <x:c r="C1067" s="79" t="str">
        <x:v>JH-27</x:v>
      </x:c>
      <x:c r="D1067" s="79" t="str">
        <x:v>jungle-hunter</x:v>
      </x:c>
      <x:c r="E1067" s="79" t="str">
        <x:v>Commercialisation et usage des designs</x:v>
      </x:c>
      <x:c r="F1067" s="79" t="str">
        <x:v>OUVERT · 1:1 non validé</x:v>
      </x:c>
      <x:c r="G1067" s="79" t="str">
        <x:v>Revue des licences de franchise avant toute vente</x:v>
      </x:c>
      <x:c r="H1067" s="79" t="str">
        <x:v>FIDÉLITÉ FILM</x:v>
      </x:c>
      <x:c r="I1067" s="79" t="str">
        <x:v>Non : photographie/mesure/art revue indispensables</x:v>
      </x:c>
      <x:c r="J1067" s="79" t="str">
        <x:v>P0</x:v>
      </x:c>
      <x:c r="K1067" s="79" t="str">
        <x:v>Legal checklist</x:v>
      </x:c>
      <x:c r="L1067" s="79" t="str">
        <x:v>À comparer avec au moins 2 captures indépendantes</x:v>
      </x:c>
    </x:row>
    <x:row r="1068" ht="29" customHeight="1">
      <x:c r="A1068" s="79" t="str">
        <x:v>13_V134_Sprites</x:v>
      </x:c>
      <x:c r="B1068" s="79" t="n">
        <x:v>20</x:v>
      </x:c>
      <x:c r="C1068" s="79" t="str">
        <x:v>PENDING-city-hunter</x:v>
      </x:c>
      <x:c r="D1068" s="79" t="str">
        <x:v>City Hunter</x:v>
      </x:c>
      <x:c r="E1068" s="79" t="str">
        <x:v>Vues face/profil/dessus</x:v>
      </x:c>
      <x:c r="F1068" s="79" t="str">
        <x:v>OUVERT · production réelle</x:v>
      </x:c>
      <x:c r="G1068" s="79" t="str">
        <x:v>Produire calques indépendants après validation</x:v>
      </x:c>
      <x:c r="H1068" s="79" t="str">
        <x:v>ART 1:1</x:v>
      </x:c>
      <x:c r="I1068" s="79" t="str">
        <x:v>Non</x:v>
      </x:c>
      <x:c r="J1068" s="79" t="str">
        <x:v>P0</x:v>
      </x:c>
      <x:c r="K1068" s="79" t="str">
        <x:v>https://github.com/darknigthmare/yautja-la-longue-chasse/pull/42</x:v>
      </x:c>
      <x:c r="L1068" s="79" t="str">
        <x:v>Non produites</x:v>
      </x:c>
    </x:row>
    <x:row r="1069" ht="29" customHeight="1">
      <x:c r="A1069" s="79" t="str">
        <x:v>13_V134_Sprites</x:v>
      </x:c>
      <x:c r="B1069" s="79" t="n">
        <x:v>21</x:v>
      </x:c>
      <x:c r="C1069" s="79" t="str">
        <x:v>PENDING-greyback</x:v>
      </x:c>
      <x:c r="D1069" s="79" t="str">
        <x:v>Greyback</x:v>
      </x:c>
      <x:c r="E1069" s="79" t="str">
        <x:v>Vues face/profil/dessus</x:v>
      </x:c>
      <x:c r="F1069" s="79" t="str">
        <x:v>OUVERT · production réelle</x:v>
      </x:c>
      <x:c r="G1069" s="79" t="str">
        <x:v>Produire calques indépendants après validation</x:v>
      </x:c>
      <x:c r="H1069" s="79" t="str">
        <x:v>ART 1:1</x:v>
      </x:c>
      <x:c r="I1069" s="79" t="str">
        <x:v>Non</x:v>
      </x:c>
      <x:c r="J1069" s="79" t="str">
        <x:v>P0</x:v>
      </x:c>
      <x:c r="K1069" s="79" t="str">
        <x:v>https://github.com/darknigthmare/yautja-la-longue-chasse/pull/42</x:v>
      </x:c>
      <x:c r="L1069" s="79" t="str">
        <x:v>Non produites</x:v>
      </x:c>
    </x:row>
    <x:row r="1070" ht="29" customHeight="1">
      <x:c r="A1070" s="79" t="str">
        <x:v>13_V134_Sprites</x:v>
      </x:c>
      <x:c r="B1070" s="79" t="n">
        <x:v>22</x:v>
      </x:c>
      <x:c r="C1070" s="79" t="str">
        <x:v>PENDING-scar</x:v>
      </x:c>
      <x:c r="D1070" s="79" t="str">
        <x:v>Scar</x:v>
      </x:c>
      <x:c r="E1070" s="79" t="str">
        <x:v>Vues face/profil/dessus</x:v>
      </x:c>
      <x:c r="F1070" s="79" t="str">
        <x:v>OUVERT · production réelle</x:v>
      </x:c>
      <x:c r="G1070" s="79" t="str">
        <x:v>Produire calques indépendants après validation</x:v>
      </x:c>
      <x:c r="H1070" s="79" t="str">
        <x:v>ART 1:1</x:v>
      </x:c>
      <x:c r="I1070" s="79" t="str">
        <x:v>Non</x:v>
      </x:c>
      <x:c r="J1070" s="79" t="str">
        <x:v>P0</x:v>
      </x:c>
      <x:c r="K1070" s="79" t="str">
        <x:v>https://github.com/darknigthmare/yautja-la-longue-chasse/pull/42</x:v>
      </x:c>
      <x:c r="L1070" s="79" t="str">
        <x:v>Non produites</x:v>
      </x:c>
    </x:row>
    <x:row r="1071" ht="29" customHeight="1">
      <x:c r="A1071" s="79" t="str">
        <x:v>13_V134_Sprites</x:v>
      </x:c>
      <x:c r="B1071" s="79" t="n">
        <x:v>23</x:v>
      </x:c>
      <x:c r="C1071" s="79" t="str">
        <x:v>PENDING-celtic</x:v>
      </x:c>
      <x:c r="D1071" s="79" t="str">
        <x:v>Celtic</x:v>
      </x:c>
      <x:c r="E1071" s="79" t="str">
        <x:v>Vues face/profil/dessus</x:v>
      </x:c>
      <x:c r="F1071" s="79" t="str">
        <x:v>OUVERT · production réelle</x:v>
      </x:c>
      <x:c r="G1071" s="79" t="str">
        <x:v>Produire calques indépendants après validation</x:v>
      </x:c>
      <x:c r="H1071" s="79" t="str">
        <x:v>ART 1:1</x:v>
      </x:c>
      <x:c r="I1071" s="79" t="str">
        <x:v>Non</x:v>
      </x:c>
      <x:c r="J1071" s="79" t="str">
        <x:v>P0</x:v>
      </x:c>
      <x:c r="K1071" s="79" t="str">
        <x:v>https://github.com/darknigthmare/yautja-la-longue-chasse/pull/42</x:v>
      </x:c>
      <x:c r="L1071" s="79" t="str">
        <x:v>Non produites</x:v>
      </x:c>
    </x:row>
    <x:row r="1072" ht="29" customHeight="1">
      <x:c r="A1072" s="79" t="str">
        <x:v>13_V134_Sprites</x:v>
      </x:c>
      <x:c r="B1072" s="79" t="n">
        <x:v>24</x:v>
      </x:c>
      <x:c r="C1072" s="79" t="str">
        <x:v>PENDING-chopper</x:v>
      </x:c>
      <x:c r="D1072" s="79" t="str">
        <x:v>Chopper</x:v>
      </x:c>
      <x:c r="E1072" s="79" t="str">
        <x:v>Vues face/profil/dessus</x:v>
      </x:c>
      <x:c r="F1072" s="79" t="str">
        <x:v>OUVERT · production réelle</x:v>
      </x:c>
      <x:c r="G1072" s="79" t="str">
        <x:v>Produire calques indépendants après validation</x:v>
      </x:c>
      <x:c r="H1072" s="79" t="str">
        <x:v>ART 1:1</x:v>
      </x:c>
      <x:c r="I1072" s="79" t="str">
        <x:v>Non</x:v>
      </x:c>
      <x:c r="J1072" s="79" t="str">
        <x:v>P0</x:v>
      </x:c>
      <x:c r="K1072" s="79" t="str">
        <x:v>https://github.com/darknigthmare/yautja-la-longue-chasse/pull/42</x:v>
      </x:c>
      <x:c r="L1072" s="79" t="str">
        <x:v>Non produites</x:v>
      </x:c>
    </x:row>
    <x:row r="1073" ht="29" customHeight="1">
      <x:c r="A1073" s="79" t="str">
        <x:v>13_V134_Sprites</x:v>
      </x:c>
      <x:c r="B1073" s="79" t="n">
        <x:v>25</x:v>
      </x:c>
      <x:c r="C1073" s="79" t="str">
        <x:v>PENDING-wolf</x:v>
      </x:c>
      <x:c r="D1073" s="79" t="str">
        <x:v>Wolf</x:v>
      </x:c>
      <x:c r="E1073" s="79" t="str">
        <x:v>Vues face/profil/dessus</x:v>
      </x:c>
      <x:c r="F1073" s="79" t="str">
        <x:v>OUVERT · production réelle</x:v>
      </x:c>
      <x:c r="G1073" s="79" t="str">
        <x:v>Produire calques indépendants après validation</x:v>
      </x:c>
      <x:c r="H1073" s="79" t="str">
        <x:v>ART 1:1</x:v>
      </x:c>
      <x:c r="I1073" s="79" t="str">
        <x:v>Non</x:v>
      </x:c>
      <x:c r="J1073" s="79" t="str">
        <x:v>P0</x:v>
      </x:c>
      <x:c r="K1073" s="79" t="str">
        <x:v>https://github.com/darknigthmare/yautja-la-longue-chasse/pull/42</x:v>
      </x:c>
      <x:c r="L1073" s="79" t="str">
        <x:v>Non produites</x:v>
      </x:c>
    </x:row>
    <x:row r="1074" ht="29" customHeight="1">
      <x:c r="A1074" s="79" t="str">
        <x:v>13_V134_Sprites</x:v>
      </x:c>
      <x:c r="B1074" s="79" t="n">
        <x:v>26</x:v>
      </x:c>
      <x:c r="C1074" s="79" t="str">
        <x:v>PENDING-feral</x:v>
      </x:c>
      <x:c r="D1074" s="79" t="str">
        <x:v>Feral</x:v>
      </x:c>
      <x:c r="E1074" s="79" t="str">
        <x:v>Vues face/profil/dessus</x:v>
      </x:c>
      <x:c r="F1074" s="79" t="str">
        <x:v>OUVERT · production réelle</x:v>
      </x:c>
      <x:c r="G1074" s="79" t="str">
        <x:v>Produire calques indépendants après validation</x:v>
      </x:c>
      <x:c r="H1074" s="79" t="str">
        <x:v>ART 1:1</x:v>
      </x:c>
      <x:c r="I1074" s="79" t="str">
        <x:v>Non</x:v>
      </x:c>
      <x:c r="J1074" s="79" t="str">
        <x:v>P0</x:v>
      </x:c>
      <x:c r="K1074" s="79" t="str">
        <x:v>https://github.com/darknigthmare/yautja-la-longue-chasse/pull/42</x:v>
      </x:c>
      <x:c r="L1074" s="79" t="str">
        <x:v>Non produites</x:v>
      </x:c>
    </x:row>
    <x:row r="1075" ht="29" customHeight="1">
      <x:c r="A1075" s="79" t="str">
        <x:v>13_V134_Sprites</x:v>
      </x:c>
      <x:c r="B1075" s="79" t="n">
        <x:v>27</x:v>
      </x:c>
      <x:c r="C1075" s="79" t="str">
        <x:v>PENDING-dek</x:v>
      </x:c>
      <x:c r="D1075" s="79" t="str">
        <x:v>Dek</x:v>
      </x:c>
      <x:c r="E1075" s="79" t="str">
        <x:v>Vues face/profil/dessus</x:v>
      </x:c>
      <x:c r="F1075" s="79" t="str">
        <x:v>OUVERT · production réelle</x:v>
      </x:c>
      <x:c r="G1075" s="79" t="str">
        <x:v>Produire calques indépendants après validation</x:v>
      </x:c>
      <x:c r="H1075" s="79" t="str">
        <x:v>ART 1:1</x:v>
      </x:c>
      <x:c r="I1075" s="79" t="str">
        <x:v>Non</x:v>
      </x:c>
      <x:c r="J1075" s="79" t="str">
        <x:v>P0</x:v>
      </x:c>
      <x:c r="K1075" s="79" t="str">
        <x:v>https://github.com/darknigthmare/yautja-la-longue-chasse/pull/42</x:v>
      </x:c>
      <x:c r="L1075" s="79" t="str">
        <x:v>Non produites</x:v>
      </x:c>
    </x:row>
    <x:row r="1076" ht="29" customHeight="1">
      <x:c r="A1076" s="79" t="str">
        <x:v>13_V134_Sprites</x:v>
      </x:c>
      <x:c r="B1076" s="79" t="n">
        <x:v>28</x:v>
      </x:c>
      <x:c r="C1076" s="79" t="str">
        <x:v>PENDING-kwei</x:v>
      </x:c>
      <x:c r="D1076" s="79" t="str">
        <x:v>Kwei</x:v>
      </x:c>
      <x:c r="E1076" s="79" t="str">
        <x:v>Vues face/profil/dessus</x:v>
      </x:c>
      <x:c r="F1076" s="79" t="str">
        <x:v>OUVERT · production réelle</x:v>
      </x:c>
      <x:c r="G1076" s="79" t="str">
        <x:v>Produire calques indépendants après validation</x:v>
      </x:c>
      <x:c r="H1076" s="79" t="str">
        <x:v>ART 1:1</x:v>
      </x:c>
      <x:c r="I1076" s="79" t="str">
        <x:v>Non</x:v>
      </x:c>
      <x:c r="J1076" s="79" t="str">
        <x:v>P0</x:v>
      </x:c>
      <x:c r="K1076" s="79" t="str">
        <x:v>https://github.com/darknigthmare/yautja-la-longue-chasse/pull/42</x:v>
      </x:c>
      <x:c r="L1076" s="79" t="str">
        <x:v>Non produites</x:v>
      </x:c>
    </x:row>
    <x:row r="1077" ht="29" customHeight="1">
      <x:c r="A1077" s="79" t="str">
        <x:v>13_V134_Sprites</x:v>
      </x:c>
      <x:c r="B1077" s="79" t="n">
        <x:v>29</x:v>
      </x:c>
      <x:c r="C1077" s="79" t="str">
        <x:v>PENDING-njohrr</x:v>
      </x:c>
      <x:c r="D1077" s="79" t="str">
        <x:v>Njohrr</x:v>
      </x:c>
      <x:c r="E1077" s="79" t="str">
        <x:v>Vues face/profil/dessus</x:v>
      </x:c>
      <x:c r="F1077" s="79" t="str">
        <x:v>OUVERT · production réelle</x:v>
      </x:c>
      <x:c r="G1077" s="79" t="str">
        <x:v>Produire calques indépendants après validation</x:v>
      </x:c>
      <x:c r="H1077" s="79" t="str">
        <x:v>ART 1:1</x:v>
      </x:c>
      <x:c r="I1077" s="79" t="str">
        <x:v>Non</x:v>
      </x:c>
      <x:c r="J1077" s="79" t="str">
        <x:v>P0</x:v>
      </x:c>
      <x:c r="K1077" s="79" t="str">
        <x:v>https://github.com/darknigthmare/yautja-la-longue-chasse/pull/42</x:v>
      </x:c>
      <x:c r="L1077" s="79" t="str">
        <x:v>Non produites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47" hidden="0" customWidth="1"/>
    <x:col min="4" max="4" width="23" hidden="0" customWidth="1"/>
    <x:col min="5" max="5" width="25" hidden="0" customWidth="1"/>
    <x:col min="6" max="6" width="26" hidden="0" customWidth="1"/>
    <x:col min="7" max="7" width="29" hidden="0" customWidth="1"/>
    <x:col min="8" max="8" width="31" hidden="0" customWidth="1"/>
    <x:col min="9" max="9" width="40" hidden="0" customWidth="1"/>
    <x:col min="10" max="10" width="30" hidden="0" customWidth="1"/>
    <x:col min="11" max="11" width="28" hidden="0" customWidth="1"/>
    <x:col min="12" max="12" width="58" hidden="0" customWidth="1"/>
    <x:col min="13" max="13" width="24" hidden="0" customWidth="1"/>
  </x:cols>
  <x:sheetData>
    <x:row r="1" ht="38" customHeight="1">
      <x:c r="A1" s="85" t="str">
        <x:v>V137 | VALIDATION ARTISTIQUE INDIVIDUELLE (54/54 OUVERTS)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</x:row>
    <x:row r="2" ht="40" customHeight="1">
      <x:c r="A2" s="89" t="str">
        <x:v>Une PR verte n'est pas une validation 1:1. Toute certification exige photographies ou captures vérifiées, mesures, tests en vraie partie, revue humaine et contrôle des droits.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</x:row>
    <x:row r="4" ht="31" customHeight="1">
      <x:c r="A4" s="93" t="str">
        <x:v>ID</x:v>
      </x:c>
      <x:c r="B4" s="93" t="str">
        <x:v>Gauntlet</x:v>
      </x:c>
      <x:c r="C4" s="93" t="str">
        <x:v>Provenance</x:v>
      </x:c>
      <x:c r="D4" s="93" t="str">
        <x:v>3 angles</x:v>
      </x:c>
      <x:c r="E4" s="93" t="str">
        <x:v>Proportions/échelle</x:v>
      </x:c>
      <x:c r="F4" s="93" t="str">
        <x:v>Textures/patine</x:v>
      </x:c>
      <x:c r="G4" s="93" t="str">
        <x:v>Animations et rig</x:v>
      </x:c>
      <x:c r="H4" s="93" t="str">
        <x:v>Audio individuel</x:v>
      </x:c>
      <x:c r="I4" s="93" t="str">
        <x:v>QA navigateur du jeu</x:v>
      </x:c>
      <x:c r="J4" s="93" t="str">
        <x:v>4 testeurs indépendants</x:v>
      </x:c>
      <x:c r="K4" s="93" t="str">
        <x:v>Droits de franchise</x:v>
      </x:c>
      <x:c r="L4" s="93" t="str">
        <x:v>Lien d'approbation signée</x:v>
      </x:c>
      <x:c r="M4" s="93" t="str">
        <x:v>Décision technique</x:v>
      </x:c>
    </x:row>
    <x:row r="5" ht="29" customHeight="1">
      <x:c r="A5" s="79" t="str">
        <x:v>jungle-hunter</x:v>
      </x:c>
      <x:c r="B5" s="79" t="str">
        <x:v>Jungle Hunter · 1987</x:v>
      </x:c>
      <x:c r="C5" s="79" t="str">
        <x:v>Réf. identifiée, angles à valider</x:v>
      </x:c>
      <x:c r="D5" s="79" t="str">
        <x:v>OUVERT</x:v>
      </x:c>
      <x:c r="E5" s="79" t="str">
        <x:v>OUVERT</x:v>
      </x:c>
      <x:c r="F5" s="79" t="str">
        <x:v>OUVERT</x:v>
      </x:c>
      <x:c r="G5" s="79" t="str">
        <x:v>OUVERT</x:v>
      </x:c>
      <x:c r="H5" s="79" t="str">
        <x:v>OUVERT</x:v>
      </x:c>
      <x:c r="I5" s="79" t="str">
        <x:v>OUVERT</x:v>
      </x:c>
      <x:c r="J5" s="79" t="str">
        <x:v>OUVERT</x:v>
      </x:c>
      <x:c r="K5" s="79" t="str">
        <x:v>OUVERT</x:v>
      </x:c>
      <x:c r="L5" s="79" t="str"/>
      <x:c r="M5" s="79" t="str">
        <x:f>IF(AND(D5="VALIDÉ AVEC PREUVE",E5="VALIDÉ AVEC PREUVE",F5="VALIDÉ AVEC PREUVE",G5="VALIDÉ AVEC PREUVE",H5="VALIDÉ AVEC PREUVE",I5="VALIDÉ AVEC PREUVE",J5="VALIDÉ AVEC PREUVE",K5="VALIDÉ AVEC PREUVE",LEN(L5)&gt;10),"ADMISSIBLE À REVUE HUMAINE","BLOQUÉ / NON CERTIFIÉ")</x:f>
        <x:v>BLOQUÉ / NON CERTIFIÉ</x:v>
      </x:c>
    </x:row>
    <x:row r="6" ht="29" customHeight="1">
      <x:c r="A6" s="79" t="str">
        <x:v>city-hunter</x:v>
      </x:c>
      <x:c r="B6" s="79" t="str">
        <x:v>City Hunter · 1990</x:v>
      </x:c>
      <x:c r="C6" s="79" t="str">
        <x:v>Réf. identifiée, angles à valider</x:v>
      </x:c>
      <x:c r="D6" s="79" t="str">
        <x:v>OUVERT</x:v>
      </x:c>
      <x:c r="E6" s="79" t="str">
        <x:v>OUVERT</x:v>
      </x:c>
      <x:c r="F6" s="79" t="str">
        <x:v>OUVERT</x:v>
      </x:c>
      <x:c r="G6" s="79" t="str">
        <x:v>OUVERT</x:v>
      </x:c>
      <x:c r="H6" s="79" t="str">
        <x:v>OUVERT</x:v>
      </x:c>
      <x:c r="I6" s="79" t="str">
        <x:v>OUVERT</x:v>
      </x:c>
      <x:c r="J6" s="79" t="str">
        <x:v>OUVERT</x:v>
      </x:c>
      <x:c r="K6" s="79" t="str">
        <x:v>OUVERT</x:v>
      </x:c>
      <x:c r="L6" s="79" t="str"/>
      <x:c r="M6" s="79" t="str">
        <x:f>IF(AND(D6="VALIDÉ AVEC PREUVE",E6="VALIDÉ AVEC PREUVE",F6="VALIDÉ AVEC PREUVE",G6="VALIDÉ AVEC PREUVE",H6="VALIDÉ AVEC PREUVE",I6="VALIDÉ AVEC PREUVE",J6="VALIDÉ AVEC PREUVE",K6="VALIDÉ AVEC PREUVE",LEN(L6)&gt;10),"ADMISSIBLE À REVUE HUMAINE","BLOQUÉ / NON CERTIFIÉ")</x:f>
        <x:v>BLOQUÉ / NON CERTIFIÉ</x:v>
      </x:c>
    </x:row>
    <x:row r="7" ht="29" customHeight="1">
      <x:c r="A7" s="79" t="str">
        <x:v>greyback</x:v>
      </x:c>
      <x:c r="B7" s="79" t="str">
        <x:v>Greyback / Elder · 1990</x:v>
      </x:c>
      <x:c r="C7" s="79" t="str">
        <x:v>Plans/props à retrouver</x:v>
      </x:c>
      <x:c r="D7" s="79" t="str">
        <x:v>OUVERT</x:v>
      </x:c>
      <x:c r="E7" s="79" t="str">
        <x:v>OUVERT</x:v>
      </x:c>
      <x:c r="F7" s="79" t="str">
        <x:v>OUVERT</x:v>
      </x:c>
      <x:c r="G7" s="79" t="str">
        <x:v>OUVERT</x:v>
      </x:c>
      <x:c r="H7" s="79" t="str">
        <x:v>OUVERT</x:v>
      </x:c>
      <x:c r="I7" s="79" t="str">
        <x:v>OUVERT</x:v>
      </x:c>
      <x:c r="J7" s="79" t="str">
        <x:v>OUVERT</x:v>
      </x:c>
      <x:c r="K7" s="79" t="str">
        <x:v>OUVERT</x:v>
      </x:c>
      <x:c r="L7" s="79" t="str"/>
      <x:c r="M7" s="79" t="str">
        <x:f>IF(AND(D7="VALIDÉ AVEC PREUVE",E7="VALIDÉ AVEC PREUVE",F7="VALIDÉ AVEC PREUVE",G7="VALIDÉ AVEC PREUVE",H7="VALIDÉ AVEC PREUVE",I7="VALIDÉ AVEC PREUVE",J7="VALIDÉ AVEC PREUVE",K7="VALIDÉ AVEC PREUVE",LEN(L7)&gt;10),"ADMISSIBLE À REVUE HUMAINE","BLOQUÉ / NON CERTIFIÉ")</x:f>
        <x:v>BLOQUÉ / NON CERTIFIÉ</x:v>
      </x:c>
    </x:row>
    <x:row r="8" ht="29" customHeight="1">
      <x:c r="A8" s="79" t="str">
        <x:v>lost-boar</x:v>
      </x:c>
      <x:c r="B8" s="79" t="str">
        <x:v>Boar · Lost Tribe</x:v>
      </x:c>
      <x:c r="C8" s="79" t="str">
        <x:v>Plans/props à retrouver</x:v>
      </x:c>
      <x:c r="D8" s="79" t="str">
        <x:v>OUVERT</x:v>
      </x:c>
      <x:c r="E8" s="79" t="str">
        <x:v>OUVERT</x:v>
      </x:c>
      <x:c r="F8" s="79" t="str">
        <x:v>OUVERT</x:v>
      </x:c>
      <x:c r="G8" s="79" t="str">
        <x:v>OUVERT</x:v>
      </x:c>
      <x:c r="H8" s="79" t="str">
        <x:v>OUVERT</x:v>
      </x:c>
      <x:c r="I8" s="79" t="str">
        <x:v>OUVERT</x:v>
      </x:c>
      <x:c r="J8" s="79" t="str">
        <x:v>OUVERT</x:v>
      </x:c>
      <x:c r="K8" s="79" t="str">
        <x:v>OUVERT</x:v>
      </x:c>
      <x:c r="L8" s="79" t="str"/>
      <x:c r="M8" s="79" t="str">
        <x:f>IF(AND(D8="VALIDÉ AVEC PREUVE",E8="VALIDÉ AVEC PREUVE",F8="VALIDÉ AVEC PREUVE",G8="VALIDÉ AVEC PREUVE",H8="VALIDÉ AVEC PREUVE",I8="VALIDÉ AVEC PREUVE",J8="VALIDÉ AVEC PREUVE",K8="VALIDÉ AVEC PREUVE",LEN(L8)&gt;10),"ADMISSIBLE À REVUE HUMAINE","BLOQUÉ / NON CERTIFIÉ")</x:f>
        <x:v>BLOQUÉ / NON CERTIFIÉ</x:v>
      </x:c>
    </x:row>
    <x:row r="9" ht="29" customHeight="1">
      <x:c r="A9" s="79" t="str">
        <x:v>lost-shaman</x:v>
      </x:c>
      <x:c r="B9" s="79" t="str">
        <x:v>Shaman · Lost Tribe</x:v>
      </x:c>
      <x:c r="C9" s="79" t="str">
        <x:v>Plans/props à retrouver</x:v>
      </x:c>
      <x:c r="D9" s="79" t="str">
        <x:v>OUVERT</x:v>
      </x:c>
      <x:c r="E9" s="79" t="str">
        <x:v>OUVERT</x:v>
      </x:c>
      <x:c r="F9" s="79" t="str">
        <x:v>OUVERT</x:v>
      </x:c>
      <x:c r="G9" s="79" t="str">
        <x:v>OUVERT</x:v>
      </x:c>
      <x:c r="H9" s="79" t="str">
        <x:v>OUVERT</x:v>
      </x:c>
      <x:c r="I9" s="79" t="str">
        <x:v>OUVERT</x:v>
      </x:c>
      <x:c r="J9" s="79" t="str">
        <x:v>OUVERT</x:v>
      </x:c>
      <x:c r="K9" s="79" t="str">
        <x:v>OUVERT</x:v>
      </x:c>
      <x:c r="L9" s="79" t="str"/>
      <x:c r="M9" s="79" t="str">
        <x:f>IF(AND(D9="VALIDÉ AVEC PREUVE",E9="VALIDÉ AVEC PREUVE",F9="VALIDÉ AVEC PREUVE",G9="VALIDÉ AVEC PREUVE",H9="VALIDÉ AVEC PREUVE",I9="VALIDÉ AVEC PREUVE",J9="VALIDÉ AVEC PREUVE",K9="VALIDÉ AVEC PREUVE",LEN(L9)&gt;10),"ADMISSIBLE À REVUE HUMAINE","BLOQUÉ / NON CERTIFIÉ")</x:f>
        <x:v>BLOQUÉ / NON CERTIFIÉ</x:v>
      </x:c>
    </x:row>
    <x:row r="10" ht="29" customHeight="1">
      <x:c r="A10" s="79" t="str">
        <x:v>lost-guardian</x:v>
      </x:c>
      <x:c r="B10" s="79" t="str">
        <x:v>Guardian · Lost Tribe</x:v>
      </x:c>
      <x:c r="C10" s="79" t="str">
        <x:v>Plans/props à retrouver</x:v>
      </x:c>
      <x:c r="D10" s="79" t="str">
        <x:v>OUVERT</x:v>
      </x:c>
      <x:c r="E10" s="79" t="str">
        <x:v>OUVERT</x:v>
      </x:c>
      <x:c r="F10" s="79" t="str">
        <x:v>OUVERT</x:v>
      </x:c>
      <x:c r="G10" s="79" t="str">
        <x:v>OUVERT</x:v>
      </x:c>
      <x:c r="H10" s="79" t="str">
        <x:v>OUVERT</x:v>
      </x:c>
      <x:c r="I10" s="79" t="str">
        <x:v>OUVERT</x:v>
      </x:c>
      <x:c r="J10" s="79" t="str">
        <x:v>OUVERT</x:v>
      </x:c>
      <x:c r="K10" s="79" t="str">
        <x:v>OUVERT</x:v>
      </x:c>
      <x:c r="L10" s="79" t="str"/>
      <x:c r="M10" s="79" t="str">
        <x:f>IF(AND(D10="VALIDÉ AVEC PREUVE",E10="VALIDÉ AVEC PREUVE",F10="VALIDÉ AVEC PREUVE",G10="VALIDÉ AVEC PREUVE",H10="VALIDÉ AVEC PREUVE",I10="VALIDÉ AVEC PREUVE",J10="VALIDÉ AVEC PREUVE",K10="VALIDÉ AVEC PREUVE",LEN(L10)&gt;10),"ADMISSIBLE À REVUE HUMAINE","BLOQUÉ / NON CERTIFIÉ")</x:f>
        <x:v>BLOQUÉ / NON CERTIFIÉ</x:v>
      </x:c>
    </x:row>
    <x:row r="11" ht="29" customHeight="1">
      <x:c r="A11" s="79" t="str">
        <x:v>lost-stalker</x:v>
      </x:c>
      <x:c r="B11" s="79" t="str">
        <x:v>Stalker · Lost Tribe</x:v>
      </x:c>
      <x:c r="C11" s="79" t="str">
        <x:v>Plans/props à retrouver</x:v>
      </x:c>
      <x:c r="D11" s="79" t="str">
        <x:v>OUVERT</x:v>
      </x:c>
      <x:c r="E11" s="79" t="str">
        <x:v>OUVERT</x:v>
      </x:c>
      <x:c r="F11" s="79" t="str">
        <x:v>OUVERT</x:v>
      </x:c>
      <x:c r="G11" s="79" t="str">
        <x:v>OUVERT</x:v>
      </x:c>
      <x:c r="H11" s="79" t="str">
        <x:v>OUVERT</x:v>
      </x:c>
      <x:c r="I11" s="79" t="str">
        <x:v>OUVERT</x:v>
      </x:c>
      <x:c r="J11" s="79" t="str">
        <x:v>OUVERT</x:v>
      </x:c>
      <x:c r="K11" s="79" t="str">
        <x:v>OUVERT</x:v>
      </x:c>
      <x:c r="L11" s="79" t="str"/>
      <x:c r="M11" s="79" t="str">
        <x:f>IF(AND(D11="VALIDÉ AVEC PREUVE",E11="VALIDÉ AVEC PREUVE",F11="VALIDÉ AVEC PREUVE",G11="VALIDÉ AVEC PREUVE",H11="VALIDÉ AVEC PREUVE",I11="VALIDÉ AVEC PREUVE",J11="VALIDÉ AVEC PREUVE",K11="VALIDÉ AVEC PREUVE",LEN(L11)&gt;10),"ADMISSIBLE À REVUE HUMAINE","BLOQUÉ / NON CERTIFIÉ")</x:f>
        <x:v>BLOQUÉ / NON CERTIFIÉ</x:v>
      </x:c>
    </x:row>
    <x:row r="12" ht="29" customHeight="1">
      <x:c r="A12" s="79" t="str">
        <x:v>lost-snake</x:v>
      </x:c>
      <x:c r="B12" s="79" t="str">
        <x:v>Snake · Lost Tribe</x:v>
      </x:c>
      <x:c r="C12" s="79" t="str">
        <x:v>Plans/props à retrouver</x:v>
      </x:c>
      <x:c r="D12" s="79" t="str">
        <x:v>OUVERT</x:v>
      </x:c>
      <x:c r="E12" s="79" t="str">
        <x:v>OUVERT</x:v>
      </x:c>
      <x:c r="F12" s="79" t="str">
        <x:v>OUVERT</x:v>
      </x:c>
      <x:c r="G12" s="79" t="str">
        <x:v>OUVERT</x:v>
      </x:c>
      <x:c r="H12" s="79" t="str">
        <x:v>OUVERT</x:v>
      </x:c>
      <x:c r="I12" s="79" t="str">
        <x:v>OUVERT</x:v>
      </x:c>
      <x:c r="J12" s="79" t="str">
        <x:v>OUVERT</x:v>
      </x:c>
      <x:c r="K12" s="79" t="str">
        <x:v>OUVERT</x:v>
      </x:c>
      <x:c r="L12" s="79" t="str"/>
      <x:c r="M12" s="79" t="str">
        <x:f>IF(AND(D12="VALIDÉ AVEC PREUVE",E12="VALIDÉ AVEC PREUVE",F12="VALIDÉ AVEC PREUVE",G12="VALIDÉ AVEC PREUVE",H12="VALIDÉ AVEC PREUVE",I12="VALIDÉ AVEC PREUVE",J12="VALIDÉ AVEC PREUVE",K12="VALIDÉ AVEC PREUVE",LEN(L12)&gt;10),"ADMISSIBLE À REVUE HUMAINE","BLOQUÉ / NON CERTIFIÉ")</x:f>
        <x:v>BLOQUÉ / NON CERTIFIÉ</x:v>
      </x:c>
    </x:row>
    <x:row r="13" ht="29" customHeight="1">
      <x:c r="A13" s="79" t="str">
        <x:v>lost-warrior</x:v>
      </x:c>
      <x:c r="B13" s="79" t="str">
        <x:v>Warrior · Lost Tribe</x:v>
      </x:c>
      <x:c r="C13" s="79" t="str">
        <x:v>Plans/props à retrouver</x:v>
      </x:c>
      <x:c r="D13" s="79" t="str">
        <x:v>OUVERT</x:v>
      </x:c>
      <x:c r="E13" s="79" t="str">
        <x:v>OUVERT</x:v>
      </x:c>
      <x:c r="F13" s="79" t="str">
        <x:v>OUVERT</x:v>
      </x:c>
      <x:c r="G13" s="79" t="str">
        <x:v>OUVERT</x:v>
      </x:c>
      <x:c r="H13" s="79" t="str">
        <x:v>OUVERT</x:v>
      </x:c>
      <x:c r="I13" s="79" t="str">
        <x:v>OUVERT</x:v>
      </x:c>
      <x:c r="J13" s="79" t="str">
        <x:v>OUVERT</x:v>
      </x:c>
      <x:c r="K13" s="79" t="str">
        <x:v>OUVERT</x:v>
      </x:c>
      <x:c r="L13" s="79" t="str"/>
      <x:c r="M13" s="79" t="str">
        <x:f>IF(AND(D13="VALIDÉ AVEC PREUVE",E13="VALIDÉ AVEC PREUVE",F13="VALIDÉ AVEC PREUVE",G13="VALIDÉ AVEC PREUVE",H13="VALIDÉ AVEC PREUVE",I13="VALIDÉ AVEC PREUVE",J13="VALIDÉ AVEC PREUVE",K13="VALIDÉ AVEC PREUVE",LEN(L13)&gt;10),"ADMISSIBLE À REVUE HUMAINE","BLOQUÉ / NON CERTIFIÉ")</x:f>
        <x:v>BLOQUÉ / NON CERTIFIÉ</x:v>
      </x:c>
    </x:row>
    <x:row r="14" ht="29" customHeight="1">
      <x:c r="A14" s="79" t="str">
        <x:v>lost-scout</x:v>
      </x:c>
      <x:c r="B14" s="79" t="str">
        <x:v>Scout · Lost Tribe</x:v>
      </x:c>
      <x:c r="C14" s="79" t="str">
        <x:v>Plans/props à retrouver</x:v>
      </x:c>
      <x:c r="D14" s="79" t="str">
        <x:v>OUVERT</x:v>
      </x:c>
      <x:c r="E14" s="79" t="str">
        <x:v>OUVERT</x:v>
      </x:c>
      <x:c r="F14" s="79" t="str">
        <x:v>OUVERT</x:v>
      </x:c>
      <x:c r="G14" s="79" t="str">
        <x:v>OUVERT</x:v>
      </x:c>
      <x:c r="H14" s="79" t="str">
        <x:v>OUVERT</x:v>
      </x:c>
      <x:c r="I14" s="79" t="str">
        <x:v>OUVERT</x:v>
      </x:c>
      <x:c r="J14" s="79" t="str">
        <x:v>OUVERT</x:v>
      </x:c>
      <x:c r="K14" s="79" t="str">
        <x:v>OUVERT</x:v>
      </x:c>
      <x:c r="L14" s="79" t="str"/>
      <x:c r="M14" s="79" t="str">
        <x:f>IF(AND(D14="VALIDÉ AVEC PREUVE",E14="VALIDÉ AVEC PREUVE",F14="VALIDÉ AVEC PREUVE",G14="VALIDÉ AVEC PREUVE",H14="VALIDÉ AVEC PREUVE",I14="VALIDÉ AVEC PREUVE",J14="VALIDÉ AVEC PREUVE",K14="VALIDÉ AVEC PREUVE",LEN(L14)&gt;10),"ADMISSIBLE À REVUE HUMAINE","BLOQUÉ / NON CERTIFIÉ")</x:f>
        <x:v>BLOQUÉ / NON CERTIFIÉ</x:v>
      </x:c>
    </x:row>
    <x:row r="15" ht="29" customHeight="1">
      <x:c r="A15" s="79" t="str">
        <x:v>lost-borg</x:v>
      </x:c>
      <x:c r="B15" s="79" t="str">
        <x:v>Lost / Borg · Lost Tribe</x:v>
      </x:c>
      <x:c r="C15" s="79" t="str">
        <x:v>Plans/props à retrouver</x:v>
      </x:c>
      <x:c r="D15" s="79" t="str">
        <x:v>OUVERT</x:v>
      </x:c>
      <x:c r="E15" s="79" t="str">
        <x:v>OUVERT</x:v>
      </x:c>
      <x:c r="F15" s="79" t="str">
        <x:v>OUVERT</x:v>
      </x:c>
      <x:c r="G15" s="79" t="str">
        <x:v>OUVERT</x:v>
      </x:c>
      <x:c r="H15" s="79" t="str">
        <x:v>OUVERT</x:v>
      </x:c>
      <x:c r="I15" s="79" t="str">
        <x:v>OUVERT</x:v>
      </x:c>
      <x:c r="J15" s="79" t="str">
        <x:v>OUVERT</x:v>
      </x:c>
      <x:c r="K15" s="79" t="str">
        <x:v>OUVERT</x:v>
      </x:c>
      <x:c r="L15" s="79" t="str"/>
      <x:c r="M15" s="79" t="str">
        <x:f>IF(AND(D15="VALIDÉ AVEC PREUVE",E15="VALIDÉ AVEC PREUVE",F15="VALIDÉ AVEC PREUVE",G15="VALIDÉ AVEC PREUVE",H15="VALIDÉ AVEC PREUVE",I15="VALIDÉ AVEC PREUVE",J15="VALIDÉ AVEC PREUVE",K15="VALIDÉ AVEC PREUVE",LEN(L15)&gt;10),"ADMISSIBLE À REVUE HUMAINE","BLOQUÉ / NON CERTIFIÉ")</x:f>
        <x:v>BLOQUÉ / NON CERTIFIÉ</x:v>
      </x:c>
    </x:row>
    <x:row r="16" ht="29" customHeight="1">
      <x:c r="A16" s="79" t="str">
        <x:v>scar</x:v>
      </x:c>
      <x:c r="B16" s="79" t="str">
        <x:v>Scar · AVP 2004</x:v>
      </x:c>
      <x:c r="C16" s="79" t="str">
        <x:v>Plans/props à retrouver</x:v>
      </x:c>
      <x:c r="D16" s="79" t="str">
        <x:v>OUVERT</x:v>
      </x:c>
      <x:c r="E16" s="79" t="str">
        <x:v>OUVERT</x:v>
      </x:c>
      <x:c r="F16" s="79" t="str">
        <x:v>OUVERT</x:v>
      </x:c>
      <x:c r="G16" s="79" t="str">
        <x:v>OUVERT</x:v>
      </x:c>
      <x:c r="H16" s="79" t="str">
        <x:v>OUVERT</x:v>
      </x:c>
      <x:c r="I16" s="79" t="str">
        <x:v>OUVERT</x:v>
      </x:c>
      <x:c r="J16" s="79" t="str">
        <x:v>OUVERT</x:v>
      </x:c>
      <x:c r="K16" s="79" t="str">
        <x:v>OUVERT</x:v>
      </x:c>
      <x:c r="L16" s="79" t="str"/>
      <x:c r="M16" s="79" t="str">
        <x:f>IF(AND(D16="VALIDÉ AVEC PREUVE",E16="VALIDÉ AVEC PREUVE",F16="VALIDÉ AVEC PREUVE",G16="VALIDÉ AVEC PREUVE",H16="VALIDÉ AVEC PREUVE",I16="VALIDÉ AVEC PREUVE",J16="VALIDÉ AVEC PREUVE",K16="VALIDÉ AVEC PREUVE",LEN(L16)&gt;10),"ADMISSIBLE À REVUE HUMAINE","BLOQUÉ / NON CERTIFIÉ")</x:f>
        <x:v>BLOQUÉ / NON CERTIFIÉ</x:v>
      </x:c>
    </x:row>
    <x:row r="17" ht="29" customHeight="1">
      <x:c r="A17" s="79" t="str">
        <x:v>celtic</x:v>
      </x:c>
      <x:c r="B17" s="79" t="str">
        <x:v>Celtic · AVP 2004</x:v>
      </x:c>
      <x:c r="C17" s="79" t="str">
        <x:v>Plans/props à retrouver</x:v>
      </x:c>
      <x:c r="D17" s="79" t="str">
        <x:v>OUVERT</x:v>
      </x:c>
      <x:c r="E17" s="79" t="str">
        <x:v>OUVERT</x:v>
      </x:c>
      <x:c r="F17" s="79" t="str">
        <x:v>OUVERT</x:v>
      </x:c>
      <x:c r="G17" s="79" t="str">
        <x:v>OUVERT</x:v>
      </x:c>
      <x:c r="H17" s="79" t="str">
        <x:v>OUVERT</x:v>
      </x:c>
      <x:c r="I17" s="79" t="str">
        <x:v>OUVERT</x:v>
      </x:c>
      <x:c r="J17" s="79" t="str">
        <x:v>OUVERT</x:v>
      </x:c>
      <x:c r="K17" s="79" t="str">
        <x:v>OUVERT</x:v>
      </x:c>
      <x:c r="L17" s="79" t="str"/>
      <x:c r="M17" s="79" t="str">
        <x:f>IF(AND(D17="VALIDÉ AVEC PREUVE",E17="VALIDÉ AVEC PREUVE",F17="VALIDÉ AVEC PREUVE",G17="VALIDÉ AVEC PREUVE",H17="VALIDÉ AVEC PREUVE",I17="VALIDÉ AVEC PREUVE",J17="VALIDÉ AVEC PREUVE",K17="VALIDÉ AVEC PREUVE",LEN(L17)&gt;10),"ADMISSIBLE À REVUE HUMAINE","BLOQUÉ / NON CERTIFIÉ")</x:f>
        <x:v>BLOQUÉ / NON CERTIFIÉ</x:v>
      </x:c>
    </x:row>
    <x:row r="18" ht="29" customHeight="1">
      <x:c r="A18" s="79" t="str">
        <x:v>chopper</x:v>
      </x:c>
      <x:c r="B18" s="79" t="str">
        <x:v>Chopper · AVP 2004</x:v>
      </x:c>
      <x:c r="C18" s="79" t="str">
        <x:v>Plans/props à retrouver</x:v>
      </x:c>
      <x:c r="D18" s="79" t="str">
        <x:v>OUVERT</x:v>
      </x:c>
      <x:c r="E18" s="79" t="str">
        <x:v>OUVERT</x:v>
      </x:c>
      <x:c r="F18" s="79" t="str">
        <x:v>OUVERT</x:v>
      </x:c>
      <x:c r="G18" s="79" t="str">
        <x:v>OUVERT</x:v>
      </x:c>
      <x:c r="H18" s="79" t="str">
        <x:v>OUVERT</x:v>
      </x:c>
      <x:c r="I18" s="79" t="str">
        <x:v>OUVERT</x:v>
      </x:c>
      <x:c r="J18" s="79" t="str">
        <x:v>OUVERT</x:v>
      </x:c>
      <x:c r="K18" s="79" t="str">
        <x:v>OUVERT</x:v>
      </x:c>
      <x:c r="L18" s="79" t="str"/>
      <x:c r="M18" s="79" t="str">
        <x:f>IF(AND(D18="VALIDÉ AVEC PREUVE",E18="VALIDÉ AVEC PREUVE",F18="VALIDÉ AVEC PREUVE",G18="VALIDÉ AVEC PREUVE",H18="VALIDÉ AVEC PREUVE",I18="VALIDÉ AVEC PREUVE",J18="VALIDÉ AVEC PREUVE",K18="VALIDÉ AVEC PREUVE",LEN(L18)&gt;10),"ADMISSIBLE À REVUE HUMAINE","BLOQUÉ / NON CERTIFIÉ")</x:f>
        <x:v>BLOQUÉ / NON CERTIFIÉ</x:v>
      </x:c>
    </x:row>
    <x:row r="19" ht="29" customHeight="1">
      <x:c r="A19" s="79" t="str">
        <x:v>avp-elder</x:v>
      </x:c>
      <x:c r="B19" s="79" t="str">
        <x:v>Elder · AVP 2004</x:v>
      </x:c>
      <x:c r="C19" s="79" t="str">
        <x:v>Plans/props à retrouver</x:v>
      </x:c>
      <x:c r="D19" s="79" t="str">
        <x:v>OUVERT</x:v>
      </x:c>
      <x:c r="E19" s="79" t="str">
        <x:v>OUVERT</x:v>
      </x:c>
      <x:c r="F19" s="79" t="str">
        <x:v>OUVERT</x:v>
      </x:c>
      <x:c r="G19" s="79" t="str">
        <x:v>OUVERT</x:v>
      </x:c>
      <x:c r="H19" s="79" t="str">
        <x:v>OUVERT</x:v>
      </x:c>
      <x:c r="I19" s="79" t="str">
        <x:v>OUVERT</x:v>
      </x:c>
      <x:c r="J19" s="79" t="str">
        <x:v>OUVERT</x:v>
      </x:c>
      <x:c r="K19" s="79" t="str">
        <x:v>OUVERT</x:v>
      </x:c>
      <x:c r="L19" s="79" t="str"/>
      <x:c r="M19" s="79" t="str">
        <x:f>IF(AND(D19="VALIDÉ AVEC PREUVE",E19="VALIDÉ AVEC PREUVE",F19="VALIDÉ AVEC PREUVE",G19="VALIDÉ AVEC PREUVE",H19="VALIDÉ AVEC PREUVE",I19="VALIDÉ AVEC PREUVE",J19="VALIDÉ AVEC PREUVE",K19="VALIDÉ AVEC PREUVE",LEN(L19)&gt;10),"ADMISSIBLE À REVUE HUMAINE","BLOQUÉ / NON CERTIFIÉ")</x:f>
        <x:v>BLOQUÉ / NON CERTIFIÉ</x:v>
      </x:c>
    </x:row>
    <x:row r="20" ht="29" customHeight="1">
      <x:c r="A20" s="79" t="str">
        <x:v>wolf</x:v>
      </x:c>
      <x:c r="B20" s="79" t="str">
        <x:v>Wolf · AVP-R 2007</x:v>
      </x:c>
      <x:c r="C20" s="79" t="str">
        <x:v>Réf. identifiée, angles à valider</x:v>
      </x:c>
      <x:c r="D20" s="79" t="str">
        <x:v>OUVERT</x:v>
      </x:c>
      <x:c r="E20" s="79" t="str">
        <x:v>OUVERT</x:v>
      </x:c>
      <x:c r="F20" s="79" t="str">
        <x:v>OUVERT</x:v>
      </x:c>
      <x:c r="G20" s="79" t="str">
        <x:v>OUVERT</x:v>
      </x:c>
      <x:c r="H20" s="79" t="str">
        <x:v>OUVERT</x:v>
      </x:c>
      <x:c r="I20" s="79" t="str">
        <x:v>OUVERT</x:v>
      </x:c>
      <x:c r="J20" s="79" t="str">
        <x:v>OUVERT</x:v>
      </x:c>
      <x:c r="K20" s="79" t="str">
        <x:v>OUVERT</x:v>
      </x:c>
      <x:c r="L20" s="79" t="str"/>
      <x:c r="M20" s="79" t="str">
        <x:f>IF(AND(D20="VALIDÉ AVEC PREUVE",E20="VALIDÉ AVEC PREUVE",F20="VALIDÉ AVEC PREUVE",G20="VALIDÉ AVEC PREUVE",H20="VALIDÉ AVEC PREUVE",I20="VALIDÉ AVEC PREUVE",J20="VALIDÉ AVEC PREUVE",K20="VALIDÉ AVEC PREUVE",LEN(L20)&gt;10),"ADMISSIBLE À REVUE HUMAINE","BLOQUÉ / NON CERTIFIÉ")</x:f>
        <x:v>BLOQUÉ / NON CERTIFIÉ</x:v>
      </x:c>
    </x:row>
    <x:row r="21" ht="29" customHeight="1">
      <x:c r="A21" s="79" t="str">
        <x:v>captured-classic</x:v>
      </x:c>
      <x:c r="B21" s="79" t="str">
        <x:v>Captured / Classic · Predators 2010</x:v>
      </x:c>
      <x:c r="C21" s="79" t="str">
        <x:v>Plans/props à retrouver</x:v>
      </x:c>
      <x:c r="D21" s="79" t="str">
        <x:v>OUVERT</x:v>
      </x:c>
      <x:c r="E21" s="79" t="str">
        <x:v>OUVERT</x:v>
      </x:c>
      <x:c r="F21" s="79" t="str">
        <x:v>OUVERT</x:v>
      </x:c>
      <x:c r="G21" s="79" t="str">
        <x:v>OUVERT</x:v>
      </x:c>
      <x:c r="H21" s="79" t="str">
        <x:v>OUVERT</x:v>
      </x:c>
      <x:c r="I21" s="79" t="str">
        <x:v>OUVERT</x:v>
      </x:c>
      <x:c r="J21" s="79" t="str">
        <x:v>OUVERT</x:v>
      </x:c>
      <x:c r="K21" s="79" t="str">
        <x:v>OUVERT</x:v>
      </x:c>
      <x:c r="L21" s="79" t="str"/>
      <x:c r="M21" s="79" t="str">
        <x:f>IF(AND(D21="VALIDÉ AVEC PREUVE",E21="VALIDÉ AVEC PREUVE",F21="VALIDÉ AVEC PREUVE",G21="VALIDÉ AVEC PREUVE",H21="VALIDÉ AVEC PREUVE",I21="VALIDÉ AVEC PREUVE",J21="VALIDÉ AVEC PREUVE",K21="VALIDÉ AVEC PREUVE",LEN(L21)&gt;10),"ADMISSIBLE À REVUE HUMAINE","BLOQUÉ / NON CERTIFIÉ")</x:f>
        <x:v>BLOQUÉ / NON CERTIFIÉ</x:v>
      </x:c>
    </x:row>
    <x:row r="22" ht="29" customHeight="1">
      <x:c r="A22" s="79" t="str">
        <x:v>berserker-2010</x:v>
      </x:c>
      <x:c r="B22" s="79" t="str">
        <x:v>Mr Black / Berserker · 2010</x:v>
      </x:c>
      <x:c r="C22" s="79" t="str">
        <x:v>Plans/props à retrouver</x:v>
      </x:c>
      <x:c r="D22" s="79" t="str">
        <x:v>OUVERT</x:v>
      </x:c>
      <x:c r="E22" s="79" t="str">
        <x:v>OUVERT</x:v>
      </x:c>
      <x:c r="F22" s="79" t="str">
        <x:v>OUVERT</x:v>
      </x:c>
      <x:c r="G22" s="79" t="str">
        <x:v>OUVERT</x:v>
      </x:c>
      <x:c r="H22" s="79" t="str">
        <x:v>OUVERT</x:v>
      </x:c>
      <x:c r="I22" s="79" t="str">
        <x:v>OUVERT</x:v>
      </x:c>
      <x:c r="J22" s="79" t="str">
        <x:v>OUVERT</x:v>
      </x:c>
      <x:c r="K22" s="79" t="str">
        <x:v>OUVERT</x:v>
      </x:c>
      <x:c r="L22" s="79" t="str"/>
      <x:c r="M22" s="79" t="str">
        <x:f>IF(AND(D22="VALIDÉ AVEC PREUVE",E22="VALIDÉ AVEC PREUVE",F22="VALIDÉ AVEC PREUVE",G22="VALIDÉ AVEC PREUVE",H22="VALIDÉ AVEC PREUVE",I22="VALIDÉ AVEC PREUVE",J22="VALIDÉ AVEC PREUVE",K22="VALIDÉ AVEC PREUVE",LEN(L22)&gt;10),"ADMISSIBLE À REVUE HUMAINE","BLOQUÉ / NON CERTIFIÉ")</x:f>
        <x:v>BLOQUÉ / NON CERTIFIÉ</x:v>
      </x:c>
    </x:row>
    <x:row r="23" ht="29" customHeight="1">
      <x:c r="A23" s="79" t="str">
        <x:v>falconer-2010</x:v>
      </x:c>
      <x:c r="B23" s="79" t="str">
        <x:v>Falconer · 2010</x:v>
      </x:c>
      <x:c r="C23" s="79" t="str">
        <x:v>Plans/props à retrouver</x:v>
      </x:c>
      <x:c r="D23" s="79" t="str">
        <x:v>OUVERT</x:v>
      </x:c>
      <x:c r="E23" s="79" t="str">
        <x:v>OUVERT</x:v>
      </x:c>
      <x:c r="F23" s="79" t="str">
        <x:v>OUVERT</x:v>
      </x:c>
      <x:c r="G23" s="79" t="str">
        <x:v>OUVERT</x:v>
      </x:c>
      <x:c r="H23" s="79" t="str">
        <x:v>OUVERT</x:v>
      </x:c>
      <x:c r="I23" s="79" t="str">
        <x:v>OUVERT</x:v>
      </x:c>
      <x:c r="J23" s="79" t="str">
        <x:v>OUVERT</x:v>
      </x:c>
      <x:c r="K23" s="79" t="str">
        <x:v>OUVERT</x:v>
      </x:c>
      <x:c r="L23" s="79" t="str"/>
      <x:c r="M23" s="79" t="str">
        <x:f>IF(AND(D23="VALIDÉ AVEC PREUVE",E23="VALIDÉ AVEC PREUVE",F23="VALIDÉ AVEC PREUVE",G23="VALIDÉ AVEC PREUVE",H23="VALIDÉ AVEC PREUVE",I23="VALIDÉ AVEC PREUVE",J23="VALIDÉ AVEC PREUVE",K23="VALIDÉ AVEC PREUVE",LEN(L23)&gt;10),"ADMISSIBLE À REVUE HUMAINE","BLOQUÉ / NON CERTIFIÉ")</x:f>
        <x:v>BLOQUÉ / NON CERTIFIÉ</x:v>
      </x:c>
    </x:row>
    <x:row r="24" ht="29" customHeight="1">
      <x:c r="A24" s="79" t="str">
        <x:v>tracker-2010</x:v>
      </x:c>
      <x:c r="B24" s="79" t="str">
        <x:v>Tracker · 2010</x:v>
      </x:c>
      <x:c r="C24" s="79" t="str">
        <x:v>Plans/props à retrouver</x:v>
      </x:c>
      <x:c r="D24" s="79" t="str">
        <x:v>OUVERT</x:v>
      </x:c>
      <x:c r="E24" s="79" t="str">
        <x:v>OUVERT</x:v>
      </x:c>
      <x:c r="F24" s="79" t="str">
        <x:v>OUVERT</x:v>
      </x:c>
      <x:c r="G24" s="79" t="str">
        <x:v>OUVERT</x:v>
      </x:c>
      <x:c r="H24" s="79" t="str">
        <x:v>OUVERT</x:v>
      </x:c>
      <x:c r="I24" s="79" t="str">
        <x:v>OUVERT</x:v>
      </x:c>
      <x:c r="J24" s="79" t="str">
        <x:v>OUVERT</x:v>
      </x:c>
      <x:c r="K24" s="79" t="str">
        <x:v>OUVERT</x:v>
      </x:c>
      <x:c r="L24" s="79" t="str"/>
      <x:c r="M24" s="79" t="str">
        <x:f>IF(AND(D24="VALIDÉ AVEC PREUVE",E24="VALIDÉ AVEC PREUVE",F24="VALIDÉ AVEC PREUVE",G24="VALIDÉ AVEC PREUVE",H24="VALIDÉ AVEC PREUVE",I24="VALIDÉ AVEC PREUVE",J24="VALIDÉ AVEC PREUVE",K24="VALIDÉ AVEC PREUVE",LEN(L24)&gt;10),"ADMISSIBLE À REVUE HUMAINE","BLOQUÉ / NON CERTIFIÉ")</x:f>
        <x:v>BLOQUÉ / NON CERTIFIÉ</x:v>
      </x:c>
    </x:row>
    <x:row r="25" ht="29" customHeight="1">
      <x:c r="A25" s="79" t="str">
        <x:v>fugitive</x:v>
      </x:c>
      <x:c r="B25" s="79" t="str">
        <x:v>Fugitive · The Predator 2018</x:v>
      </x:c>
      <x:c r="C25" s="79" t="str">
        <x:v>Plans/props à retrouver</x:v>
      </x:c>
      <x:c r="D25" s="79" t="str">
        <x:v>OUVERT</x:v>
      </x:c>
      <x:c r="E25" s="79" t="str">
        <x:v>OUVERT</x:v>
      </x:c>
      <x:c r="F25" s="79" t="str">
        <x:v>OUVERT</x:v>
      </x:c>
      <x:c r="G25" s="79" t="str">
        <x:v>OUVERT</x:v>
      </x:c>
      <x:c r="H25" s="79" t="str">
        <x:v>OUVERT</x:v>
      </x:c>
      <x:c r="I25" s="79" t="str">
        <x:v>OUVERT</x:v>
      </x:c>
      <x:c r="J25" s="79" t="str">
        <x:v>OUVERT</x:v>
      </x:c>
      <x:c r="K25" s="79" t="str">
        <x:v>OUVERT</x:v>
      </x:c>
      <x:c r="L25" s="79" t="str"/>
      <x:c r="M25" s="79" t="str">
        <x:f>IF(AND(D25="VALIDÉ AVEC PREUVE",E25="VALIDÉ AVEC PREUVE",F25="VALIDÉ AVEC PREUVE",G25="VALIDÉ AVEC PREUVE",H25="VALIDÉ AVEC PREUVE",I25="VALIDÉ AVEC PREUVE",J25="VALIDÉ AVEC PREUVE",K25="VALIDÉ AVEC PREUVE",LEN(L25)&gt;10),"ADMISSIBLE À REVUE HUMAINE","BLOQUÉ / NON CERTIFIÉ")</x:f>
        <x:v>BLOQUÉ / NON CERTIFIÉ</x:v>
      </x:c>
    </x:row>
    <x:row r="26" ht="29" customHeight="1">
      <x:c r="A26" s="79" t="str">
        <x:v>assassin</x:v>
      </x:c>
      <x:c r="B26" s="79" t="str">
        <x:v>Upgrade / Assassin · The Predator 2018</x:v>
      </x:c>
      <x:c r="C26" s="79" t="str">
        <x:v>Plans/props à retrouver</x:v>
      </x:c>
      <x:c r="D26" s="79" t="str">
        <x:v>OUVERT</x:v>
      </x:c>
      <x:c r="E26" s="79" t="str">
        <x:v>OUVERT</x:v>
      </x:c>
      <x:c r="F26" s="79" t="str">
        <x:v>OUVERT</x:v>
      </x:c>
      <x:c r="G26" s="79" t="str">
        <x:v>OUVERT</x:v>
      </x:c>
      <x:c r="H26" s="79" t="str">
        <x:v>OUVERT</x:v>
      </x:c>
      <x:c r="I26" s="79" t="str">
        <x:v>OUVERT</x:v>
      </x:c>
      <x:c r="J26" s="79" t="str">
        <x:v>OUVERT</x:v>
      </x:c>
      <x:c r="K26" s="79" t="str">
        <x:v>OUVERT</x:v>
      </x:c>
      <x:c r="L26" s="79" t="str"/>
      <x:c r="M26" s="79" t="str">
        <x:f>IF(AND(D26="VALIDÉ AVEC PREUVE",E26="VALIDÉ AVEC PREUVE",F26="VALIDÉ AVEC PREUVE",G26="VALIDÉ AVEC PREUVE",H26="VALIDÉ AVEC PREUVE",I26="VALIDÉ AVEC PREUVE",J26="VALIDÉ AVEC PREUVE",K26="VALIDÉ AVEC PREUVE",LEN(L26)&gt;10),"ADMISSIBLE À REVUE HUMAINE","BLOQUÉ / NON CERTIFIÉ")</x:f>
        <x:v>BLOQUÉ / NON CERTIFIÉ</x:v>
      </x:c>
    </x:row>
    <x:row r="27" ht="29" customHeight="1">
      <x:c r="A27" s="79" t="str">
        <x:v>feral</x:v>
      </x:c>
      <x:c r="B27" s="79" t="str">
        <x:v>Feral · Prey 2022</x:v>
      </x:c>
      <x:c r="C27" s="79" t="str">
        <x:v>Réf. identifiée, angles à valider</x:v>
      </x:c>
      <x:c r="D27" s="79" t="str">
        <x:v>OUVERT</x:v>
      </x:c>
      <x:c r="E27" s="79" t="str">
        <x:v>OUVERT</x:v>
      </x:c>
      <x:c r="F27" s="79" t="str">
        <x:v>OUVERT</x:v>
      </x:c>
      <x:c r="G27" s="79" t="str">
        <x:v>OUVERT</x:v>
      </x:c>
      <x:c r="H27" s="79" t="str">
        <x:v>OUVERT</x:v>
      </x:c>
      <x:c r="I27" s="79" t="str">
        <x:v>OUVERT</x:v>
      </x:c>
      <x:c r="J27" s="79" t="str">
        <x:v>OUVERT</x:v>
      </x:c>
      <x:c r="K27" s="79" t="str">
        <x:v>OUVERT</x:v>
      </x:c>
      <x:c r="L27" s="79" t="str"/>
      <x:c r="M27" s="79" t="str">
        <x:f>IF(AND(D27="VALIDÉ AVEC PREUVE",E27="VALIDÉ AVEC PREUVE",F27="VALIDÉ AVEC PREUVE",G27="VALIDÉ AVEC PREUVE",H27="VALIDÉ AVEC PREUVE",I27="VALIDÉ AVEC PREUVE",J27="VALIDÉ AVEC PREUVE",K27="VALIDÉ AVEC PREUVE",LEN(L27)&gt;10),"ADMISSIBLE À REVUE HUMAINE","BLOQUÉ / NON CERTIFIÉ")</x:f>
        <x:v>BLOQUÉ / NON CERTIFIÉ</x:v>
      </x:c>
    </x:row>
    <x:row r="28" ht="29" customHeight="1">
      <x:c r="A28" s="79" t="str">
        <x:v>dek</x:v>
      </x:c>
      <x:c r="B28" s="79" t="str">
        <x:v>Dek · Badlands 2025</x:v>
      </x:c>
      <x:c r="C28" s="79" t="str">
        <x:v>Réf. identifiée, angles à valider</x:v>
      </x:c>
      <x:c r="D28" s="79" t="str">
        <x:v>OUVERT</x:v>
      </x:c>
      <x:c r="E28" s="79" t="str">
        <x:v>OUVERT</x:v>
      </x:c>
      <x:c r="F28" s="79" t="str">
        <x:v>OUVERT</x:v>
      </x:c>
      <x:c r="G28" s="79" t="str">
        <x:v>OUVERT</x:v>
      </x:c>
      <x:c r="H28" s="79" t="str">
        <x:v>OUVERT</x:v>
      </x:c>
      <x:c r="I28" s="79" t="str">
        <x:v>OUVERT</x:v>
      </x:c>
      <x:c r="J28" s="79" t="str">
        <x:v>OUVERT</x:v>
      </x:c>
      <x:c r="K28" s="79" t="str">
        <x:v>OUVERT</x:v>
      </x:c>
      <x:c r="L28" s="79" t="str"/>
      <x:c r="M28" s="79" t="str">
        <x:f>IF(AND(D28="VALIDÉ AVEC PREUVE",E28="VALIDÉ AVEC PREUVE",F28="VALIDÉ AVEC PREUVE",G28="VALIDÉ AVEC PREUVE",H28="VALIDÉ AVEC PREUVE",I28="VALIDÉ AVEC PREUVE",J28="VALIDÉ AVEC PREUVE",K28="VALIDÉ AVEC PREUVE",LEN(L28)&gt;10),"ADMISSIBLE À REVUE HUMAINE","BLOQUÉ / NON CERTIFIÉ")</x:f>
        <x:v>BLOQUÉ / NON CERTIFIÉ</x:v>
      </x:c>
    </x:row>
    <x:row r="29" ht="29" customHeight="1">
      <x:c r="A29" s="79" t="str">
        <x:v>kwei</x:v>
      </x:c>
      <x:c r="B29" s="79" t="str">
        <x:v>Kwei · Badlands 2025</x:v>
      </x:c>
      <x:c r="C29" s="79" t="str">
        <x:v>Plans/props à retrouver</x:v>
      </x:c>
      <x:c r="D29" s="79" t="str">
        <x:v>OUVERT</x:v>
      </x:c>
      <x:c r="E29" s="79" t="str">
        <x:v>OUVERT</x:v>
      </x:c>
      <x:c r="F29" s="79" t="str">
        <x:v>OUVERT</x:v>
      </x:c>
      <x:c r="G29" s="79" t="str">
        <x:v>OUVERT</x:v>
      </x:c>
      <x:c r="H29" s="79" t="str">
        <x:v>OUVERT</x:v>
      </x:c>
      <x:c r="I29" s="79" t="str">
        <x:v>OUVERT</x:v>
      </x:c>
      <x:c r="J29" s="79" t="str">
        <x:v>OUVERT</x:v>
      </x:c>
      <x:c r="K29" s="79" t="str">
        <x:v>OUVERT</x:v>
      </x:c>
      <x:c r="L29" s="79" t="str"/>
      <x:c r="M29" s="79" t="str">
        <x:f>IF(AND(D29="VALIDÉ AVEC PREUVE",E29="VALIDÉ AVEC PREUVE",F29="VALIDÉ AVEC PREUVE",G29="VALIDÉ AVEC PREUVE",H29="VALIDÉ AVEC PREUVE",I29="VALIDÉ AVEC PREUVE",J29="VALIDÉ AVEC PREUVE",K29="VALIDÉ AVEC PREUVE",LEN(L29)&gt;10),"ADMISSIBLE À REVUE HUMAINE","BLOQUÉ / NON CERTIFIÉ")</x:f>
        <x:v>BLOQUÉ / NON CERTIFIÉ</x:v>
      </x:c>
    </x:row>
    <x:row r="30" ht="29" customHeight="1">
      <x:c r="A30" s="79" t="str">
        <x:v>njohrr</x:v>
      </x:c>
      <x:c r="B30" s="79" t="str">
        <x:v>Njohrr · Badlands 2025</x:v>
      </x:c>
      <x:c r="C30" s="79" t="str">
        <x:v>Plans/props à retrouver</x:v>
      </x:c>
      <x:c r="D30" s="79" t="str">
        <x:v>OUVERT</x:v>
      </x:c>
      <x:c r="E30" s="79" t="str">
        <x:v>OUVERT</x:v>
      </x:c>
      <x:c r="F30" s="79" t="str">
        <x:v>OUVERT</x:v>
      </x:c>
      <x:c r="G30" s="79" t="str">
        <x:v>OUVERT</x:v>
      </x:c>
      <x:c r="H30" s="79" t="str">
        <x:v>OUVERT</x:v>
      </x:c>
      <x:c r="I30" s="79" t="str">
        <x:v>OUVERT</x:v>
      </x:c>
      <x:c r="J30" s="79" t="str">
        <x:v>OUVERT</x:v>
      </x:c>
      <x:c r="K30" s="79" t="str">
        <x:v>OUVERT</x:v>
      </x:c>
      <x:c r="L30" s="79" t="str"/>
      <x:c r="M30" s="79" t="str">
        <x:f>IF(AND(D30="VALIDÉ AVEC PREUVE",E30="VALIDÉ AVEC PREUVE",F30="VALIDÉ AVEC PREUVE",G30="VALIDÉ AVEC PREUVE",H30="VALIDÉ AVEC PREUVE",I30="VALIDÉ AVEC PREUVE",J30="VALIDÉ AVEC PREUVE",K30="VALIDÉ AVEC PREUVE",LEN(L30)&gt;10),"ADMISSIBLE À REVUE HUMAINE","BLOQUÉ / NON CERTIFIÉ")</x:f>
        <x:v>BLOQUÉ / NON CERTIFIÉ</x:v>
      </x:c>
    </x:row>
    <x:row r="31" ht="29" customHeight="1">
      <x:c r="A31" s="79" t="str">
        <x:v>kok-viking</x:v>
      </x:c>
      <x:c r="B31" s="79" t="str">
        <x:v>Chasseur Viking · Killer of Killers</x:v>
      </x:c>
      <x:c r="C31" s="79" t="str">
        <x:v>Plans/props à retrouver</x:v>
      </x:c>
      <x:c r="D31" s="79" t="str">
        <x:v>OUVERT</x:v>
      </x:c>
      <x:c r="E31" s="79" t="str">
        <x:v>OUVERT</x:v>
      </x:c>
      <x:c r="F31" s="79" t="str">
        <x:v>OUVERT</x:v>
      </x:c>
      <x:c r="G31" s="79" t="str">
        <x:v>OUVERT</x:v>
      </x:c>
      <x:c r="H31" s="79" t="str">
        <x:v>OUVERT</x:v>
      </x:c>
      <x:c r="I31" s="79" t="str">
        <x:v>OUVERT</x:v>
      </x:c>
      <x:c r="J31" s="79" t="str">
        <x:v>OUVERT</x:v>
      </x:c>
      <x:c r="K31" s="79" t="str">
        <x:v>OUVERT</x:v>
      </x:c>
      <x:c r="L31" s="79" t="str"/>
      <x:c r="M31" s="79" t="str">
        <x:f>IF(AND(D31="VALIDÉ AVEC PREUVE",E31="VALIDÉ AVEC PREUVE",F31="VALIDÉ AVEC PREUVE",G31="VALIDÉ AVEC PREUVE",H31="VALIDÉ AVEC PREUVE",I31="VALIDÉ AVEC PREUVE",J31="VALIDÉ AVEC PREUVE",K31="VALIDÉ AVEC PREUVE",LEN(L31)&gt;10),"ADMISSIBLE À REVUE HUMAINE","BLOQUÉ / NON CERTIFIÉ")</x:f>
        <x:v>BLOQUÉ / NON CERTIFIÉ</x:v>
      </x:c>
    </x:row>
    <x:row r="32" ht="29" customHeight="1">
      <x:c r="A32" s="79" t="str">
        <x:v>kok-ninja</x:v>
      </x:c>
      <x:c r="B32" s="79" t="str">
        <x:v>Chasseur Ninja · Killer of Killers</x:v>
      </x:c>
      <x:c r="C32" s="79" t="str">
        <x:v>Plans/props à retrouver</x:v>
      </x:c>
      <x:c r="D32" s="79" t="str">
        <x:v>OUVERT</x:v>
      </x:c>
      <x:c r="E32" s="79" t="str">
        <x:v>OUVERT</x:v>
      </x:c>
      <x:c r="F32" s="79" t="str">
        <x:v>OUVERT</x:v>
      </x:c>
      <x:c r="G32" s="79" t="str">
        <x:v>OUVERT</x:v>
      </x:c>
      <x:c r="H32" s="79" t="str">
        <x:v>OUVERT</x:v>
      </x:c>
      <x:c r="I32" s="79" t="str">
        <x:v>OUVERT</x:v>
      </x:c>
      <x:c r="J32" s="79" t="str">
        <x:v>OUVERT</x:v>
      </x:c>
      <x:c r="K32" s="79" t="str">
        <x:v>OUVERT</x:v>
      </x:c>
      <x:c r="L32" s="79" t="str"/>
      <x:c r="M32" s="79" t="str">
        <x:f>IF(AND(D32="VALIDÉ AVEC PREUVE",E32="VALIDÉ AVEC PREUVE",F32="VALIDÉ AVEC PREUVE",G32="VALIDÉ AVEC PREUVE",H32="VALIDÉ AVEC PREUVE",I32="VALIDÉ AVEC PREUVE",J32="VALIDÉ AVEC PREUVE",K32="VALIDÉ AVEC PREUVE",LEN(L32)&gt;10),"ADMISSIBLE À REVUE HUMAINE","BLOQUÉ / NON CERTIFIÉ")</x:f>
        <x:v>BLOQUÉ / NON CERTIFIÉ</x:v>
      </x:c>
    </x:row>
    <x:row r="33" ht="29" customHeight="1">
      <x:c r="A33" s="79" t="str">
        <x:v>kok-pilot</x:v>
      </x:c>
      <x:c r="B33" s="79" t="str">
        <x:v>Chasseur Pilote · Killer of Killers</x:v>
      </x:c>
      <x:c r="C33" s="79" t="str">
        <x:v>Plans/props à retrouver</x:v>
      </x:c>
      <x:c r="D33" s="79" t="str">
        <x:v>OUVERT</x:v>
      </x:c>
      <x:c r="E33" s="79" t="str">
        <x:v>OUVERT</x:v>
      </x:c>
      <x:c r="F33" s="79" t="str">
        <x:v>OUVERT</x:v>
      </x:c>
      <x:c r="G33" s="79" t="str">
        <x:v>OUVERT</x:v>
      </x:c>
      <x:c r="H33" s="79" t="str">
        <x:v>OUVERT</x:v>
      </x:c>
      <x:c r="I33" s="79" t="str">
        <x:v>OUVERT</x:v>
      </x:c>
      <x:c r="J33" s="79" t="str">
        <x:v>OUVERT</x:v>
      </x:c>
      <x:c r="K33" s="79" t="str">
        <x:v>OUVERT</x:v>
      </x:c>
      <x:c r="L33" s="79" t="str"/>
      <x:c r="M33" s="79" t="str">
        <x:f>IF(AND(D33="VALIDÉ AVEC PREUVE",E33="VALIDÉ AVEC PREUVE",F33="VALIDÉ AVEC PREUVE",G33="VALIDÉ AVEC PREUVE",H33="VALIDÉ AVEC PREUVE",I33="VALIDÉ AVEC PREUVE",J33="VALIDÉ AVEC PREUVE",K33="VALIDÉ AVEC PREUVE",LEN(L33)&gt;10),"ADMISSIBLE À REVUE HUMAINE","BLOQUÉ / NON CERTIFIÉ")</x:f>
        <x:v>BLOQUÉ / NON CERTIFIÉ</x:v>
      </x:c>
    </x:row>
    <x:row r="34" ht="29" customHeight="1">
      <x:c r="A34" s="79" t="str">
        <x:v>kok-grendel</x:v>
      </x:c>
      <x:c r="B34" s="79" t="str">
        <x:v>Grendel King · Killer of Killers</x:v>
      </x:c>
      <x:c r="C34" s="79" t="str">
        <x:v>Plans/props à retrouver</x:v>
      </x:c>
      <x:c r="D34" s="79" t="str">
        <x:v>OUVERT</x:v>
      </x:c>
      <x:c r="E34" s="79" t="str">
        <x:v>OUVERT</x:v>
      </x:c>
      <x:c r="F34" s="79" t="str">
        <x:v>OUVERT</x:v>
      </x:c>
      <x:c r="G34" s="79" t="str">
        <x:v>OUVERT</x:v>
      </x:c>
      <x:c r="H34" s="79" t="str">
        <x:v>OUVERT</x:v>
      </x:c>
      <x:c r="I34" s="79" t="str">
        <x:v>OUVERT</x:v>
      </x:c>
      <x:c r="J34" s="79" t="str">
        <x:v>OUVERT</x:v>
      </x:c>
      <x:c r="K34" s="79" t="str">
        <x:v>OUVERT</x:v>
      </x:c>
      <x:c r="L34" s="79" t="str"/>
      <x:c r="M34" s="79" t="str">
        <x:f>IF(AND(D34="VALIDÉ AVEC PREUVE",E34="VALIDÉ AVEC PREUVE",F34="VALIDÉ AVEC PREUVE",G34="VALIDÉ AVEC PREUVE",H34="VALIDÉ AVEC PREUVE",I34="VALIDÉ AVEC PREUVE",J34="VALIDÉ AVEC PREUVE",K34="VALIDÉ AVEC PREUVE",LEN(L34)&gt;10),"ADMISSIBLE À REVUE HUMAINE","BLOQUÉ / NON CERTIFIÉ")</x:f>
        <x:v>BLOQUÉ / NON CERTIFIÉ</x:v>
      </x:c>
    </x:row>
    <x:row r="35" ht="29" customHeight="1">
      <x:c r="A35" s="79" t="str">
        <x:v>phg-hunter</x:v>
      </x:c>
      <x:c r="B35" s="79" t="str">
        <x:v>Hunter · PHG</x:v>
      </x:c>
      <x:c r="C35" s="79" t="str">
        <x:v>Plans/props à retrouver</x:v>
      </x:c>
      <x:c r="D35" s="79" t="str">
        <x:v>OUVERT</x:v>
      </x:c>
      <x:c r="E35" s="79" t="str">
        <x:v>OUVERT</x:v>
      </x:c>
      <x:c r="F35" s="79" t="str">
        <x:v>OUVERT</x:v>
      </x:c>
      <x:c r="G35" s="79" t="str">
        <x:v>OUVERT</x:v>
      </x:c>
      <x:c r="H35" s="79" t="str">
        <x:v>OUVERT</x:v>
      </x:c>
      <x:c r="I35" s="79" t="str">
        <x:v>OUVERT</x:v>
      </x:c>
      <x:c r="J35" s="79" t="str">
        <x:v>OUVERT</x:v>
      </x:c>
      <x:c r="K35" s="79" t="str">
        <x:v>OUVERT</x:v>
      </x:c>
      <x:c r="L35" s="79" t="str"/>
      <x:c r="M35" s="79" t="str">
        <x:f>IF(AND(D35="VALIDÉ AVEC PREUVE",E35="VALIDÉ AVEC PREUVE",F35="VALIDÉ AVEC PREUVE",G35="VALIDÉ AVEC PREUVE",H35="VALIDÉ AVEC PREUVE",I35="VALIDÉ AVEC PREUVE",J35="VALIDÉ AVEC PREUVE",K35="VALIDÉ AVEC PREUVE",LEN(L35)&gt;10),"ADMISSIBLE À REVUE HUMAINE","BLOQUÉ / NON CERTIFIÉ")</x:f>
        <x:v>BLOQUÉ / NON CERTIFIÉ</x:v>
      </x:c>
    </x:row>
    <x:row r="36" ht="29" customHeight="1">
      <x:c r="A36" s="79" t="str">
        <x:v>phg-scout</x:v>
      </x:c>
      <x:c r="B36" s="79" t="str">
        <x:v>Scout · PHG</x:v>
      </x:c>
      <x:c r="C36" s="79" t="str">
        <x:v>Plans/props à retrouver</x:v>
      </x:c>
      <x:c r="D36" s="79" t="str">
        <x:v>OUVERT</x:v>
      </x:c>
      <x:c r="E36" s="79" t="str">
        <x:v>OUVERT</x:v>
      </x:c>
      <x:c r="F36" s="79" t="str">
        <x:v>OUVERT</x:v>
      </x:c>
      <x:c r="G36" s="79" t="str">
        <x:v>OUVERT</x:v>
      </x:c>
      <x:c r="H36" s="79" t="str">
        <x:v>OUVERT</x:v>
      </x:c>
      <x:c r="I36" s="79" t="str">
        <x:v>OUVERT</x:v>
      </x:c>
      <x:c r="J36" s="79" t="str">
        <x:v>OUVERT</x:v>
      </x:c>
      <x:c r="K36" s="79" t="str">
        <x:v>OUVERT</x:v>
      </x:c>
      <x:c r="L36" s="79" t="str"/>
      <x:c r="M36" s="79" t="str">
        <x:f>IF(AND(D36="VALIDÉ AVEC PREUVE",E36="VALIDÉ AVEC PREUVE",F36="VALIDÉ AVEC PREUVE",G36="VALIDÉ AVEC PREUVE",H36="VALIDÉ AVEC PREUVE",I36="VALIDÉ AVEC PREUVE",J36="VALIDÉ AVEC PREUVE",K36="VALIDÉ AVEC PREUVE",LEN(L36)&gt;10),"ADMISSIBLE À REVUE HUMAINE","BLOQUÉ / NON CERTIFIÉ")</x:f>
        <x:v>BLOQUÉ / NON CERTIFIÉ</x:v>
      </x:c>
    </x:row>
    <x:row r="37" ht="29" customHeight="1">
      <x:c r="A37" s="79" t="str">
        <x:v>phg-berserker</x:v>
      </x:c>
      <x:c r="B37" s="79" t="str">
        <x:v>Berserker · PHG</x:v>
      </x:c>
      <x:c r="C37" s="79" t="str">
        <x:v>Plans/props à retrouver</x:v>
      </x:c>
      <x:c r="D37" s="79" t="str">
        <x:v>OUVERT</x:v>
      </x:c>
      <x:c r="E37" s="79" t="str">
        <x:v>OUVERT</x:v>
      </x:c>
      <x:c r="F37" s="79" t="str">
        <x:v>OUVERT</x:v>
      </x:c>
      <x:c r="G37" s="79" t="str">
        <x:v>OUVERT</x:v>
      </x:c>
      <x:c r="H37" s="79" t="str">
        <x:v>OUVERT</x:v>
      </x:c>
      <x:c r="I37" s="79" t="str">
        <x:v>OUVERT</x:v>
      </x:c>
      <x:c r="J37" s="79" t="str">
        <x:v>OUVERT</x:v>
      </x:c>
      <x:c r="K37" s="79" t="str">
        <x:v>OUVERT</x:v>
      </x:c>
      <x:c r="L37" s="79" t="str"/>
      <x:c r="M37" s="79" t="str">
        <x:f>IF(AND(D37="VALIDÉ AVEC PREUVE",E37="VALIDÉ AVEC PREUVE",F37="VALIDÉ AVEC PREUVE",G37="VALIDÉ AVEC PREUVE",H37="VALIDÉ AVEC PREUVE",I37="VALIDÉ AVEC PREUVE",J37="VALIDÉ AVEC PREUVE",K37="VALIDÉ AVEC PREUVE",LEN(L37)&gt;10),"ADMISSIBLE À REVUE HUMAINE","BLOQUÉ / NON CERTIFIÉ")</x:f>
        <x:v>BLOQUÉ / NON CERTIFIÉ</x:v>
      </x:c>
    </x:row>
    <x:row r="38" ht="29" customHeight="1">
      <x:c r="A38" s="79" t="str">
        <x:v>phg-alpha</x:v>
      </x:c>
      <x:c r="B38" s="79" t="str">
        <x:v>Alpha · PHG</x:v>
      </x:c>
      <x:c r="C38" s="79" t="str">
        <x:v>Plans/props à retrouver</x:v>
      </x:c>
      <x:c r="D38" s="79" t="str">
        <x:v>OUVERT</x:v>
      </x:c>
      <x:c r="E38" s="79" t="str">
        <x:v>OUVERT</x:v>
      </x:c>
      <x:c r="F38" s="79" t="str">
        <x:v>OUVERT</x:v>
      </x:c>
      <x:c r="G38" s="79" t="str">
        <x:v>OUVERT</x:v>
      </x:c>
      <x:c r="H38" s="79" t="str">
        <x:v>OUVERT</x:v>
      </x:c>
      <x:c r="I38" s="79" t="str">
        <x:v>OUVERT</x:v>
      </x:c>
      <x:c r="J38" s="79" t="str">
        <x:v>OUVERT</x:v>
      </x:c>
      <x:c r="K38" s="79" t="str">
        <x:v>OUVERT</x:v>
      </x:c>
      <x:c r="L38" s="79" t="str"/>
      <x:c r="M38" s="79" t="str">
        <x:f>IF(AND(D38="VALIDÉ AVEC PREUVE",E38="VALIDÉ AVEC PREUVE",F38="VALIDÉ AVEC PREUVE",G38="VALIDÉ AVEC PREUVE",H38="VALIDÉ AVEC PREUVE",I38="VALIDÉ AVEC PREUVE",J38="VALIDÉ AVEC PREUVE",K38="VALIDÉ AVEC PREUVE",LEN(L38)&gt;10),"ADMISSIBLE À REVUE HUMAINE","BLOQUÉ / NON CERTIFIÉ")</x:f>
        <x:v>BLOQUÉ / NON CERTIFIÉ</x:v>
      </x:c>
    </x:row>
    <x:row r="39" ht="29" customHeight="1">
      <x:c r="A39" s="79" t="str">
        <x:v>phg-samurai</x:v>
      </x:c>
      <x:c r="B39" s="79" t="str">
        <x:v>Samurai · PHG</x:v>
      </x:c>
      <x:c r="C39" s="79" t="str">
        <x:v>Plans/props à retrouver</x:v>
      </x:c>
      <x:c r="D39" s="79" t="str">
        <x:v>OUVERT</x:v>
      </x:c>
      <x:c r="E39" s="79" t="str">
        <x:v>OUVERT</x:v>
      </x:c>
      <x:c r="F39" s="79" t="str">
        <x:v>OUVERT</x:v>
      </x:c>
      <x:c r="G39" s="79" t="str">
        <x:v>OUVERT</x:v>
      </x:c>
      <x:c r="H39" s="79" t="str">
        <x:v>OUVERT</x:v>
      </x:c>
      <x:c r="I39" s="79" t="str">
        <x:v>OUVERT</x:v>
      </x:c>
      <x:c r="J39" s="79" t="str">
        <x:v>OUVERT</x:v>
      </x:c>
      <x:c r="K39" s="79" t="str">
        <x:v>OUVERT</x:v>
      </x:c>
      <x:c r="L39" s="79" t="str"/>
      <x:c r="M39" s="79" t="str">
        <x:f>IF(AND(D39="VALIDÉ AVEC PREUVE",E39="VALIDÉ AVEC PREUVE",F39="VALIDÉ AVEC PREUVE",G39="VALIDÉ AVEC PREUVE",H39="VALIDÉ AVEC PREUVE",I39="VALIDÉ AVEC PREUVE",J39="VALIDÉ AVEC PREUVE",K39="VALIDÉ AVEC PREUVE",LEN(L39)&gt;10),"ADMISSIBLE À REVUE HUMAINE","BLOQUÉ / NON CERTIFIÉ")</x:f>
        <x:v>BLOQUÉ / NON CERTIFIÉ</x:v>
      </x:c>
    </x:row>
    <x:row r="40" ht="29" customHeight="1">
      <x:c r="A40" s="79" t="str">
        <x:v>phg-viking</x:v>
      </x:c>
      <x:c r="B40" s="79" t="str">
        <x:v>Viking · PHG</x:v>
      </x:c>
      <x:c r="C40" s="79" t="str">
        <x:v>Plans/props à retrouver</x:v>
      </x:c>
      <x:c r="D40" s="79" t="str">
        <x:v>OUVERT</x:v>
      </x:c>
      <x:c r="E40" s="79" t="str">
        <x:v>OUVERT</x:v>
      </x:c>
      <x:c r="F40" s="79" t="str">
        <x:v>OUVERT</x:v>
      </x:c>
      <x:c r="G40" s="79" t="str">
        <x:v>OUVERT</x:v>
      </x:c>
      <x:c r="H40" s="79" t="str">
        <x:v>OUVERT</x:v>
      </x:c>
      <x:c r="I40" s="79" t="str">
        <x:v>OUVERT</x:v>
      </x:c>
      <x:c r="J40" s="79" t="str">
        <x:v>OUVERT</x:v>
      </x:c>
      <x:c r="K40" s="79" t="str">
        <x:v>OUVERT</x:v>
      </x:c>
      <x:c r="L40" s="79" t="str"/>
      <x:c r="M40" s="79" t="str">
        <x:f>IF(AND(D40="VALIDÉ AVEC PREUVE",E40="VALIDÉ AVEC PREUVE",F40="VALIDÉ AVEC PREUVE",G40="VALIDÉ AVEC PREUVE",H40="VALIDÉ AVEC PREUVE",I40="VALIDÉ AVEC PREUVE",J40="VALIDÉ AVEC PREUVE",K40="VALIDÉ AVEC PREUVE",LEN(L40)&gt;10),"ADMISSIBLE À REVUE HUMAINE","BLOQUÉ / NON CERTIFIÉ")</x:f>
        <x:v>BLOQUÉ / NON CERTIFIÉ</x:v>
      </x:c>
    </x:row>
    <x:row r="41" ht="29" customHeight="1">
      <x:c r="A41" s="79" t="str">
        <x:v>phg-valkyrie</x:v>
      </x:c>
      <x:c r="B41" s="79" t="str">
        <x:v>Valkyrie · PHG</x:v>
      </x:c>
      <x:c r="C41" s="79" t="str">
        <x:v>Plans/props à retrouver</x:v>
      </x:c>
      <x:c r="D41" s="79" t="str">
        <x:v>OUVERT</x:v>
      </x:c>
      <x:c r="E41" s="79" t="str">
        <x:v>OUVERT</x:v>
      </x:c>
      <x:c r="F41" s="79" t="str">
        <x:v>OUVERT</x:v>
      </x:c>
      <x:c r="G41" s="79" t="str">
        <x:v>OUVERT</x:v>
      </x:c>
      <x:c r="H41" s="79" t="str">
        <x:v>OUVERT</x:v>
      </x:c>
      <x:c r="I41" s="79" t="str">
        <x:v>OUVERT</x:v>
      </x:c>
      <x:c r="J41" s="79" t="str">
        <x:v>OUVERT</x:v>
      </x:c>
      <x:c r="K41" s="79" t="str">
        <x:v>OUVERT</x:v>
      </x:c>
      <x:c r="L41" s="79" t="str"/>
      <x:c r="M41" s="79" t="str">
        <x:f>IF(AND(D41="VALIDÉ AVEC PREUVE",E41="VALIDÉ AVEC PREUVE",F41="VALIDÉ AVEC PREUVE",G41="VALIDÉ AVEC PREUVE",H41="VALIDÉ AVEC PREUVE",I41="VALIDÉ AVEC PREUVE",J41="VALIDÉ AVEC PREUVE",K41="VALIDÉ AVEC PREUVE",LEN(L41)&gt;10),"ADMISSIBLE À REVUE HUMAINE","BLOQUÉ / NON CERTIFIÉ")</x:f>
        <x:v>BLOQUÉ / NON CERTIFIÉ</x:v>
      </x:c>
    </x:row>
    <x:row r="42" ht="29" customHeight="1">
      <x:c r="A42" s="79" t="str">
        <x:v>phg-cleopatra</x:v>
      </x:c>
      <x:c r="B42" s="79" t="str">
        <x:v>Cleopatra · PHG</x:v>
      </x:c>
      <x:c r="C42" s="79" t="str">
        <x:v>Plans/props à retrouver</x:v>
      </x:c>
      <x:c r="D42" s="79" t="str">
        <x:v>OUVERT</x:v>
      </x:c>
      <x:c r="E42" s="79" t="str">
        <x:v>OUVERT</x:v>
      </x:c>
      <x:c r="F42" s="79" t="str">
        <x:v>OUVERT</x:v>
      </x:c>
      <x:c r="G42" s="79" t="str">
        <x:v>OUVERT</x:v>
      </x:c>
      <x:c r="H42" s="79" t="str">
        <x:v>OUVERT</x:v>
      </x:c>
      <x:c r="I42" s="79" t="str">
        <x:v>OUVERT</x:v>
      </x:c>
      <x:c r="J42" s="79" t="str">
        <x:v>OUVERT</x:v>
      </x:c>
      <x:c r="K42" s="79" t="str">
        <x:v>OUVERT</x:v>
      </x:c>
      <x:c r="L42" s="79" t="str"/>
      <x:c r="M42" s="79" t="str">
        <x:f>IF(AND(D42="VALIDÉ AVEC PREUVE",E42="VALIDÉ AVEC PREUVE",F42="VALIDÉ AVEC PREUVE",G42="VALIDÉ AVEC PREUVE",H42="VALIDÉ AVEC PREUVE",I42="VALIDÉ AVEC PREUVE",J42="VALIDÉ AVEC PREUVE",K42="VALIDÉ AVEC PREUVE",LEN(L42)&gt;10),"ADMISSIBLE À REVUE HUMAINE","BLOQUÉ / NON CERTIFIÉ")</x:f>
        <x:v>BLOQUÉ / NON CERTIFIÉ</x:v>
      </x:c>
    </x:row>
    <x:row r="43" ht="29" customHeight="1">
      <x:c r="A43" s="79" t="str">
        <x:v>phg-exiled</x:v>
      </x:c>
      <x:c r="B43" s="79" t="str">
        <x:v>Exiled · PHG</x:v>
      </x:c>
      <x:c r="C43" s="79" t="str">
        <x:v>Plans/props à retrouver</x:v>
      </x:c>
      <x:c r="D43" s="79" t="str">
        <x:v>OUVERT</x:v>
      </x:c>
      <x:c r="E43" s="79" t="str">
        <x:v>OUVERT</x:v>
      </x:c>
      <x:c r="F43" s="79" t="str">
        <x:v>OUVERT</x:v>
      </x:c>
      <x:c r="G43" s="79" t="str">
        <x:v>OUVERT</x:v>
      </x:c>
      <x:c r="H43" s="79" t="str">
        <x:v>OUVERT</x:v>
      </x:c>
      <x:c r="I43" s="79" t="str">
        <x:v>OUVERT</x:v>
      </x:c>
      <x:c r="J43" s="79" t="str">
        <x:v>OUVERT</x:v>
      </x:c>
      <x:c r="K43" s="79" t="str">
        <x:v>OUVERT</x:v>
      </x:c>
      <x:c r="L43" s="79" t="str"/>
      <x:c r="M43" s="79" t="str">
        <x:f>IF(AND(D43="VALIDÉ AVEC PREUVE",E43="VALIDÉ AVEC PREUVE",F43="VALIDÉ AVEC PREUVE",G43="VALIDÉ AVEC PREUVE",H43="VALIDÉ AVEC PREUVE",I43="VALIDÉ AVEC PREUVE",J43="VALIDÉ AVEC PREUVE",K43="VALIDÉ AVEC PREUVE",LEN(L43)&gt;10),"ADMISSIBLE À REVUE HUMAINE","BLOQUÉ / NON CERTIFIÉ")</x:f>
        <x:v>BLOQUÉ / NON CERTIFIÉ</x:v>
      </x:c>
    </x:row>
    <x:row r="44" ht="29" customHeight="1">
      <x:c r="A44" s="79" t="str">
        <x:v>phg-pirate</x:v>
      </x:c>
      <x:c r="B44" s="79" t="str">
        <x:v>Pirate · PHG</x:v>
      </x:c>
      <x:c r="C44" s="79" t="str">
        <x:v>Plans/props à retrouver</x:v>
      </x:c>
      <x:c r="D44" s="79" t="str">
        <x:v>OUVERT</x:v>
      </x:c>
      <x:c r="E44" s="79" t="str">
        <x:v>OUVERT</x:v>
      </x:c>
      <x:c r="F44" s="79" t="str">
        <x:v>OUVERT</x:v>
      </x:c>
      <x:c r="G44" s="79" t="str">
        <x:v>OUVERT</x:v>
      </x:c>
      <x:c r="H44" s="79" t="str">
        <x:v>OUVERT</x:v>
      </x:c>
      <x:c r="I44" s="79" t="str">
        <x:v>OUVERT</x:v>
      </x:c>
      <x:c r="J44" s="79" t="str">
        <x:v>OUVERT</x:v>
      </x:c>
      <x:c r="K44" s="79" t="str">
        <x:v>OUVERT</x:v>
      </x:c>
      <x:c r="L44" s="79" t="str"/>
      <x:c r="M44" s="79" t="str">
        <x:f>IF(AND(D44="VALIDÉ AVEC PREUVE",E44="VALIDÉ AVEC PREUVE",F44="VALIDÉ AVEC PREUVE",G44="VALIDÉ AVEC PREUVE",H44="VALIDÉ AVEC PREUVE",I44="VALIDÉ AVEC PREUVE",J44="VALIDÉ AVEC PREUVE",K44="VALIDÉ AVEC PREUVE",LEN(L44)&gt;10),"ADMISSIBLE À REVUE HUMAINE","BLOQUÉ / NON CERTIFIÉ")</x:f>
        <x:v>BLOQUÉ / NON CERTIFIÉ</x:v>
      </x:c>
    </x:row>
    <x:row r="45" ht="29" customHeight="1">
      <x:c r="A45" s="79" t="str">
        <x:v>phg-bionic</x:v>
      </x:c>
      <x:c r="B45" s="79" t="str">
        <x:v>Bionic · PHG</x:v>
      </x:c>
      <x:c r="C45" s="79" t="str">
        <x:v>Plans/props à retrouver</x:v>
      </x:c>
      <x:c r="D45" s="79" t="str">
        <x:v>OUVERT</x:v>
      </x:c>
      <x:c r="E45" s="79" t="str">
        <x:v>OUVERT</x:v>
      </x:c>
      <x:c r="F45" s="79" t="str">
        <x:v>OUVERT</x:v>
      </x:c>
      <x:c r="G45" s="79" t="str">
        <x:v>OUVERT</x:v>
      </x:c>
      <x:c r="H45" s="79" t="str">
        <x:v>OUVERT</x:v>
      </x:c>
      <x:c r="I45" s="79" t="str">
        <x:v>OUVERT</x:v>
      </x:c>
      <x:c r="J45" s="79" t="str">
        <x:v>OUVERT</x:v>
      </x:c>
      <x:c r="K45" s="79" t="str">
        <x:v>OUVERT</x:v>
      </x:c>
      <x:c r="L45" s="79" t="str"/>
      <x:c r="M45" s="79" t="str">
        <x:f>IF(AND(D45="VALIDÉ AVEC PREUVE",E45="VALIDÉ AVEC PREUVE",F45="VALIDÉ AVEC PREUVE",G45="VALIDÉ AVEC PREUVE",H45="VALIDÉ AVEC PREUVE",I45="VALIDÉ AVEC PREUVE",J45="VALIDÉ AVEC PREUVE",K45="VALIDÉ AVEC PREUVE",LEN(L45)&gt;10),"ADMISSIBLE À REVUE HUMAINE","BLOQUÉ / NON CERTIFIÉ")</x:f>
        <x:v>BLOQUÉ / NON CERTIFIÉ</x:v>
      </x:c>
    </x:row>
    <x:row r="46" ht="29" customHeight="1">
      <x:c r="A46" s="79" t="str">
        <x:v>phg-emissary</x:v>
      </x:c>
      <x:c r="B46" s="79" t="str">
        <x:v>Emissary · PHG</x:v>
      </x:c>
      <x:c r="C46" s="79" t="str">
        <x:v>Plans/props à retrouver</x:v>
      </x:c>
      <x:c r="D46" s="79" t="str">
        <x:v>OUVERT</x:v>
      </x:c>
      <x:c r="E46" s="79" t="str">
        <x:v>OUVERT</x:v>
      </x:c>
      <x:c r="F46" s="79" t="str">
        <x:v>OUVERT</x:v>
      </x:c>
      <x:c r="G46" s="79" t="str">
        <x:v>OUVERT</x:v>
      </x:c>
      <x:c r="H46" s="79" t="str">
        <x:v>OUVERT</x:v>
      </x:c>
      <x:c r="I46" s="79" t="str">
        <x:v>OUVERT</x:v>
      </x:c>
      <x:c r="J46" s="79" t="str">
        <x:v>OUVERT</x:v>
      </x:c>
      <x:c r="K46" s="79" t="str">
        <x:v>OUVERT</x:v>
      </x:c>
      <x:c r="L46" s="79" t="str"/>
      <x:c r="M46" s="79" t="str">
        <x:f>IF(AND(D46="VALIDÉ AVEC PREUVE",E46="VALIDÉ AVEC PREUVE",F46="VALIDÉ AVEC PREUVE",G46="VALIDÉ AVEC PREUVE",H46="VALIDÉ AVEC PREUVE",I46="VALIDÉ AVEC PREUVE",J46="VALIDÉ AVEC PREUVE",K46="VALIDÉ AVEC PREUVE",LEN(L46)&gt;10),"ADMISSIBLE À REVUE HUMAINE","BLOQUÉ / NON CERTIFIÉ")</x:f>
        <x:v>BLOQUÉ / NON CERTIFIÉ</x:v>
      </x:c>
    </x:row>
    <x:row r="47" ht="29" customHeight="1">
      <x:c r="A47" s="79" t="str">
        <x:v>phg-oni</x:v>
      </x:c>
      <x:c r="B47" s="79" t="str">
        <x:v>Oni · PHG</x:v>
      </x:c>
      <x:c r="C47" s="79" t="str">
        <x:v>Plans/props à retrouver</x:v>
      </x:c>
      <x:c r="D47" s="79" t="str">
        <x:v>OUVERT</x:v>
      </x:c>
      <x:c r="E47" s="79" t="str">
        <x:v>OUVERT</x:v>
      </x:c>
      <x:c r="F47" s="79" t="str">
        <x:v>OUVERT</x:v>
      </x:c>
      <x:c r="G47" s="79" t="str">
        <x:v>OUVERT</x:v>
      </x:c>
      <x:c r="H47" s="79" t="str">
        <x:v>OUVERT</x:v>
      </x:c>
      <x:c r="I47" s="79" t="str">
        <x:v>OUVERT</x:v>
      </x:c>
      <x:c r="J47" s="79" t="str">
        <x:v>OUVERT</x:v>
      </x:c>
      <x:c r="K47" s="79" t="str">
        <x:v>OUVERT</x:v>
      </x:c>
      <x:c r="L47" s="79" t="str"/>
      <x:c r="M47" s="79" t="str">
        <x:f>IF(AND(D47="VALIDÉ AVEC PREUVE",E47="VALIDÉ AVEC PREUVE",F47="VALIDÉ AVEC PREUVE",G47="VALIDÉ AVEC PREUVE",H47="VALIDÉ AVEC PREUVE",I47="VALIDÉ AVEC PREUVE",J47="VALIDÉ AVEC PREUVE",K47="VALIDÉ AVEC PREUVE",LEN(L47)&gt;10),"ADMISSIBLE À REVUE HUMAINE","BLOQUÉ / NON CERTIFIÉ")</x:f>
        <x:v>BLOQUÉ / NON CERTIFIÉ</x:v>
      </x:c>
    </x:row>
    <x:row r="48" ht="29" customHeight="1">
      <x:c r="A48" s="79" t="str">
        <x:v>phg-witch</x:v>
      </x:c>
      <x:c r="B48" s="79" t="str">
        <x:v>Witch · PHG</x:v>
      </x:c>
      <x:c r="C48" s="79" t="str">
        <x:v>Plans/props à retrouver</x:v>
      </x:c>
      <x:c r="D48" s="79" t="str">
        <x:v>OUVERT</x:v>
      </x:c>
      <x:c r="E48" s="79" t="str">
        <x:v>OUVERT</x:v>
      </x:c>
      <x:c r="F48" s="79" t="str">
        <x:v>OUVERT</x:v>
      </x:c>
      <x:c r="G48" s="79" t="str">
        <x:v>OUVERT</x:v>
      </x:c>
      <x:c r="H48" s="79" t="str">
        <x:v>OUVERT</x:v>
      </x:c>
      <x:c r="I48" s="79" t="str">
        <x:v>OUVERT</x:v>
      </x:c>
      <x:c r="J48" s="79" t="str">
        <x:v>OUVERT</x:v>
      </x:c>
      <x:c r="K48" s="79" t="str">
        <x:v>OUVERT</x:v>
      </x:c>
      <x:c r="L48" s="79" t="str"/>
      <x:c r="M48" s="79" t="str">
        <x:f>IF(AND(D48="VALIDÉ AVEC PREUVE",E48="VALIDÉ AVEC PREUVE",F48="VALIDÉ AVEC PREUVE",G48="VALIDÉ AVEC PREUVE",H48="VALIDÉ AVEC PREUVE",I48="VALIDÉ AVEC PREUVE",J48="VALIDÉ AVEC PREUVE",K48="VALIDÉ AVEC PREUVE",LEN(L48)&gt;10),"ADMISSIBLE À REVUE HUMAINE","BLOQUÉ / NON CERTIFIÉ")</x:f>
        <x:v>BLOQUÉ / NON CERTIFIÉ</x:v>
      </x:c>
    </x:row>
    <x:row r="49" ht="29" customHeight="1">
      <x:c r="A49" s="79" t="str">
        <x:v>phg-father</x:v>
      </x:c>
      <x:c r="B49" s="79" t="str">
        <x:v>Father · PHG</x:v>
      </x:c>
      <x:c r="C49" s="79" t="str">
        <x:v>Plans/props à retrouver</x:v>
      </x:c>
      <x:c r="D49" s="79" t="str">
        <x:v>OUVERT</x:v>
      </x:c>
      <x:c r="E49" s="79" t="str">
        <x:v>OUVERT</x:v>
      </x:c>
      <x:c r="F49" s="79" t="str">
        <x:v>OUVERT</x:v>
      </x:c>
      <x:c r="G49" s="79" t="str">
        <x:v>OUVERT</x:v>
      </x:c>
      <x:c r="H49" s="79" t="str">
        <x:v>OUVERT</x:v>
      </x:c>
      <x:c r="I49" s="79" t="str">
        <x:v>OUVERT</x:v>
      </x:c>
      <x:c r="J49" s="79" t="str">
        <x:v>OUVERT</x:v>
      </x:c>
      <x:c r="K49" s="79" t="str">
        <x:v>OUVERT</x:v>
      </x:c>
      <x:c r="L49" s="79" t="str"/>
      <x:c r="M49" s="79" t="str">
        <x:f>IF(AND(D49="VALIDÉ AVEC PREUVE",E49="VALIDÉ AVEC PREUVE",F49="VALIDÉ AVEC PREUVE",G49="VALIDÉ AVEC PREUVE",H49="VALIDÉ AVEC PREUVE",I49="VALIDÉ AVEC PREUVE",J49="VALIDÉ AVEC PREUVE",K49="VALIDÉ AVEC PREUVE",LEN(L49)&gt;10),"ADMISSIBLE À REVUE HUMAINE","BLOQUÉ / NON CERTIFIÉ")</x:f>
        <x:v>BLOQUÉ / NON CERTIFIÉ</x:v>
      </x:c>
    </x:row>
    <x:row r="50" ht="29" customHeight="1">
      <x:c r="A50" s="79" t="str">
        <x:v>phg-jotun</x:v>
      </x:c>
      <x:c r="B50" s="79" t="str">
        <x:v>Jotun · PHG</x:v>
      </x:c>
      <x:c r="C50" s="79" t="str">
        <x:v>Plans/props à retrouver</x:v>
      </x:c>
      <x:c r="D50" s="79" t="str">
        <x:v>OUVERT</x:v>
      </x:c>
      <x:c r="E50" s="79" t="str">
        <x:v>OUVERT</x:v>
      </x:c>
      <x:c r="F50" s="79" t="str">
        <x:v>OUVERT</x:v>
      </x:c>
      <x:c r="G50" s="79" t="str">
        <x:v>OUVERT</x:v>
      </x:c>
      <x:c r="H50" s="79" t="str">
        <x:v>OUVERT</x:v>
      </x:c>
      <x:c r="I50" s="79" t="str">
        <x:v>OUVERT</x:v>
      </x:c>
      <x:c r="J50" s="79" t="str">
        <x:v>OUVERT</x:v>
      </x:c>
      <x:c r="K50" s="79" t="str">
        <x:v>OUVERT</x:v>
      </x:c>
      <x:c r="L50" s="79" t="str"/>
      <x:c r="M50" s="79" t="str">
        <x:f>IF(AND(D50="VALIDÉ AVEC PREUVE",E50="VALIDÉ AVEC PREUVE",F50="VALIDÉ AVEC PREUVE",G50="VALIDÉ AVEC PREUVE",H50="VALIDÉ AVEC PREUVE",I50="VALIDÉ AVEC PREUVE",J50="VALIDÉ AVEC PREUVE",K50="VALIDÉ AVEC PREUVE",LEN(L50)&gt;10),"ADMISSIBLE À REVUE HUMAINE","BLOQUÉ / NON CERTIFIÉ")</x:f>
        <x:v>BLOQUÉ / NON CERTIFIÉ</x:v>
      </x:c>
    </x:row>
    <x:row r="51" ht="29" customHeight="1">
      <x:c r="A51" s="79" t="str">
        <x:v>phg-exalted</x:v>
      </x:c>
      <x:c r="B51" s="79" t="str">
        <x:v>Exalted · PHG</x:v>
      </x:c>
      <x:c r="C51" s="79" t="str">
        <x:v>Plans/props à retrouver</x:v>
      </x:c>
      <x:c r="D51" s="79" t="str">
        <x:v>OUVERT</x:v>
      </x:c>
      <x:c r="E51" s="79" t="str">
        <x:v>OUVERT</x:v>
      </x:c>
      <x:c r="F51" s="79" t="str">
        <x:v>OUVERT</x:v>
      </x:c>
      <x:c r="G51" s="79" t="str">
        <x:v>OUVERT</x:v>
      </x:c>
      <x:c r="H51" s="79" t="str">
        <x:v>OUVERT</x:v>
      </x:c>
      <x:c r="I51" s="79" t="str">
        <x:v>OUVERT</x:v>
      </x:c>
      <x:c r="J51" s="79" t="str">
        <x:v>OUVERT</x:v>
      </x:c>
      <x:c r="K51" s="79" t="str">
        <x:v>OUVERT</x:v>
      </x:c>
      <x:c r="L51" s="79" t="str"/>
      <x:c r="M51" s="79" t="str">
        <x:f>IF(AND(D51="VALIDÉ AVEC PREUVE",E51="VALIDÉ AVEC PREUVE",F51="VALIDÉ AVEC PREUVE",G51="VALIDÉ AVEC PREUVE",H51="VALIDÉ AVEC PREUVE",I51="VALIDÉ AVEC PREUVE",J51="VALIDÉ AVEC PREUVE",K51="VALIDÉ AVEC PREUVE",LEN(L51)&gt;10),"ADMISSIBLE À REVUE HUMAINE","BLOQUÉ / NON CERTIFIÉ")</x:f>
        <x:v>BLOQUÉ / NON CERTIFIÉ</x:v>
      </x:c>
    </x:row>
    <x:row r="52" ht="29" customHeight="1">
      <x:c r="A52" s="79" t="str">
        <x:v>phg-anubis</x:v>
      </x:c>
      <x:c r="B52" s="79" t="str">
        <x:v>Anubis · PHG</x:v>
      </x:c>
      <x:c r="C52" s="79" t="str">
        <x:v>Plans/props à retrouver</x:v>
      </x:c>
      <x:c r="D52" s="79" t="str">
        <x:v>OUVERT</x:v>
      </x:c>
      <x:c r="E52" s="79" t="str">
        <x:v>OUVERT</x:v>
      </x:c>
      <x:c r="F52" s="79" t="str">
        <x:v>OUVERT</x:v>
      </x:c>
      <x:c r="G52" s="79" t="str">
        <x:v>OUVERT</x:v>
      </x:c>
      <x:c r="H52" s="79" t="str">
        <x:v>OUVERT</x:v>
      </x:c>
      <x:c r="I52" s="79" t="str">
        <x:v>OUVERT</x:v>
      </x:c>
      <x:c r="J52" s="79" t="str">
        <x:v>OUVERT</x:v>
      </x:c>
      <x:c r="K52" s="79" t="str">
        <x:v>OUVERT</x:v>
      </x:c>
      <x:c r="L52" s="79" t="str"/>
      <x:c r="M52" s="79" t="str">
        <x:f>IF(AND(D52="VALIDÉ AVEC PREUVE",E52="VALIDÉ AVEC PREUVE",F52="VALIDÉ AVEC PREUVE",G52="VALIDÉ AVEC PREUVE",H52="VALIDÉ AVEC PREUVE",I52="VALIDÉ AVEC PREUVE",J52="VALIDÉ AVEC PREUVE",K52="VALIDÉ AVEC PREUVE",LEN(L52)&gt;10),"ADMISSIBLE À REVUE HUMAINE","BLOQUÉ / NON CERTIFIÉ")</x:f>
        <x:v>BLOQUÉ / NON CERTIFIÉ</x:v>
      </x:c>
    </x:row>
    <x:row r="53" ht="29" customHeight="1">
      <x:c r="A53" s="79" t="str">
        <x:v>phg-gladiator</x:v>
      </x:c>
      <x:c r="B53" s="79" t="str">
        <x:v>Gladiator · PHG</x:v>
      </x:c>
      <x:c r="C53" s="79" t="str">
        <x:v>Plans/props à retrouver</x:v>
      </x:c>
      <x:c r="D53" s="79" t="str">
        <x:v>OUVERT</x:v>
      </x:c>
      <x:c r="E53" s="79" t="str">
        <x:v>OUVERT</x:v>
      </x:c>
      <x:c r="F53" s="79" t="str">
        <x:v>OUVERT</x:v>
      </x:c>
      <x:c r="G53" s="79" t="str">
        <x:v>OUVERT</x:v>
      </x:c>
      <x:c r="H53" s="79" t="str">
        <x:v>OUVERT</x:v>
      </x:c>
      <x:c r="I53" s="79" t="str">
        <x:v>OUVERT</x:v>
      </x:c>
      <x:c r="J53" s="79" t="str">
        <x:v>OUVERT</x:v>
      </x:c>
      <x:c r="K53" s="79" t="str">
        <x:v>OUVERT</x:v>
      </x:c>
      <x:c r="L53" s="79" t="str"/>
      <x:c r="M53" s="79" t="str">
        <x:f>IF(AND(D53="VALIDÉ AVEC PREUVE",E53="VALIDÉ AVEC PREUVE",F53="VALIDÉ AVEC PREUVE",G53="VALIDÉ AVEC PREUVE",H53="VALIDÉ AVEC PREUVE",I53="VALIDÉ AVEC PREUVE",J53="VALIDÉ AVEC PREUVE",K53="VALIDÉ AVEC PREUVE",LEN(L53)&gt;10),"ADMISSIBLE À REVUE HUMAINE","BLOQUÉ / NON CERTIFIÉ")</x:f>
        <x:v>BLOQUÉ / NON CERTIFIÉ</x:v>
      </x:c>
    </x:row>
    <x:row r="54" ht="29" customHeight="1">
      <x:c r="A54" s="79" t="str">
        <x:v>scarface</x:v>
      </x:c>
      <x:c r="B54" s="79" t="str">
        <x:v>Scarface · Concrete Jungle</x:v>
      </x:c>
      <x:c r="C54" s="79" t="str">
        <x:v>Plans/props à retrouver</x:v>
      </x:c>
      <x:c r="D54" s="79" t="str">
        <x:v>OUVERT</x:v>
      </x:c>
      <x:c r="E54" s="79" t="str">
        <x:v>OUVERT</x:v>
      </x:c>
      <x:c r="F54" s="79" t="str">
        <x:v>OUVERT</x:v>
      </x:c>
      <x:c r="G54" s="79" t="str">
        <x:v>OUVERT</x:v>
      </x:c>
      <x:c r="H54" s="79" t="str">
        <x:v>OUVERT</x:v>
      </x:c>
      <x:c r="I54" s="79" t="str">
        <x:v>OUVERT</x:v>
      </x:c>
      <x:c r="J54" s="79" t="str">
        <x:v>OUVERT</x:v>
      </x:c>
      <x:c r="K54" s="79" t="str">
        <x:v>OUVERT</x:v>
      </x:c>
      <x:c r="L54" s="79" t="str"/>
      <x:c r="M54" s="79" t="str">
        <x:f>IF(AND(D54="VALIDÉ AVEC PREUVE",E54="VALIDÉ AVEC PREUVE",F54="VALIDÉ AVEC PREUVE",G54="VALIDÉ AVEC PREUVE",H54="VALIDÉ AVEC PREUVE",I54="VALIDÉ AVEC PREUVE",J54="VALIDÉ AVEC PREUVE",K54="VALIDÉ AVEC PREUVE",LEN(L54)&gt;10),"ADMISSIBLE À REVUE HUMAINE","BLOQUÉ / NON CERTIFIÉ")</x:f>
        <x:v>BLOQUÉ / NON CERTIFIÉ</x:v>
      </x:c>
    </x:row>
    <x:row r="55" ht="29" customHeight="1">
      <x:c r="A55" s="79" t="str">
        <x:v>stone-heart</x:v>
      </x:c>
      <x:c r="B55" s="79" t="str">
        <x:v>Stone Heart · Concrete Jungle</x:v>
      </x:c>
      <x:c r="C55" s="79" t="str">
        <x:v>Plans/props à retrouver</x:v>
      </x:c>
      <x:c r="D55" s="79" t="str">
        <x:v>OUVERT</x:v>
      </x:c>
      <x:c r="E55" s="79" t="str">
        <x:v>OUVERT</x:v>
      </x:c>
      <x:c r="F55" s="79" t="str">
        <x:v>OUVERT</x:v>
      </x:c>
      <x:c r="G55" s="79" t="str">
        <x:v>OUVERT</x:v>
      </x:c>
      <x:c r="H55" s="79" t="str">
        <x:v>OUVERT</x:v>
      </x:c>
      <x:c r="I55" s="79" t="str">
        <x:v>OUVERT</x:v>
      </x:c>
      <x:c r="J55" s="79" t="str">
        <x:v>OUVERT</x:v>
      </x:c>
      <x:c r="K55" s="79" t="str">
        <x:v>OUVERT</x:v>
      </x:c>
      <x:c r="L55" s="79" t="str"/>
      <x:c r="M55" s="79" t="str">
        <x:f>IF(AND(D55="VALIDÉ AVEC PREUVE",E55="VALIDÉ AVEC PREUVE",F55="VALIDÉ AVEC PREUVE",G55="VALIDÉ AVEC PREUVE",H55="VALIDÉ AVEC PREUVE",I55="VALIDÉ AVEC PREUVE",J55="VALIDÉ AVEC PREUVE",K55="VALIDÉ AVEC PREUVE",LEN(L55)&gt;10),"ADMISSIBLE À REVUE HUMAINE","BLOQUÉ / NON CERTIFIÉ")</x:f>
        <x:v>BLOQUÉ / NON CERTIFIÉ</x:v>
      </x:c>
    </x:row>
    <x:row r="56" ht="29" customHeight="1">
      <x:c r="A56" s="79" t="str">
        <x:v>ahab</x:v>
      </x:c>
      <x:c r="B56" s="79" t="str">
        <x:v>Ahab · comics / NECA</x:v>
      </x:c>
      <x:c r="C56" s="79" t="str">
        <x:v>Plans/props à retrouver</x:v>
      </x:c>
      <x:c r="D56" s="79" t="str">
        <x:v>OUVERT</x:v>
      </x:c>
      <x:c r="E56" s="79" t="str">
        <x:v>OUVERT</x:v>
      </x:c>
      <x:c r="F56" s="79" t="str">
        <x:v>OUVERT</x:v>
      </x:c>
      <x:c r="G56" s="79" t="str">
        <x:v>OUVERT</x:v>
      </x:c>
      <x:c r="H56" s="79" t="str">
        <x:v>OUVERT</x:v>
      </x:c>
      <x:c r="I56" s="79" t="str">
        <x:v>OUVERT</x:v>
      </x:c>
      <x:c r="J56" s="79" t="str">
        <x:v>OUVERT</x:v>
      </x:c>
      <x:c r="K56" s="79" t="str">
        <x:v>OUVERT</x:v>
      </x:c>
      <x:c r="L56" s="79" t="str"/>
      <x:c r="M56" s="79" t="str">
        <x:f>IF(AND(D56="VALIDÉ AVEC PREUVE",E56="VALIDÉ AVEC PREUVE",F56="VALIDÉ AVEC PREUVE",G56="VALIDÉ AVEC PREUVE",H56="VALIDÉ AVEC PREUVE",I56="VALIDÉ AVEC PREUVE",J56="VALIDÉ AVEC PREUVE",K56="VALIDÉ AVEC PREUVE",LEN(L56)&gt;10),"ADMISSIBLE À REVUE HUMAINE","BLOQUÉ / NON CERTIFIÉ")</x:f>
        <x:v>BLOQUÉ / NON CERTIFIÉ</x:v>
      </x:c>
    </x:row>
    <x:row r="57" ht="29" customHeight="1">
      <x:c r="A57" s="79" t="str">
        <x:v>dark-2010</x:v>
      </x:c>
      <x:c r="B57" s="79" t="str">
        <x:v>Dark · Aliens vs Predator (2010)</x:v>
      </x:c>
      <x:c r="C57" s="79" t="str">
        <x:v>Plans/props à retrouver</x:v>
      </x:c>
      <x:c r="D57" s="79" t="str">
        <x:v>OUVERT</x:v>
      </x:c>
      <x:c r="E57" s="79" t="str">
        <x:v>OUVERT</x:v>
      </x:c>
      <x:c r="F57" s="79" t="str">
        <x:v>OUVERT</x:v>
      </x:c>
      <x:c r="G57" s="79" t="str">
        <x:v>OUVERT</x:v>
      </x:c>
      <x:c r="H57" s="79" t="str">
        <x:v>OUVERT</x:v>
      </x:c>
      <x:c r="I57" s="79" t="str">
        <x:v>OUVERT</x:v>
      </x:c>
      <x:c r="J57" s="79" t="str">
        <x:v>OUVERT</x:v>
      </x:c>
      <x:c r="K57" s="79" t="str">
        <x:v>OUVERT</x:v>
      </x:c>
      <x:c r="L57" s="79" t="str"/>
      <x:c r="M57" s="79" t="str">
        <x:f>IF(AND(D57="VALIDÉ AVEC PREUVE",E57="VALIDÉ AVEC PREUVE",F57="VALIDÉ AVEC PREUVE",G57="VALIDÉ AVEC PREUVE",H57="VALIDÉ AVEC PREUVE",I57="VALIDÉ AVEC PREUVE",J57="VALIDÉ AVEC PREUVE",K57="VALIDÉ AVEC PREUVE",LEN(L57)&gt;10),"ADMISSIBLE À REVUE HUMAINE","BLOQUÉ / NON CERTIFIÉ")</x:f>
        <x:v>BLOQUÉ / NON CERTIFIÉ</x:v>
      </x:c>
    </x:row>
    <x:row r="58" ht="29" customHeight="1">
      <x:c r="A58" s="79" t="str">
        <x:v>phg-captured</x:v>
      </x:c>
      <x:c r="B58" s="79" t="str">
        <x:v>Captured · PHG</x:v>
      </x:c>
      <x:c r="C58" s="79" t="str">
        <x:v>Plans/props à retrouver</x:v>
      </x:c>
      <x:c r="D58" s="79" t="str">
        <x:v>OUVERT</x:v>
      </x:c>
      <x:c r="E58" s="79" t="str">
        <x:v>OUVERT</x:v>
      </x:c>
      <x:c r="F58" s="79" t="str">
        <x:v>OUVERT</x:v>
      </x:c>
      <x:c r="G58" s="79" t="str">
        <x:v>OUVERT</x:v>
      </x:c>
      <x:c r="H58" s="79" t="str">
        <x:v>OUVERT</x:v>
      </x:c>
      <x:c r="I58" s="79" t="str">
        <x:v>OUVERT</x:v>
      </x:c>
      <x:c r="J58" s="79" t="str">
        <x:v>OUVERT</x:v>
      </x:c>
      <x:c r="K58" s="79" t="str">
        <x:v>OUVERT</x:v>
      </x:c>
      <x:c r="L58" s="79" t="str"/>
      <x:c r="M58" s="79" t="str">
        <x:f>IF(AND(D58="VALIDÉ AVEC PREUVE",E58="VALIDÉ AVEC PREUVE",F58="VALIDÉ AVEC PREUVE",G58="VALIDÉ AVEC PREUVE",H58="VALIDÉ AVEC PREUVE",I58="VALIDÉ AVEC PREUVE",J58="VALIDÉ AVEC PREUVE",K58="VALIDÉ AVEC PREUVE",LEN(L58)&gt;10),"ADMISSIBLE À REVUE HUMAINE","BLOQUÉ / NON CERTIFIÉ")</x:f>
        <x:v>BLOQUÉ / NON CERTIFIÉ</x:v>
      </x:c>
    </x:row>
  </x:sheetData>
  <x:mergeCells>
    <x:mergeCell ref="A1:M1"/>
    <x:mergeCell ref="A2:M2"/>
  </x:mergeCells>
  <x:dataValidations count="8">
    <x:dataValidation type="list" sqref="D5:D58">
      <x:formula1>"OUVERT,EN COURS,VALIDÉ AVEC PREUVE"</x:formula1>
    </x:dataValidation>
    <x:dataValidation type="list" sqref="E5:E58">
      <x:formula1>"OUVERT,EN COURS,VALIDÉ AVEC PREUVE"</x:formula1>
    </x:dataValidation>
    <x:dataValidation type="list" sqref="F5:F58">
      <x:formula1>"OUVERT,EN COURS,VALIDÉ AVEC PREUVE"</x:formula1>
    </x:dataValidation>
    <x:dataValidation type="list" sqref="G5:G58">
      <x:formula1>"OUVERT,EN COURS,VALIDÉ AVEC PREUVE"</x:formula1>
    </x:dataValidation>
    <x:dataValidation type="list" sqref="H5:H58">
      <x:formula1>"OUVERT,EN COURS,VALIDÉ AVEC PREUVE"</x:formula1>
    </x:dataValidation>
    <x:dataValidation type="list" sqref="I5:I58">
      <x:formula1>"OUVERT,EN COURS,VALIDÉ AVEC PREUVE"</x:formula1>
    </x:dataValidation>
    <x:dataValidation type="list" sqref="J5:J58">
      <x:formula1>"OUVERT,EN COURS,VALIDÉ AVEC PREUVE"</x:formula1>
    </x:dataValidation>
    <x:dataValidation type="list" sqref="K5:K58">
      <x:formula1>"OUVERT,EN COURS,VALIDÉ AVEC PREUVE"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25" hidden="0" customWidth="1"/>
    <x:col min="3" max="3" width="107" hidden="0" customWidth="1"/>
  </x:cols>
  <x:sheetData>
    <x:row r="1" ht="38" customHeight="1">
      <x:c r="A1" s="85" t="str">
        <x:v>V137 | SYNTHÈSE OPÉRATIONNELLE ET RESTES À LIVRER</x:v>
      </x:c>
      <x:c r="B1" s="85"/>
      <x:c r="C1" s="85"/>
    </x:row>
    <x:row r="2" ht="40" customHeight="1">
      <x:c r="A2" s="89" t="str">
        <x:v>Ce tableau distingue les preuves CI des validations de jeu et d'œuvre. Les tâches artistiques restent dans le registre 29 et les portes de sortie 30.</x:v>
      </x:c>
      <x:c r="B2" s="89"/>
      <x:c r="C2" s="89"/>
    </x:row>
    <x:row r="4" ht="31" customHeight="1">
      <x:c r="A4" s="93" t="str">
        <x:v>Mesure</x:v>
      </x:c>
      <x:c r="B4" s="93" t="str">
        <x:v>Valeur</x:v>
      </x:c>
      <x:c r="C4" s="93" t="str">
        <x:v>Interprétation ou URL de preuve</x:v>
      </x:c>
    </x:row>
    <x:row r="5" ht="29" customHeight="1">
      <x:c r="A5" s="79" t="str">
        <x:v>Périmètre du catalogue</x:v>
      </x:c>
      <x:c r="B5" s="79" t="n">
        <x:f>COUNTA('26_V137_Couverture'!A5:A58)</x:f>
        <x:v>54</x:v>
      </x:c>
      <x:c r="C5" s="79" t="str">
        <x:v>Entrées ; nombres de propriétaires/classes, pas objets film authentifiés</x:v>
      </x:c>
    </x:row>
    <x:row r="6" ht="29" customHeight="1">
      <x:c r="A6" s="79" t="str">
        <x:v>SVG réels indépendants</x:v>
      </x:c>
      <x:c r="B6" s="79" t="n">
        <x:f>COUNTA('27_V137_Preuve219'!A5:A223)</x:f>
        <x:v>219</x:v>
      </x:c>
      <x:c r="C6" s="79" t="str">
        <x:v>7 Jungle + 16 V135 + 196 V136</x:v>
      </x:c>
    </x:row>
    <x:row r="7" ht="29" customHeight="1">
      <x:c r="A7" s="79" t="str">
        <x:v>Gauntlets avec fichiers autonomes</x:v>
      </x:c>
      <x:c r="B7" s="79" t="n">
        <x:f>COUNTIF('26_V137_Couverture'!N5:N58,"OUVERT ART ; CODE/PACK PNG PRÊT")</x:f>
        <x:v>54</x:v>
      </x:c>
      <x:c r="C7" s="79" t="str">
        <x:v>54/54 ont une source conceptuelle individuelle</x:v>
      </x:c>
    </x:row>
    <x:row r="8" ht="29" customHeight="1">
      <x:c r="A8" s="79" t="str">
        <x:v>Concepts originaux, non canoniques</x:v>
      </x:c>
      <x:c r="B8" s="79" t="n">
        <x:f>COUNTIF('26_V137_Couverture'!G5:G58,"Art ORIGINAL non canonique (aucun prop vérifié)")</x:f>
        <x:v>49</x:v>
      </x:c>
      <x:c r="C8" s="79" t="str">
        <x:v>Ne pas qualifier ces 49 concept arts de 1:1</x:v>
      </x:c>
    </x:row>
    <x:row r="9" ht="29" customHeight="1">
      <x:c r="A9" s="79" t="str">
        <x:v>Sources informées par les films</x:v>
      </x:c>
      <x:c r="B9" s="79" t="n">
        <x:f>COUNTIF('26_V137_Couverture'!G5:G58,"Références à confronter (source identifiable)")</x:f>
        <x:v>5</x:v>
      </x:c>
      <x:c r="C9" s="79" t="str">
        <x:v>5 études encore à confronter aux images sources</x:v>
      </x:c>
    </x:row>
    <x:row r="10" ht="29" customHeight="1">
      <x:c r="A10" s="79" t="str">
        <x:v>Archives débloquables par étude</x:v>
      </x:c>
      <x:c r="B10" s="79" t="n">
        <x:v>44</x:v>
      </x:c>
      <x:c r="C10" s="79" t="str">
        <x:v>44 études V134 enregistrables dans SaveGame V13</x:v>
      </x:c>
    </x:row>
    <x:row r="11" ht="29" customHeight="1">
      <x:c r="A11" s="79" t="str">
        <x:v>Études attribuées sans preuve</x:v>
      </x:c>
      <x:c r="B11" s="79" t="n">
        <x:v>0</x:v>
      </x:c>
      <x:c r="C11" s="79" t="str">
        <x:v>Aucune récompense inventée ; toujours conditionnée au vrai jeu</x:v>
      </x:c>
    </x:row>
    <x:row r="12" ht="29" customHeight="1">
      <x:c r="A12" s="79" t="str">
        <x:v>Finitions artistiques 1:1 certifiées</x:v>
      </x:c>
      <x:c r="B12" s="79" t="n">
        <x:f>COUNTIF('30_V137_Validation54'!M5:M58,"ADMISSIBLE À REVUE HUMAINE")</x:f>
        <x:v>0</x:v>
      </x:c>
      <x:c r="C12" s="79" t="str">
        <x:v>Aucune signature de validation film / artistique</x:v>
      </x:c>
    </x:row>
    <x:row r="13" ht="29" customHeight="1">
      <x:c r="A13" s="79" t="str">
        <x:v>Lignes ouvertes/partielles historiques</x:v>
      </x:c>
      <x:c r="B13" s="79" t="n">
        <x:f>COUNTA('29_V137_Ouverts'!A5:A1077)</x:f>
        <x:v>1073</x:v>
      </x:c>
      <x:c r="C13" s="79" t="str">
        <x:v>Total de lignes, certaines représentent les mêmes travaux sous plusieurs feuilles</x:v>
      </x:c>
    </x:row>
    <x:row r="14" ht="29" customHeight="1">
      <x:c r="A14" s="79" t="str">
        <x:v>Tâches d'art V136 ouvertes/partielles</x:v>
      </x:c>
      <x:c r="B14" s="79" t="n">
        <x:f>COUNTA('22_V136_Backlog'!A5:A328)</x:f>
        <x:v>324</x:v>
      </x:c>
      <x:c r="C14" s="79" t="str">
        <x:v>Six lots par modèle</x:v>
      </x:c>
    </x:row>
    <x:row r="15" ht="29" customHeight="1">
      <x:c r="A15" s="79" t="str">
        <x:v>Lignes d'art V136 partiellement engagées</x:v>
      </x:c>
      <x:c r="B15" s="79" t="n">
        <x:f>COUNTIF('22_V136_Backlog'!L5:L328,"&gt;0")</x:f>
        <x:v>162</x:v>
      </x:c>
      <x:c r="C15" s="79" t="str">
        <x:v>Prototype d'une partie des tâches, non fermé</x:v>
      </x:c>
    </x:row>
    <x:row r="16" ht="29" customHeight="1">
      <x:c r="A16" s="79" t="str">
        <x:v>Lignes d'art V136 complètement qualifiées</x:v>
      </x:c>
      <x:c r="B16" s="79" t="n">
        <x:f>COUNTIF('30_V137_Validation54'!M5:M58,"ADMISSIBLE À REVUE HUMAINE")</x:f>
        <x:v>0</x:v>
      </x:c>
      <x:c r="C16" s="79" t="str">
        <x:v>Zéro ligne 1:1 clôturée</x:v>
      </x:c>
    </x:row>
    <x:row r="17" ht="29" customHeight="1">
      <x:c r="A17" s="79" t="str">
        <x:v>Essais Chrome / CI documentés</x:v>
      </x:c>
      <x:c r="B17" s="79" t="n">
        <x:f>COUNTA('28_V137_QA_Chrome'!A5:A26)</x:f>
        <x:v>22</x:v>
      </x:c>
      <x:c r="C17" s="79" t="str">
        <x:v>Galerie, vrai wrapper, types, build, save</x:v>
      </x:c>
    </x:row>
    <x:row r="18" ht="29" customHeight="1">
      <x:c r="A18" s="79" t="str">
        <x:v>CI ciblée V131/V137</x:v>
      </x:c>
      <x:c r="B18" s="79" t="str">
        <x:v>PASS</x:v>
      </x:c>
      <x:c r="C18" s="79" t="str">
        <x:v>https://github.com/darknigthmare/yautja-la-longue-chasse/actions/runs/41196187434</x:v>
      </x:c>
    </x:row>
    <x:row r="19" ht="29" customHeight="1">
      <x:c r="A19" s="79" t="str">
        <x:v>CI complète V136/V137</x:v>
      </x:c>
      <x:c r="B19" s="79" t="str">
        <x:v>PASS</x:v>
      </x:c>
      <x:c r="C19" s="79" t="str">
        <x:v>https://github.com/darknigthmare/yautja-la-longue-chasse/actions/runs/41196187376</x:v>
      </x:c>
    </x:row>
    <x:row r="20" ht="29" customHeight="1">
      <x:c r="A20" s="79" t="str">
        <x:v>Captures galerie Chrome</x:v>
      </x:c>
      <x:c r="B20" s="79" t="str">
        <x:v>Disponibles</x:v>
      </x:c>
      <x:c r="C20" s="79" t="str">
        <x:v>https://github.com/darknigthmare/yautja-la-longue-chasse/actions/runs/41196187376/artifacts/13041067289</x:v>
      </x:c>
    </x:row>
    <x:row r="21" ht="29" customHeight="1">
      <x:c r="A21" s="79" t="str">
        <x:v>Captures wrapper réel / atlas témoin</x:v>
      </x:c>
      <x:c r="B21" s="79" t="str">
        <x:v>Disponibles</x:v>
      </x:c>
      <x:c r="C21" s="79" t="str">
        <x:v>https://github.com/darknigthmare/yautja-la-longue-chasse/actions/runs/41196187376/artifacts/13041231560</x:v>
      </x:c>
    </x:row>
    <x:row r="22" ht="29" customHeight="1">
      <x:c r="A22" s="79" t="str">
        <x:v>Manifeste 219 SHA &amp; alpha</x:v>
      </x:c>
      <x:c r="B22" s="79" t="str">
        <x:v>Disponible</x:v>
      </x:c>
      <x:c r="C22" s="79" t="str">
        <x:v>https://github.com/darknigthmare/yautja-la-longue-chasse/actions/runs/41196187434/artifacts/13040272198</x:v>
      </x:c>
    </x:row>
    <x:row r="23" ht="29" customHeight="1">
      <x:c r="A23" s="79" t="str">
        <x:v>Production PNG (54 modèles)</x:v>
      </x:c>
      <x:c r="B23" s="79" t="str">
        <x:v>Artifact CI</x:v>
      </x:c>
      <x:c r="C23" s="79" t="str">
        <x:v>https://github.com/darknigthmare/yautja-la-longue-chasse/actions/runs/41196187434/artifacts/13041255745</x:v>
      </x:c>
    </x:row>
    <x:row r="24" ht="29" customHeight="1">
      <x:c r="A24" s="79" t="str">
        <x:v>Publication sur main</x:v>
      </x:c>
      <x:c r="B24" s="79" t="str">
        <x:v>NON</x:v>
      </x:c>
      <x:c r="C24" s="79" t="str">
        <x:v>PR #42 brouillon, empilée sur #40</x:v>
      </x:c>
    </x:row>
    <x:row r="25" ht="29" customHeight="1">
      <x:c r="A25" s="79" t="str">
        <x:v>Certification franchise commerciale</x:v>
      </x:c>
      <x:c r="B25" s="79" t="str">
        <x:v>NON</x:v>
      </x:c>
      <x:c r="C25" s="79" t="str">
        <x:v>Droits Predator/AVP/PHG non vérifiés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88" hidden="0" customWidth="1"/>
    <x:col min="3" max="3" width="60" hidden="0" customWidth="1"/>
    <x:col min="4" max="4" width="81" hidden="0" customWidth="1"/>
  </x:cols>
  <x:sheetData>
    <x:row r="1" ht="38" customHeight="1">
      <x:c r="A1" s="85" t="str">
        <x:v>V137 | COMMENT LIRE ET FERMER LES LIGNES</x:v>
      </x:c>
      <x:c r="B1" s="85"/>
      <x:c r="C1" s="85"/>
      <x:c r="D1" s="85"/>
    </x:row>
    <x:row r="2" ht="40" customHeight="1">
      <x:c r="A2" s="89" t="str">
        <x:v>Sujets réels et preuves dissociés. Les feuilles V132–V136 restent consultables, tandis que les onglets 26 à 31 donnent le statut consolidé et les critères de clôture.</x:v>
      </x:c>
      <x:c r="B2" s="89"/>
      <x:c r="C2" s="89"/>
      <x:c r="D2" s="89"/>
    </x:row>
    <x:row r="4" ht="31" customHeight="1">
      <x:c r="A4" s="93" t="str">
        <x:v>Terme</x:v>
      </x:c>
      <x:c r="B4" s="93" t="str">
        <x:v>Signification</x:v>
      </x:c>
      <x:c r="C4" s="93" t="str">
        <x:v>Fermeture autorisée</x:v>
      </x:c>
      <x:c r="D4" s="93" t="str">
        <x:v>Preuve minimale</x:v>
      </x:c>
    </x:row>
    <x:row r="5" ht="29" customHeight="1">
      <x:c r="A5" s="79" t="str">
        <x:v>CI source PASS</x:v>
      </x:c>
      <x:c r="B5" s="79" t="str">
        <x:v>Le fichier / type / export ou test ciblé a réussi ; cela n'approuve pas un modèle canonique</x:v>
      </x:c>
      <x:c r="C5" s="79" t="str">
        <x:v>Oui pour un test purement technique</x:v>
      </x:c>
      <x:c r="D5" s="79" t="str">
        <x:v>Run GitHub Actions sur le commit exact</x:v>
      </x:c>
    </x:row>
    <x:row r="6" ht="29" customHeight="1">
      <x:c r="A6" s="79" t="str">
        <x:v>Chrome galerie PASS</x:v>
      </x:c>
      <x:c r="B6" s="79" t="str">
        <x:v>Le composant visuel et les interactions d'une page QA ont fonctionné</x:v>
      </x:c>
      <x:c r="C6" s="79" t="str">
        <x:v>Oui pour ce scénario de galerie, pas pour la campagne</x:v>
      </x:c>
      <x:c r="D6" s="79" t="str">
        <x:v>Capture + manifeste de run</x:v>
      </x:c>
    </x:row>
    <x:row r="7" ht="29" customHeight="1">
      <x:c r="A7" s="79" t="str">
        <x:v>Chrome wrapper PASS</x:v>
      </x:c>
      <x:c r="B7" s="79" t="str">
        <x:v>Le composant stratégique réel conserve son atlas enfant témoin en changeant de vue</x:v>
      </x:c>
      <x:c r="C7" s="79" t="str">
        <x:v>Oui pour le wrapper, pas toute la simulation V85</x:v>
      </x:c>
      <x:c r="D7" s="79" t="str">
        <x:v>Run du vrai composant, code contrôlé</x:v>
      </x:c>
    </x:row>
    <x:row r="8" ht="29" customHeight="1">
      <x:c r="A8" s="79" t="str">
        <x:v>PARTIEL</x:v>
      </x:c>
      <x:c r="B8" s="79" t="str">
        <x:v>Le prototype/code fonctionne mais une sous-tâche distincte reste</x:v>
      </x:c>
      <x:c r="C8" s="79" t="str">
        <x:v>Non pour le paquet complet</x:v>
      </x:c>
      <x:c r="D8" s="79" t="str">
        <x:v>Code, image source et QA finale à réunir</x:v>
      </x:c>
    </x:row>
    <x:row r="9" ht="29" customHeight="1">
      <x:c r="A9" s="79" t="str">
        <x:v>OUVERT</x:v>
      </x:c>
      <x:c r="B9" s="79" t="str">
        <x:v>Preuve, produit ou test encore manquant</x:v>
      </x:c>
      <x:c r="C9" s="79" t="str">
        <x:v>Non</x:v>
      </x:c>
      <x:c r="D9" s="79" t="str">
        <x:v>Livrable et acceptation explicite</x:v>
      </x:c>
    </x:row>
    <x:row r="10" ht="29" customHeight="1">
      <x:c r="A10" s="79" t="str">
        <x:v>1:1 VALIDÉ</x:v>
      </x:c>
      <x:c r="B10" s="79" t="str">
        <x:v>Fidélité d'un accessoire réel mesurée et acceptée</x:v>
      </x:c>
      <x:c r="C10" s="79" t="str">
        <x:v>Seulement après revue humaine signée</x:v>
      </x:c>
      <x:c r="D10" s="79" t="str">
        <x:v>Plusieurs photogrammes vérifiés, ratios, matières, animations</x:v>
      </x:c>
    </x:row>
    <x:row r="11" ht="29" customHeight="1">
      <x:c r="A11" s="79" t="str">
        <x:v>IP / droits</x:v>
      </x:c>
      <x:c r="B11" s="79" t="str">
        <x:v>Le nom ou design appartient à une franchise</x:v>
      </x:c>
      <x:c r="C11" s="79" t="str">
        <x:v>Ne pas présumer le droit de commercialiser</x:v>
      </x:c>
      <x:c r="D11" s="79" t="str">
        <x:v>Autorisation juridique / licences nécessaires</x:v>
      </x:c>
    </x:row>
    <x:row r="12" ht="29" customHeight="1">
      <x:c r="A12" s="79" t="str">
        <x:v>Heures non journalisées</x:v>
      </x:c>
      <x:c r="B12" s="79" t="str">
        <x:v>Les champs 0 heure ne signifient pas absence de code</x:v>
      </x:c>
      <x:c r="C12" s="79" t="str">
        <x:v>Ne pas inventer des heures</x:v>
      </x:c>
      <x:c r="D12" s="79" t="str">
        <x:v>Historique réel de tâches / commits</x:v>
      </x:c>
    </x:row>
    <x:row r="13" ht="29" customHeight="1">
      <x:c r="A13" s="79" t="str">
        <x:v>Lignes 1073</x:v>
      </x:c>
      <x:c r="B13" s="79" t="str">
        <x:v>Des anciennes feuilles peuvent décrire un même travail plusieurs fois</x:v>
      </x:c>
      <x:c r="C13" s="79" t="str">
        <x:v>Filtrer par ID + source ; pas un total de tickets uniques</x:v>
      </x:c>
      <x:c r="D13" s="79" t="str">
        <x:v>Source feuille + ligne dans 29_V137_Ouverts</x:v>
      </x:c>
    </x:row>
    <x:row r="14" ht="29" customHeight="1">
      <x:c r="A14" s="79" t="str">
        <x:v>PR #42</x:v>
      </x:c>
      <x:c r="B14" s="79" t="str">
        <x:v>Branche de test empilée sur #40</x:v>
      </x:c>
      <x:c r="C14" s="79" t="str">
        <x:v>Ne pas fusionner dans main sans dépendances et QA</x:v>
      </x:c>
      <x:c r="D14" s="79" t="str">
        <x:v>CI, revue et déploiement de test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31" hidden="0" customWidth="1"/>
    <x:col min="3" max="3" width="23" hidden="0" customWidth="1"/>
    <x:col min="4" max="4" width="24" hidden="0" customWidth="1"/>
    <x:col min="5" max="5" width="31" hidden="0" customWidth="1"/>
    <x:col min="6" max="6" width="57" hidden="0" customWidth="1"/>
    <x:col min="7" max="7" width="34" hidden="0" customWidth="1"/>
    <x:col min="8" max="8" width="70" hidden="0" customWidth="1"/>
    <x:col min="9" max="9" width="68" hidden="0" customWidth="1"/>
  </x:cols>
  <x:sheetData>
    <x:row r="1" ht="36" customHeight="1">
      <x:c r="A1" s="96" t="str">
        <x:v>V138 • Accès privé aux laboratoires de gauntlets</x:v>
      </x:c>
      <x:c r="B1" s="96"/>
      <x:c r="C1" s="96"/>
      <x:c r="D1" s="96"/>
      <x:c r="E1" s="96"/>
      <x:c r="F1" s="96"/>
      <x:c r="G1" s="96"/>
      <x:c r="H1" s="96"/>
      <x:c r="I1" s="96"/>
    </x:row>
    <x:row r="2" ht="39" customHeight="1">
      <x:c r="A2" s="100" t="str">
        <x:v>Protection double par serveur et proxy. Les clients React restent utilisables par les bancs de test, sans exposer l'atelier sur le site public.</x:v>
      </x:c>
      <x:c r="B2" s="100"/>
      <x:c r="C2" s="100"/>
      <x:c r="D2" s="100"/>
      <x:c r="E2" s="100"/>
      <x:c r="F2" s="100"/>
      <x:c r="G2" s="100"/>
      <x:c r="H2" s="100"/>
      <x:c r="I2" s="100"/>
    </x:row>
    <x:row r="4" ht="30" customHeight="1">
      <x:c r="A4" s="104" t="str">
        <x:v>ID</x:v>
      </x:c>
      <x:c r="B4" s="104" t="str">
        <x:v>Surface</x:v>
      </x:c>
      <x:c r="C4" s="104" t="str">
        <x:v>Type</x:v>
      </x:c>
      <x:c r="D4" s="104" t="str">
        <x:v>Résultat production</x:v>
      </x:c>
      <x:c r="E4" s="104" t="str">
        <x:v>Accès local</x:v>
      </x:c>
      <x:c r="F4" s="104" t="str">
        <x:v>Source de preuve</x:v>
      </x:c>
      <x:c r="G4" s="104" t="str">
        <x:v>État vérifié</x:v>
      </x:c>
      <x:c r="H4" s="104" t="str">
        <x:v>Critère précis</x:v>
      </x:c>
      <x:c r="I4" s="104" t="str">
        <x:v>Lien</x:v>
      </x:c>
    </x:row>
    <x:row r="5" ht="47" customHeight="1">
      <x:c r="A5" s="79" t="str">
        <x:v>QA138-01</x:v>
      </x:c>
      <x:c r="B5" s="79" t="str">
        <x:v>/gauntlet-qa-v135</x:v>
      </x:c>
      <x:c r="C5" s="79" t="str">
        <x:v>Route serveur</x:v>
      </x:c>
      <x:c r="D5" s="79" t="str">
        <x:v>404</x:v>
      </x:c>
      <x:c r="E5" s="79" t="str">
        <x:v>Activée uniquement en local</x:v>
      </x:c>
      <x:c r="F5" s="79" t="str">
        <x:v>app/gauntlet-qa-v135/page.tsx</x:v>
      </x:c>
      <x:c r="G5" s="79" t="str">
        <x:v>Code appliqué · CI en cours</x:v>
      </x:c>
      <x:c r="H5" s="79" t="str">
        <x:v>Ne pas exposer les outils internes en production</x:v>
      </x:c>
      <x:c r="I5" s="79" t="str">
        <x:v>https://github.com/darknigthmare/yautja-la-longue-chasse/pull/42</x:v>
      </x:c>
    </x:row>
    <x:row r="6" ht="47" customHeight="1">
      <x:c r="A6" s="79" t="str">
        <x:v>QA138-02</x:v>
      </x:c>
      <x:c r="B6" s="79" t="str">
        <x:v>/gauntlet-qa-v136</x:v>
      </x:c>
      <x:c r="C6" s="79" t="str">
        <x:v>Route serveur</x:v>
      </x:c>
      <x:c r="D6" s="79" t="str">
        <x:v>404</x:v>
      </x:c>
      <x:c r="E6" s="79" t="str">
        <x:v>Activée uniquement en local</x:v>
      </x:c>
      <x:c r="F6" s="79" t="str">
        <x:v>app/gauntlet-qa-v136/page.tsx</x:v>
      </x:c>
      <x:c r="G6" s="79" t="str">
        <x:v>Code appliqué · CI en cours</x:v>
      </x:c>
      <x:c r="H6" s="79" t="str">
        <x:v>Conserve l'audit des 54 modèles en mode local</x:v>
      </x:c>
      <x:c r="I6" s="79" t="str">
        <x:v>https://github.com/darknigthmare/yautja-la-longue-chasse/pull/42</x:v>
      </x:c>
    </x:row>
    <x:row r="7" ht="47" customHeight="1">
      <x:c r="A7" s="79" t="str">
        <x:v>QA138-03</x:v>
      </x:c>
      <x:c r="B7" s="79" t="str">
        <x:v>/gauntlet-qa-v135/:path*</x:v>
      </x:c>
      <x:c r="C7" s="79" t="str">
        <x:v>Proxy Next</x:v>
      </x:c>
      <x:c r="D7" s="79" t="str">
        <x:v>404</x:v>
      </x:c>
      <x:c r="E7" s="79" t="str">
        <x:v>YAUTJA_LOCAL_VISUAL_QA_V90=1</x:v>
      </x:c>
      <x:c r="F7" s="79" t="str">
        <x:v>proxy.ts</x:v>
      </x:c>
      <x:c r="G7" s="79" t="str">
        <x:v>Code appliqué · CI en cours</x:v>
      </x:c>
      <x:c r="H7" s="79" t="str">
        <x:v>Bloque la route avant le rendu, sans cookie ni requête</x:v>
      </x:c>
      <x:c r="I7" s="79" t="str">
        <x:v>https://github.com/darknigthmare/yautja-la-longue-chasse/pull/42</x:v>
      </x:c>
    </x:row>
    <x:row r="8" ht="47" customHeight="1">
      <x:c r="A8" s="79" t="str">
        <x:v>QA138-04</x:v>
      </x:c>
      <x:c r="B8" s="79" t="str">
        <x:v>/gauntlet-qa-v136/:path*</x:v>
      </x:c>
      <x:c r="C8" s="79" t="str">
        <x:v>Proxy Next</x:v>
      </x:c>
      <x:c r="D8" s="79" t="str">
        <x:v>404</x:v>
      </x:c>
      <x:c r="E8" s="79" t="str">
        <x:v>YAUTJA_LOCAL_VISUAL_QA_V90=1</x:v>
      </x:c>
      <x:c r="F8" s="79" t="str">
        <x:v>proxy.ts</x:v>
      </x:c>
      <x:c r="G8" s="79" t="str">
        <x:v>Code appliqué · CI en cours</x:v>
      </x:c>
      <x:c r="H8" s="79" t="str">
        <x:v>Vercel interdit même en présence de l'option locale</x:v>
      </x:c>
      <x:c r="I8" s="79" t="str">
        <x:v>https://github.com/darknigthmare/yautja-la-longue-chasse/pull/42</x:v>
      </x:c>
    </x:row>
    <x:row r="9" ht="47" customHeight="1">
      <x:c r="A9" s="79" t="str">
        <x:v>QA138-05</x:v>
      </x:c>
      <x:c r="B9" s="79" t="str">
        <x:v>V136 galerie client</x:v>
      </x:c>
      <x:c r="C9" s="79" t="str">
        <x:v>Composant React</x:v>
      </x:c>
      <x:c r="D9" s="79" t="str">
        <x:v>Aucune page QA publique</x:v>
      </x:c>
      <x:c r="E9" s="79" t="str">
        <x:v>Toujours montable par tests</x:v>
      </x:c>
      <x:c r="F9" s="79" t="str">
        <x:v>app/gauntlet-qa-v136/client.tsx</x:v>
      </x:c>
      <x:c r="G9" s="79" t="str">
        <x:v>Code appliqué · CI en cours</x:v>
      </x:c>
      <x:c r="H9" s="79" t="str">
        <x:v>Sépare le moteur interactif du contrôle serveur</x:v>
      </x:c>
      <x:c r="I9" s="79" t="str">
        <x:v>https://github.com/darknigthmare/yautja-la-longue-chasse/pull/42</x:v>
      </x:c>
    </x:row>
    <x:row r="10" ht="47" customHeight="1">
      <x:c r="A10" s="79" t="str">
        <x:v>QA138-06</x:v>
      </x:c>
      <x:c r="B10" s="79" t="str">
        <x:v>V135 galerie client</x:v>
      </x:c>
      <x:c r="C10" s="79" t="str">
        <x:v>Composant React</x:v>
      </x:c>
      <x:c r="D10" s="79" t="str">
        <x:v>Aucune page QA publique</x:v>
      </x:c>
      <x:c r="E10" s="79" t="str">
        <x:v>Toujours montable par tests</x:v>
      </x:c>
      <x:c r="F10" s="79" t="str">
        <x:v>app/gauntlet-qa-v135/client.tsx</x:v>
      </x:c>
      <x:c r="G10" s="79" t="str">
        <x:v>Code appliqué · CI en cours</x:v>
      </x:c>
      <x:c r="H10" s="79" t="str">
        <x:v>Préserve les 5 variantes prioritaires</x:v>
      </x:c>
      <x:c r="I10" s="79" t="str">
        <x:v>https://github.com/darknigthmare/yautja-la-longue-chasse/pull/42</x:v>
      </x:c>
    </x:row>
    <x:row r="11" ht="47" customHeight="1">
      <x:c r="A11" s="79" t="str">
        <x:v>QA138-07</x:v>
      </x:c>
      <x:c r="B11" s="79" t="str">
        <x:v>Chrome 54 modèles</x:v>
      </x:c>
      <x:c r="C11" s="79" t="str">
        <x:v>Banc de test</x:v>
      </x:c>
      <x:c r="D11" s="79" t="str">
        <x:v>Pas d'effet sur sauvegarde</x:v>
      </x:c>
      <x:c r="E11" s="79" t="str">
        <x:v>Fixture sans route serveur</x:v>
      </x:c>
      <x:c r="F11" s="79" t="str">
        <x:v>tests/browser/gauntlet-v136.fixture.tsx</x:v>
      </x:c>
      <x:c r="G11" s="79" t="str">
        <x:v>Code appliqué · CI en cours</x:v>
      </x:c>
      <x:c r="H11" s="79" t="str">
        <x:v>Tester à nouveau capot, filtres, comparaison et mobile</x:v>
      </x:c>
      <x:c r="I11" s="79" t="str">
        <x:v>https://github.com/darknigthmare/yautja-la-longue-chasse/pull/42</x:v>
      </x:c>
    </x:row>
    <x:row r="12" ht="47" customHeight="1">
      <x:c r="A12" s="79" t="str">
        <x:v>QA138-08</x:v>
      </x:c>
      <x:c r="B12" s="79" t="str">
        <x:v>Next production smoke</x:v>
      </x:c>
      <x:c r="C12" s="79" t="str">
        <x:v>Test HTTP</x:v>
      </x:c>
      <x:c r="D12" s="79" t="str">
        <x:v>404 sans option locale</x:v>
      </x:c>
      <x:c r="E12" s="79" t="str">
        <x:v>Mode local explicitement autorisé</x:v>
      </x:c>
      <x:c r="F12" s="79" t="str">
        <x:v>scripts/qa-next-production-v94.mjs</x:v>
      </x:c>
      <x:c r="G12" s="79" t="str">
        <x:v>Script étendu · exécution globale à vérifier</x:v>
      </x:c>
      <x:c r="H12" s="79" t="str">
        <x:v>Cinq routes QA contrôlées, dont les 2 gauntlets</x:v>
      </x:c>
      <x:c r="I12" s="79" t="str">
        <x:v>https://github.com/darknigthmare/yautja-la-longue-chasse/pull/42</x:v>
      </x:c>
    </x:row>
    <x:row r="13" ht="47" customHeight="1">
      <x:c r="A13" s="79" t="str">
        <x:v>QA138-09</x:v>
      </x:c>
      <x:c r="B13" s="79" t="str">
        <x:v>Privacy test</x:v>
      </x:c>
      <x:c r="C13" s="79" t="str">
        <x:v>Contrat source</x:v>
      </x:c>
      <x:c r="D13" s="79" t="str">
        <x:v>Deny-by-default</x:v>
      </x:c>
      <x:c r="E13" s="79" t="str">
        <x:v>Opt-in côté serveur</x:v>
      </x:c>
      <x:c r="F13" s="79" t="str">
        <x:v>tests/gauntlet-qa-privacy-v138.test.mjs</x:v>
      </x:c>
      <x:c r="G13" s="79" t="str">
        <x:v>Code appliqué · CI en cours</x:v>
      </x:c>
      <x:c r="H13" s="79" t="str">
        <x:v>Vérifie 404, noindex, no-store, matcher et fixture</x:v>
      </x:c>
      <x:c r="I13" s="79" t="str">
        <x:v>https://github.com/darknigthmare/yautja-la-longue-chasse/pull/42</x:v>
      </x:c>
    </x:row>
    <x:row r="14" ht="47" customHeight="1">
      <x:c r="A14" s="79" t="str">
        <x:v>QA138-10</x:v>
      </x:c>
      <x:c r="B14" s="79" t="str">
        <x:v>Gauntlet SVG / PNG</x:v>
      </x:c>
      <x:c r="C14" s="79" t="str">
        <x:v>Assets publics du jeu</x:v>
      </x:c>
      <x:c r="D14" s="79" t="str">
        <x:v>Restent accessibles</x:v>
      </x:c>
      <x:c r="E14" s="79" t="str">
        <x:v>Pas de dépendance QA</x:v>
      </x:c>
      <x:c r="F14" s="79" t="str">
        <x:v>public/game/assets/v134-v136/gauntlets/</x:v>
      </x:c>
      <x:c r="G14" s="79" t="str">
        <x:v>Déjà testé V137</x:v>
      </x:c>
      <x:c r="H14" s="79" t="str">
        <x:v>Le proxy ne doit pas intercepter les ressources du jeu</x:v>
      </x:c>
      <x:c r="I14" s="79" t="str">
        <x:v>https://github.com/darknigthmare/yautja-la-longue-chasse/actions/runs/41197051730</x:v>
      </x:c>
    </x:row>
    <x:row r="15" ht="47" customHeight="1">
      <x:c r="A15" s="79" t="str">
        <x:v>QA138-11</x:v>
      </x:c>
      <x:c r="B15" s="79" t="str">
        <x:v>Sauvegarde V13</x:v>
      </x:c>
      <x:c r="C15" s="79" t="str">
        <x:v>Persistance</x:v>
      </x:c>
      <x:c r="D15" s="79" t="str">
        <x:v>Non modifiée par la galerie</x:v>
      </x:c>
      <x:c r="E15" s="79" t="str">
        <x:v>Ne dépend pas du proxy</x:v>
      </x:c>
      <x:c r="F15" s="79" t="str">
        <x:v>tests/gauntlet-save-roundtrip-v136.test.mjs</x:v>
      </x:c>
      <x:c r="G15" s="79" t="str">
        <x:v>Déjà testé V137</x:v>
      </x:c>
      <x:c r="H15" s="79" t="str">
        <x:v>Import/export et propriétaire de chasseur séparés</x:v>
      </x:c>
      <x:c r="I15" s="79" t="str">
        <x:v>https://github.com/darknigthmare/yautja-la-longue-chasse/actions/runs/41197051729</x:v>
      </x:c>
    </x:row>
    <x:row r="16" ht="47" customHeight="1">
      <x:c r="A16" s="79" t="str">
        <x:v>QA138-12</x:v>
      </x:c>
      <x:c r="B16" s="79" t="str">
        <x:v>Compilateur complet</x:v>
      </x:c>
      <x:c r="C16" s="79" t="str">
        <x:v>Contrôle CI</x:v>
      </x:c>
      <x:c r="D16" s="79" t="str">
        <x:v>Aucune erreur attendue</x:v>
      </x:c>
      <x:c r="E16" s="79" t="str">
        <x:v>TypeScript + build frontend</x:v>
      </x:c>
      <x:c r="F16" s="79" t="str">
        <x:v>.github/workflows/gauntlet-v136-full-integration.yml</x:v>
      </x:c>
      <x:c r="G16" s="79" t="str">
        <x:v>CI V138 en cours</x:v>
      </x:c>
      <x:c r="H16" s="79" t="str">
        <x:v>Le succès de CI ne prouve pas les proportions 1:1</x:v>
      </x:c>
      <x:c r="I16" s="79" t="str">
        <x:v>https://github.com/darknigthmare/yautja-la-longue-chasse/pull/42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54" hidden="0" customWidth="1"/>
    <x:col min="3" max="3" width="13" hidden="0" customWidth="1"/>
    <x:col min="4" max="4" width="27" hidden="0" customWidth="1"/>
    <x:col min="5" max="5" width="27" hidden="0" customWidth="1"/>
    <x:col min="6" max="6" width="61" hidden="0" customWidth="1"/>
    <x:col min="7" max="7" width="85" hidden="0" customWidth="1"/>
    <x:col min="8" max="8" width="68" hidden="0" customWidth="1"/>
  </x:cols>
  <x:sheetData>
    <x:row r="1" ht="36" customHeight="1">
      <x:c r="A1" s="96" t="str">
        <x:v>V138 • Plan de fermeture des manquants prioritaires</x:v>
      </x:c>
      <x:c r="B1" s="96"/>
      <x:c r="C1" s="96"/>
      <x:c r="D1" s="96"/>
      <x:c r="E1" s="96"/>
      <x:c r="F1" s="96"/>
      <x:c r="G1" s="96"/>
      <x:c r="H1" s="96"/>
    </x:row>
    <x:row r="2" ht="39" customHeight="1">
      <x:c r="A2" s="100" t="str">
        <x:v>Les travaux terminés au sens du code ne valent pas validation artistique. Les états « Partiel » et « Ouvert » restent visibles pour chaque tâche, même si l'asset SVG existe.</x:v>
      </x:c>
      <x:c r="B2" s="100"/>
      <x:c r="C2" s="100"/>
      <x:c r="D2" s="100"/>
      <x:c r="E2" s="100"/>
      <x:c r="F2" s="100"/>
      <x:c r="G2" s="100"/>
      <x:c r="H2" s="100"/>
    </x:row>
    <x:row r="4" ht="30" customHeight="1">
      <x:c r="A4" s="104" t="str">
        <x:v>ID</x:v>
      </x:c>
      <x:c r="B4" s="104" t="str">
        <x:v>Chantier</x:v>
      </x:c>
      <x:c r="C4" s="104" t="str">
        <x:v>Priorité</x:v>
      </x:c>
      <x:c r="D4" s="104" t="str">
        <x:v>État V138</x:v>
      </x:c>
      <x:c r="E4" s="104" t="str">
        <x:v>Discipline</x:v>
      </x:c>
      <x:c r="F4" s="104" t="str">
        <x:v>Preuve existante</x:v>
      </x:c>
      <x:c r="G4" s="104" t="str">
        <x:v>Prochaine preuve exigée</x:v>
      </x:c>
      <x:c r="H4" s="104" t="str">
        <x:v>PR / source</x:v>
      </x:c>
    </x:row>
    <x:row r="5" ht="47" customHeight="1">
      <x:c r="A5" s="79" t="str">
        <x:v>PR138-01</x:v>
      </x:c>
      <x:c r="B5" s="79" t="str">
        <x:v>QA local V135/V136</x:v>
      </x:c>
      <x:c r="C5" s="79" t="str">
        <x:v>P0</x:v>
      </x:c>
      <x:c r="D5" s="79" t="str">
        <x:v>Code appliqué · CI en cours</x:v>
      </x:c>
      <x:c r="E5" s="79" t="str">
        <x:v>Sécurité web</x:v>
      </x:c>
      <x:c r="F5" s="79" t="str">
        <x:v>Deux routes server-side plus proxy</x:v>
      </x:c>
      <x:c r="G5" s="79" t="str">
        <x:v>Attendre succès exact de la CI sur le dernier commit</x:v>
      </x:c>
      <x:c r="H5" s="79" t="str">
        <x:v>https://github.com/darknigthmare/yautja-la-longue-chasse/pull/42</x:v>
      </x:c>
    </x:row>
    <x:row r="6" ht="47" customHeight="1">
      <x:c r="A6" s="79" t="str">
        <x:v>PR138-02</x:v>
      </x:c>
      <x:c r="B6" s="79" t="str">
        <x:v>Tests Chrome suite à migration client</x:v>
      </x:c>
      <x:c r="C6" s="79" t="str">
        <x:v>P0</x:v>
      </x:c>
      <x:c r="D6" s="79" t="str">
        <x:v>Code appliqué · CI en cours</x:v>
      </x:c>
      <x:c r="E6" s="79" t="str">
        <x:v>E2E / navigateur</x:v>
      </x:c>
      <x:c r="F6" s="79" t="str">
        <x:v>Fixture importe le composant client</x:v>
      </x:c>
      <x:c r="G6" s="79" t="str">
        <x:v>Vérifier clicks, recherche, capot, zoom et viewport mobile</x:v>
      </x:c>
      <x:c r="H6" s="79" t="str">
        <x:v>https://github.com/darknigthmare/yautja-la-longue-chasse/pull/42</x:v>
      </x:c>
    </x:row>
    <x:row r="7" ht="47" customHeight="1">
      <x:c r="A7" s="79" t="str">
        <x:v>PR138-03</x:v>
      </x:c>
      <x:c r="B7" s="79" t="str">
        <x:v>Smoke de routes privées Next</x:v>
      </x:c>
      <x:c r="C7" s="79" t="str">
        <x:v>P0</x:v>
      </x:c>
      <x:c r="D7" s="79" t="str">
        <x:v>Partiel</x:v>
      </x:c>
      <x:c r="E7" s="79" t="str">
        <x:v>CI production</x:v>
      </x:c>
      <x:c r="F7" s="79" t="str">
        <x:v>5 routes QA attendues en 404</x:v>
      </x:c>
      <x:c r="G7" s="79" t="str">
        <x:v>Exécuter le véritable serveur de production avec variable désactivée</x:v>
      </x:c>
      <x:c r="H7" s="79" t="str">
        <x:v>https://github.com/darknigthmare/yautja-la-longue-chasse/pull/42</x:v>
      </x:c>
    </x:row>
    <x:row r="8" ht="47" customHeight="1">
      <x:c r="A8" s="79" t="str">
        <x:v>PR138-04</x:v>
      </x:c>
      <x:c r="B8" s="79" t="str">
        <x:v>Conflit inter-onglets de campagne réelle</x:v>
      </x:c>
      <x:c r="C8" s="79" t="str">
        <x:v>P0</x:v>
      </x:c>
      <x:c r="D8" s="79" t="str">
        <x:v>Ouvert</x:v>
      </x:c>
      <x:c r="E8" s="79" t="str">
        <x:v>Sauvegarde / API</x:v>
      </x:c>
      <x:c r="F8" s="79" t="str">
        <x:v>Les tests Node simulent le conflit de stockage</x:v>
      </x:c>
      <x:c r="G8" s="79" t="str">
        <x:v>Valider deux onglets et reprise sur deux appareils</x:v>
      </x:c>
      <x:c r="H8" s="79" t="str">
        <x:v>https://github.com/darknigthmare/yautja-la-longue-chasse/pull/42</x:v>
      </x:c>
    </x:row>
    <x:row r="9" ht="47" customHeight="1">
      <x:c r="A9" s="79" t="str">
        <x:v>PR138-05</x:v>
      </x:c>
      <x:c r="B9" s="79" t="str">
        <x:v>Projection réelle V85 sans perte d'état</x:v>
      </x:c>
      <x:c r="C9" s="79" t="str">
        <x:v>P0</x:v>
      </x:c>
      <x:c r="D9" s="79" t="str">
        <x:v>Partiel</x:v>
      </x:c>
      <x:c r="E9" s="79" t="str">
        <x:v>Gameplay / navigateur</x:v>
      </x:c>
      <x:c r="F9" s="79" t="str">
        <x:v>Banc V137 avec atlas enfant témoin</x:v>
      </x:c>
      <x:c r="G9" s="79" t="str">
        <x:v>Tester vraie carte, ordres, caméra et sauvegarde dans le jeu</x:v>
      </x:c>
      <x:c r="H9" s="79" t="str">
        <x:v>https://github.com/darknigthmare/yautja-la-longue-chasse/pull/42</x:v>
      </x:c>
    </x:row>
    <x:row r="10" ht="47" customHeight="1">
      <x:c r="A10" s="79" t="str">
        <x:v>PR138-06</x:v>
      </x:c>
      <x:c r="B10" s="79" t="str">
        <x:v>V115 : quatre gamemodes</x:v>
      </x:c>
      <x:c r="C10" s="79" t="str">
        <x:v>P0</x:v>
      </x:c>
      <x:c r="D10" s="79" t="str">
        <x:v>Partiel</x:v>
      </x:c>
      <x:c r="E10" s="79" t="str">
        <x:v>Gameplay</x:v>
      </x:c>
      <x:c r="F10" s="79" t="str">
        <x:v>4 HUDs cosmétiques V133 intégrés</x:v>
      </x:c>
      <x:c r="G10" s="79" t="str">
        <x:v>Tester assaut, Outer Ops, sabotage et RTS dans des scènes réelles</x:v>
      </x:c>
      <x:c r="H10" s="79" t="str">
        <x:v>https://github.com/darknigthmare/yautja-la-longue-chasse/pull/42</x:v>
      </x:c>
    </x:row>
    <x:row r="11" ht="47" customHeight="1">
      <x:c r="A11" s="79" t="str">
        <x:v>PR138-07</x:v>
      </x:c>
      <x:c r="B11" s="79" t="str">
        <x:v>Jungle Hunter : 1:1 face / dessus / côté</x:v>
      </x:c>
      <x:c r="C11" s="79" t="str">
        <x:v>P0</x:v>
      </x:c>
      <x:c r="D11" s="79" t="str">
        <x:v>Ouvert</x:v>
      </x:c>
      <x:c r="E11" s="79" t="str">
        <x:v>Art / films</x:v>
      </x:c>
      <x:c r="F11" s="79" t="str">
        <x:v>7 calques techniques disponibles</x:v>
      </x:c>
      <x:c r="G11" s="79" t="str">
        <x:v>Photogrammes validés, mesures et revue humaine</x:v>
      </x:c>
      <x:c r="H11" s="79" t="str">
        <x:v>https://github.com/darknigthmare/yautja-la-longue-chasse/pull/42</x:v>
      </x:c>
    </x:row>
    <x:row r="12" ht="47" customHeight="1">
      <x:c r="A12" s="79" t="str">
        <x:v>PR138-08</x:v>
      </x:c>
      <x:c r="B12" s="79" t="str">
        <x:v>City Hunter / Wolf : véritables props</x:v>
      </x:c>
      <x:c r="C12" s="79" t="str">
        <x:v>P0</x:v>
      </x:c>
      <x:c r="D12" s="79" t="str">
        <x:v>Ouvert</x:v>
      </x:c>
      <x:c r="E12" s="79" t="str">
        <x:v>Art / films</x:v>
      </x:c>
      <x:c r="F12" s="79" t="str">
        <x:v>Propstore documente les accessoires</x:v>
      </x:c>
      <x:c r="G12" s="79" t="str">
        <x:v>Relever le pivot, les détails, les matériaux et comparer au film</x:v>
      </x:c>
      <x:c r="H12" s="79" t="str">
        <x:v>https://github.com/darknigthmare/yautja-la-longue-chasse/pull/42</x:v>
      </x:c>
    </x:row>
    <x:row r="13" ht="47" customHeight="1">
      <x:c r="A13" s="79" t="str">
        <x:v>PR138-09</x:v>
      </x:c>
      <x:c r="B13" s="79" t="str">
        <x:v>Feral et Dek : fidélité matériau / scanner</x:v>
      </x:c>
      <x:c r="C13" s="79" t="str">
        <x:v>P0</x:v>
      </x:c>
      <x:c r="D13" s="79" t="str">
        <x:v>Ouvert</x:v>
      </x:c>
      <x:c r="E13" s="79" t="str">
        <x:v>Art / films</x:v>
      </x:c>
      <x:c r="F13" s="79" t="str">
        <x:v>Source Wētā et film à confronter</x:v>
      </x:c>
      <x:c r="G13" s="79" t="str">
        <x:v>Vérifier les contrôles, glyphes, capots et l'implantation anatomique</x:v>
      </x:c>
      <x:c r="H13" s="79" t="str">
        <x:v>https://github.com/darknigthmare/yautja-la-longue-chasse/pull/42</x:v>
      </x:c>
    </x:row>
    <x:row r="14" ht="47" customHeight="1">
      <x:c r="A14" s="79" t="str">
        <x:v>PR138-10</x:v>
      </x:c>
      <x:c r="B14" s="79" t="str">
        <x:v>49 gauntlets : concept -&gt; source canon</x:v>
      </x:c>
      <x:c r="C14" s="79" t="str">
        <x:v>P0</x:v>
      </x:c>
      <x:c r="D14" s="79" t="str">
        <x:v>Ouvert</x:v>
      </x:c>
      <x:c r="E14" s="79" t="str">
        <x:v>Art / référence</x:v>
      </x:c>
      <x:c r="F14" s="79" t="str">
        <x:v>49 prototypes SVG indépendants non canoniques</x:v>
      </x:c>
      <x:c r="G14" s="79" t="str">
        <x:v>Remplacer seulement après validation du véritable équipement</x:v>
      </x:c>
      <x:c r="H14" s="79" t="str">
        <x:v>https://github.com/darknigthmare/yautja-la-longue-chasse/pull/42</x:v>
      </x:c>
    </x:row>
    <x:row r="15" ht="47" customHeight="1">
      <x:c r="A15" s="79" t="str">
        <x:v>PR138-11</x:v>
      </x:c>
      <x:c r="B15" s="79" t="str">
        <x:v>Rig personnage 54 variantes</x:v>
      </x:c>
      <x:c r="C15" s="79" t="str">
        <x:v>P0</x:v>
      </x:c>
      <x:c r="D15" s="79" t="str">
        <x:v>Partiel</x:v>
      </x:c>
      <x:c r="E15" s="79" t="str">
        <x:v>Animation / rig</x:v>
      </x:c>
      <x:c r="F15" s="79" t="str">
        <x:v>Matières V133 seulement sur bras complet</x:v>
      </x:c>
      <x:c r="G15" s="79" t="str">
        <x:v>Ancrage physique propre aux formes du vrai bracelet par rig et pose</x:v>
      </x:c>
      <x:c r="H15" s="79" t="str">
        <x:v>https://github.com/darknigthmare/yautja-la-longue-chasse/pull/42</x:v>
      </x:c>
    </x:row>
    <x:row r="16" ht="47" customHeight="1">
      <x:c r="A16" s="79" t="str">
        <x:v>PR138-12</x:v>
      </x:c>
      <x:c r="B16" s="79" t="str">
        <x:v>Audio des dix familles</x:v>
      </x:c>
      <x:c r="C16" s="79" t="str">
        <x:v>P1</x:v>
      </x:c>
      <x:c r="D16" s="79" t="str">
        <x:v>Partiel</x:v>
      </x:c>
      <x:c r="E16" s="79" t="str">
        <x:v>Mixage</x:v>
      </x:c>
      <x:c r="F16" s="79" t="str">
        <x:v>Synthèse liée au bus SFX existant</x:v>
      </x:c>
      <x:c r="G16" s="79" t="str">
        <x:v>Écoute et calibration sur haut-parleurs/casque/manette</x:v>
      </x:c>
      <x:c r="H16" s="79" t="str">
        <x:v>https://github.com/darknigthmare/yautja-la-longue-chasse/pull/42</x:v>
      </x:c>
    </x:row>
    <x:row r="17" ht="47" customHeight="1">
      <x:c r="A17" s="79" t="str">
        <x:v>PR138-13</x:v>
      </x:c>
      <x:c r="B17" s="79" t="str">
        <x:v>Accessibilité et manette physique</x:v>
      </x:c>
      <x:c r="C17" s="79" t="str">
        <x:v>P1</x:v>
      </x:c>
      <x:c r="D17" s="79" t="str">
        <x:v>Partiel</x:v>
      </x:c>
      <x:c r="E17" s="79" t="str">
        <x:v>Accessibilité</x:v>
      </x:c>
      <x:c r="F17" s="79" t="str">
        <x:v>Chrome clavier mobile et reduced motion testés</x:v>
      </x:c>
      <x:c r="G17" s="79" t="str">
        <x:v>Manette matérielle + lecteur d'écran + retour à la carte</x:v>
      </x:c>
      <x:c r="H17" s="79" t="str">
        <x:v>https://github.com/darknigthmare/yautja-la-longue-chasse/pull/42</x:v>
      </x:c>
    </x:row>
    <x:row r="18" ht="47" customHeight="1">
      <x:c r="A18" s="79" t="str">
        <x:v>PR138-14</x:v>
      </x:c>
      <x:c r="B18" s="79" t="str">
        <x:v>Revue juridique sur la franchise</x:v>
      </x:c>
      <x:c r="C18" s="79" t="str">
        <x:v>P0</x:v>
      </x:c>
      <x:c r="D18" s="79" t="str">
        <x:v>Ouvert</x:v>
      </x:c>
      <x:c r="E18" s="79" t="str">
        <x:v>Droits</x:v>
      </x:c>
      <x:c r="F18" s="79" t="str">
        <x:v>Fan-game non commercial</x:v>
      </x:c>
      <x:c r="G18" s="79" t="str">
        <x:v>Autorisation droits avant distribution commerciale</x:v>
      </x:c>
      <x:c r="H18" s="79" t="str">
        <x:v>https://github.com/darknigthmare/yautja-la-longue-chasse/pull/42</x:v>
      </x:c>
    </x:row>
    <x:row r="19" ht="47" customHeight="1">
      <x:c r="A19" s="79" t="str">
        <x:v>PR138-15</x:v>
      </x:c>
      <x:c r="B19" s="79" t="str">
        <x:v>Réconciliation Excel V132–V137</x:v>
      </x:c>
      <x:c r="C19" s="79" t="str">
        <x:v>P1</x:v>
      </x:c>
      <x:c r="D19" s="79" t="str">
        <x:v>Réalisé (suivi)</x:v>
      </x:c>
      <x:c r="E19" s="79" t="str">
        <x:v>Documentation</x:v>
      </x:c>
      <x:c r="F19" s="79" t="str">
        <x:v>33 onglets, 1 073 lignes historique sourcées</x:v>
      </x:c>
      <x:c r="G19" s="79" t="str">
        <x:v>Tenir à jour les corrections sans fermer les 54 exigences 1:1</x:v>
      </x:c>
      <x:c r="H19" s="79" t="str">
        <x:v>https://github.com/darknigthmare/yautja-la-longue-chasse/blob/feat/v131-gauntlet-hologram-dual-view-20261030/docs/Yautja_Gauntlets_V137_Arsenal_Clans.xlsx</x:v>
      </x:c>
    </x:row>
  </x:sheetData>
  <x:mergeCells>
    <x:mergeCell ref="A1:H1"/>
    <x:mergeCell ref="A2:H2"/>
  </x:mergeCells>
  <x:dataValidations count="2">
    <x:dataValidation type="list" sqref="D5:D19">
      <x:formula1>"Réalisé (suivi),Code appliqué · CI en cours,Partiel,Ouvert,Validé avec preuve"</x:formula1>
    </x:dataValidation>
    <x:dataValidation type="list" sqref="C5:C19">
      <x:formula1>"P0,P1,P2"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20" hidden="0" customWidth="1"/>
    <x:col min="3" max="3" width="99" hidden="0" customWidth="1"/>
  </x:cols>
  <x:sheetData>
    <x:row r="1" ht="36" customHeight="1">
      <x:c r="A1" s="96" t="str">
        <x:v>V138 • Pilotage et preuves sans clôture fictive</x:v>
      </x:c>
      <x:c r="B1" s="96"/>
      <x:c r="C1" s="96"/>
    </x:row>
    <x:row r="2" ht="39" customHeight="1">
      <x:c r="A2" s="100" t="str">
        <x:v>La colonne Calcul est mise à jour depuis les feuilles d'audit ; rester prudent : conformité visuelle, droits et tests du jeu complet exigent des preuves distinctes.</x:v>
      </x:c>
      <x:c r="B2" s="100"/>
      <x:c r="C2" s="100"/>
    </x:row>
    <x:row r="4" ht="30" customHeight="1">
      <x:c r="A4" s="104" t="str">
        <x:v>Indicateur</x:v>
      </x:c>
      <x:c r="B4" s="104" t="str">
        <x:v>Valeur</x:v>
      </x:c>
      <x:c r="C4" s="104" t="str">
        <x:v>Signification</x:v>
      </x:c>
    </x:row>
    <x:row r="5" ht="47" customHeight="1">
      <x:c r="A5" s="79" t="str">
        <x:v>Catalogue Yautja</x:v>
      </x:c>
      <x:c r="B5" s="79" t="n">
        <x:v>54</x:v>
      </x:c>
      <x:c r="C5" s="79" t="str">
        <x:v>Identités recensées, pas équipements canoniques garantis</x:v>
      </x:c>
    </x:row>
    <x:row r="6" ht="47" customHeight="1">
      <x:c r="A6" s="79" t="str">
        <x:v>Calques SVG indépendants</x:v>
      </x:c>
      <x:c r="B6" s="79" t="n">
        <x:v>219</x:v>
      </x:c>
      <x:c r="C6" s="79" t="str">
        <x:v>Tous les fichiers existants, confirmation alpha V137</x:v>
      </x:c>
    </x:row>
    <x:row r="7" ht="47" customHeight="1">
      <x:c r="A7" s="79" t="str">
        <x:v>Modèles certifiés fidèles 1:1</x:v>
      </x:c>
      <x:c r="B7" s="79" t="n">
        <x:v>0</x:v>
      </x:c>
      <x:c r="C7" s="79" t="str">
        <x:v>Nécessite photos source + revue humaine</x:v>
      </x:c>
    </x:row>
    <x:row r="8" ht="47" customHeight="1">
      <x:c r="A8" s="79" t="str">
        <x:v>Modes de guerre conservés</x:v>
      </x:c>
      <x:c r="B8" s="79" t="n">
        <x:v>4</x:v>
      </x:c>
      <x:c r="C8" s="79" t="str">
        <x:v>Assaut, infiltration, RTS et Outer Ops</x:v>
      </x:c>
    </x:row>
    <x:row r="9" ht="47" customHeight="1">
      <x:c r="A9" s="79" t="str">
        <x:v>Études à preuve de campagne</x:v>
      </x:c>
      <x:c r="B9" s="79" t="n">
        <x:v>44</x:v>
      </x:c>
      <x:c r="C9" s="79" t="str">
        <x:v>Mission/trophée/rang/scan/rite, cosmétique seulement</x:v>
      </x:c>
    </x:row>
    <x:row r="10" ht="47" customHeight="1">
      <x:c r="A10" s="79" t="str">
        <x:v>Routes QA à protéger</x:v>
      </x:c>
      <x:c r="B10" s="79" t="n">
        <x:v>2</x:v>
      </x:c>
      <x:c r="C10" s="79" t="str">
        <x:v>V135 et V136 ; code V138 en cours de validation CI</x:v>
      </x:c>
    </x:row>
    <x:row r="11" ht="47" customHeight="1">
      <x:c r="A11" s="79" t="str">
        <x:v>Nouveaux contrôles V138</x:v>
      </x:c>
      <x:c r="B11" s="79" t="n">
        <x:f>COUNTA('33_V138_Acces_QA'!A5:A16)</x:f>
        <x:v>12</x:v>
      </x:c>
      <x:c r="C11" s="79" t="str">
        <x:v>Source, proxy, Chrome, sauvegarde et build</x:v>
      </x:c>
    </x:row>
    <x:row r="12" ht="47" customHeight="1">
      <x:c r="A12" s="79" t="str">
        <x:v>Chantiers prioritaires</x:v>
      </x:c>
      <x:c r="B12" s="79" t="n">
        <x:f>COUNTA('34_V138_Priorites'!A5:A19)</x:f>
        <x:v>15</x:v>
      </x:c>
      <x:c r="C12" s="79" t="str">
        <x:v>Les tâches sont une shortlist, pas le backlog complet</x:v>
      </x:c>
    </x:row>
    <x:row r="13" ht="47" customHeight="1">
      <x:c r="A13" s="79" t="str">
        <x:v>Chantiers réellement ouverts</x:v>
      </x:c>
      <x:c r="B13" s="79" t="n">
        <x:f>COUNTIF('34_V138_Priorites'!D5:D19,"Ouvert")+COUNTIF('34_V138_Priorites'!D5:D19,"Partiel")</x:f>
        <x:v>12</x:v>
      </x:c>
      <x:c r="C13" s="79" t="str">
        <x:v>Inclut les tâches partiellement implémentées</x:v>
      </x:c>
    </x:row>
    <x:row r="14" ht="47" customHeight="1">
      <x:c r="A14" s="79" t="str">
        <x:v>Lignes historiques V137</x:v>
      </x:c>
      <x:c r="B14" s="79" t="n">
        <x:v>1073</x:v>
      </x:c>
      <x:c r="C14" s="79" t="str">
        <x:v>Des doublons existent entre feuilles et packages d'assets</x:v>
      </x:c>
    </x:row>
    <x:row r="17" ht="43" customHeight="1">
      <x:c r="A17" s="107" t="str">
        <x:v>BLOCAGE DE FIDÉLITÉ 1:1</x:v>
      </x:c>
      <x:c r="B17" s="107" t="str">
        <x:v>0 / 54</x:v>
      </x:c>
      <x:c r="C17" s="107" t="str">
        <x:v>Aucun modèle n'a reçu la validation des dimensions, du rendu matière et des animations par un relecteur humain</x:v>
      </x:c>
    </x:row>
    <x:row r="19">
      <x:c r="A19" t="str">
        <x:v>Référence PR</x:v>
      </x:c>
      <x:c r="B19" t="str">
        <x:v>#42</x:v>
      </x:c>
      <x:c r="C19" t="str">
        <x:v>https://github.com/darknigthmare/yautja-la-longue-chasse/pull/42</x:v>
      </x:c>
    </x:row>
    <x:row r="20">
      <x:c r="A20" t="str">
        <x:v>Validation actuelle</x:v>
      </x:c>
      <x:c r="B20" t="str">
        <x:v>À vérifier</x:v>
      </x:c>
      <x:c r="C20" t="str">
        <x:v>La CI du dernier commit est distincte des contrôles réussis sur la branche précédente</x:v>
      </x:c>
    </x:row>
  </x:sheetData>
  <x:mergeCells>
    <x:mergeCell ref="A1:C1"/>
    <x:mergeCell ref="A2:C2"/>
  </x:mergeCells>
  <x:pageMargins left="0.7" right="0.7" top="0.75" bottom="0.75" header="0.3" footer="0.3"/>
</x:worksheet>
</file>