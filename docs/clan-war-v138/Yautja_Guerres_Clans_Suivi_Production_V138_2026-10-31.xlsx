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ce49222ce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f9b2a74f2af847d2"/>
    <x:sheet xmlns:r="http://schemas.openxmlformats.org/officeDocument/2006/relationships" name="OUTER_OPS" sheetId="2" r:id="Rd4cf8e0634024e95"/>
    <x:sheet xmlns:r="http://schemas.openxmlformats.org/officeDocument/2006/relationships" name="INFILTRATION" sheetId="3" r:id="Rb41ec6304e9c4a79"/>
    <x:sheet xmlns:r="http://schemas.openxmlformats.org/officeDocument/2006/relationships" name="RTS" sheetId="4" r:id="R58cb5adb5964414b"/>
    <x:sheet xmlns:r="http://schemas.openxmlformats.org/officeDocument/2006/relationships" name="SYSTEMES_COMMUNS" sheetId="5" r:id="R0140659c32a74ab7"/>
    <x:sheet xmlns:r="http://schemas.openxmlformats.org/officeDocument/2006/relationships" name="MULTIJOUEUR" sheetId="6" r:id="R314b8a9f92bb49fa"/>
    <x:sheet xmlns:r="http://schemas.openxmlformats.org/officeDocument/2006/relationships" name="MISSIONS_1200" sheetId="7" r:id="Re37da1565b8946af"/>
    <x:sheet xmlns:r="http://schemas.openxmlformats.org/officeDocument/2006/relationships" name="W3_24_RTS" sheetId="8" r:id="R821381a3ce204fa2"/>
    <x:sheet xmlns:r="http://schemas.openxmlformats.org/officeDocument/2006/relationships" name="CARTES_W3_12" sheetId="9" r:id="R91488837eb9d4716"/>
    <x:sheet xmlns:r="http://schemas.openxmlformats.org/officeDocument/2006/relationships" name="W5_CAMPAGNES_36" sheetId="10" r:id="R5b06104346574e91"/>
    <x:sheet xmlns:r="http://schemas.openxmlformats.org/officeDocument/2006/relationships" name="LORE_CONTINUITE" sheetId="11" r:id="R81606ae630244e5c"/>
    <x:sheet xmlns:r="http://schemas.openxmlformats.org/officeDocument/2006/relationships" name="QA_ACCEPTATION" sheetId="12" r:id="Rf9b964e70dd244af"/>
    <x:sheet xmlns:r="http://schemas.openxmlformats.org/officeDocument/2006/relationships" name="CHAINES_PR" sheetId="13" r:id="Rfcf891bf4fce43c8"/>
    <x:sheet xmlns:r="http://schemas.openxmlformats.org/officeDocument/2006/relationships" name="SOURCES" sheetId="14" r:id="R5980e2edc4eb4282"/>
    <x:sheet xmlns:r="http://schemas.openxmlformats.org/officeDocument/2006/relationships" name="ROADMAP_GLOBALE" sheetId="15" r:id="Re877f798cfa04787"/>
    <x:sheet xmlns:r="http://schemas.openxmlformats.org/officeDocument/2006/relationships" name="00_PILOTAGE" sheetId="16" r:id="R92ea0a0f6d144166"/>
    <x:sheet xmlns:r="http://schemas.openxmlformats.org/officeDocument/2006/relationships" name="LEGENDE_ET_MODE" sheetId="17" r:id="Rbd148c85f25f4efd"/>
    <x:sheet xmlns:r="http://schemas.openxmlformats.org/officeDocument/2006/relationships" name="RTS_V134_SYNCHRO" sheetId="18" r:id="R23d5321b84c0414d"/>
    <x:sheet xmlns:r="http://schemas.openxmlformats.org/officeDocument/2006/relationships" name="MODES_V135_PARALLELE" sheetId="19" r:id="R123250123ec94e8b"/>
    <x:sheet xmlns:r="http://schemas.openxmlformats.org/officeDocument/2006/relationships" name="QA_V135" sheetId="20" r:id="R81941e5d5aa24481"/>
    <x:sheet xmlns:r="http://schemas.openxmlformats.org/officeDocument/2006/relationships" name="MODES_V136_PARALLELE" sheetId="21" r:id="R50558a2ff4e24932"/>
    <x:sheet xmlns:r="http://schemas.openxmlformats.org/officeDocument/2006/relationships" name="QA_V136" sheetId="22" r:id="R8a6b2486b80e4f1f"/>
    <x:sheet xmlns:r="http://schemas.openxmlformats.org/officeDocument/2006/relationships" name="INTERMODES_V136" sheetId="23" r:id="Rb56ac361ad824cbc"/>
    <x:sheet xmlns:r="http://schemas.openxmlformats.org/officeDocument/2006/relationships" name="SUIVI_V136" sheetId="24" r:id="R3ef670a31feb42a0"/>
    <x:sheet xmlns:r="http://schemas.openxmlformats.org/officeDocument/2006/relationships" name="ASSAUT_V137" sheetId="25" r:id="R1f1b0e5a77c44503"/>
    <x:sheet xmlns:r="http://schemas.openxmlformats.org/officeDocument/2006/relationships" name="OUTER_OPS_V137" sheetId="26" r:id="Rf3146f14cd1d4cd0"/>
    <x:sheet xmlns:r="http://schemas.openxmlformats.org/officeDocument/2006/relationships" name="INFILTRATION_V137" sheetId="27" r:id="R9ec4f7843bd942b6"/>
    <x:sheet xmlns:r="http://schemas.openxmlformats.org/officeDocument/2006/relationships" name="RTS_V137" sheetId="28" r:id="R8484c88b55924ba9"/>
    <x:sheet xmlns:r="http://schemas.openxmlformats.org/officeDocument/2006/relationships" name="QA_V137" sheetId="29" r:id="R271ff954552543fa"/>
    <x:sheet xmlns:r="http://schemas.openxmlformats.org/officeDocument/2006/relationships" name="CROISEMENTS_V137" sheetId="30" r:id="R1520ed9175f443d4"/>
    <x:sheet xmlns:r="http://schemas.openxmlformats.org/officeDocument/2006/relationships" name="SUIVI_V137" sheetId="31" r:id="Rec8eb321c7ed4695"/>
    <x:sheet xmlns:r="http://schemas.openxmlformats.org/officeDocument/2006/relationships" name="ASSAUT_V138" sheetId="32" r:id="Rcbf0e153c9964d25"/>
    <x:sheet xmlns:r="http://schemas.openxmlformats.org/officeDocument/2006/relationships" name="OUTER_OPS_V138" sheetId="33" r:id="R0e7a108f5430478a"/>
    <x:sheet xmlns:r="http://schemas.openxmlformats.org/officeDocument/2006/relationships" name="INFILTRATION_V138" sheetId="34" r:id="R85ffd0950aec4159"/>
    <x:sheet xmlns:r="http://schemas.openxmlformats.org/officeDocument/2006/relationships" name="RTS_V138" sheetId="35" r:id="R463a5caf38b542d4"/>
    <x:sheet xmlns:r="http://schemas.openxmlformats.org/officeDocument/2006/relationships" name="QA_V138" sheetId="36" r:id="Rd78a47e1637f4c53"/>
    <x:sheet xmlns:r="http://schemas.openxmlformats.org/officeDocument/2006/relationships" name="CROISEMENTS_V138" sheetId="37" r:id="R006233bbf0f14e2e"/>
    <x:sheet xmlns:r="http://schemas.openxmlformats.org/officeDocument/2006/relationships" name="SUIVI_V138" sheetId="38" r:id="Rdcf7773a72ba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  <x:font>
      <x:b/>
      <x:sz val="15"/>
      <x:color rgb="FFFFFFFF"/>
      <x:name val="Carlito"/>
    </x:font>
    <x:font>
      <x:sz val="11"/>
      <x:color rgb="FFD8EDE4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7"/>
      <x:color rgb="FFFAE1B7"/>
      <x:name val="Carlito"/>
    </x:font>
    <x:font>
      <x:sz val="10"/>
      <x:color rgb="FFE2EADA"/>
      <x:name val="Carlito"/>
    </x:font>
    <x:font>
      <x:b/>
      <x:sz val="16"/>
      <x:color rgb="FFFAE1B7"/>
      <x:name val="Carlito"/>
    </x:font>
    <x:font>
      <x:b/>
      <x:sz val="14"/>
      <x:color rgb="FFF2E3BC"/>
      <x:name val="Carlito"/>
    </x:font>
    <x:font>
      <x:sz val="10"/>
      <x:color rgb="FFE3ECE5"/>
      <x:name val="Carlito"/>
    </x:font>
    <x:font>
      <x:b/>
      <x:sz val="11"/>
      <x:color rgb="FF133C36"/>
      <x:name val="Carlito"/>
    </x:font>
    <x:font>
      <x:b/>
      <x:sz val="17"/>
      <x:color rgb="FFFFFFFF"/>
      <x:name val="Carlito"/>
    </x:font>
    <x:font>
      <x:sz val="10"/>
      <x:color rgb="FFFFFFFF"/>
      <x:name val="Carlito"/>
    </x:font>
    <x:font>
      <x:b/>
      <x:sz val="11"/>
      <x:name val="Carlito"/>
    </x:font>
    <x:font>
      <x:sz val="10"/>
      <x:color rgb="FF385269"/>
      <x:name val="Carlito"/>
    </x:font>
    <x:font>
      <x:b/>
      <x:sz val="11"/>
      <x:color rgb="FF154034"/>
      <x:name val="Carlito"/>
    </x:font>
    <x:font>
      <x:sz val="11"/>
      <x:color rgb="FF6B4416"/>
      <x:name val="Carlito"/>
    </x:font>
    <x:font>
      <x:sz val="11"/>
      <x:color rgb="FF164E3D"/>
      <x:name val="Carlito"/>
    </x:font>
    <x:font>
      <x:sz val="10"/>
      <x:color rgb="FF355267"/>
      <x:name val="Carlito"/>
    </x:font>
    <x:font>
      <x:b/>
      <x:sz val="11"/>
      <x:color rgb="FF154A40"/>
      <x:name val="Carlito"/>
    </x:font>
    <x:font>
      <x:sz val="11"/>
      <x:color rgb="FF7E5124"/>
      <x:name val="Carlito"/>
    </x:font>
    <x:font>
      <x:sz val="11"/>
      <x:color rgb="FF23556C"/>
      <x:name val="Carlito"/>
    </x:font>
    <x:font>
      <x:sz val="11"/>
      <x:color rgb="FF18543E"/>
      <x:name val="Carlito"/>
    </x:font>
  </x:fonts>
  <x:fills count="50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  <x:fill>
      <x:patternFill patternType="solid">
        <x:fgColor rgb="FF14362F"/>
      </x:patternFill>
    </x:fill>
    <x:fill>
      <x:patternFill patternType="solid">
        <x:fgColor rgb="FF244A40"/>
      </x:patternFill>
    </x:fill>
    <x:fill>
      <x:patternFill patternType="solid">
        <x:fgColor rgb="FF1E5D50"/>
      </x:patternFill>
    </x:fill>
    <x:fill>
      <x:patternFill patternType="solid">
        <x:fgColor rgb="FF1A5143"/>
      </x:patternFill>
    </x:fill>
    <x:fill>
      <x:patternFill patternType="solid">
        <x:fgColor rgb="FF132D2A"/>
      </x:patternFill>
    </x:fill>
    <x:fill>
      <x:patternFill patternType="solid">
        <x:fgColor rgb="FF29413A"/>
      </x:patternFill>
    </x:fill>
    <x:fill>
      <x:patternFill patternType="solid">
        <x:fgColor rgb="FF164E44"/>
      </x:patternFill>
    </x:fill>
    <x:fill>
      <x:patternFill patternType="solid">
        <x:fgColor rgb="FF133C36"/>
      </x:patternFill>
    </x:fill>
    <x:fill>
      <x:patternFill patternType="solid">
        <x:fgColor rgb="FF2A4640"/>
      </x:patternFill>
    </x:fill>
    <x:fill>
      <x:patternFill patternType="solid">
        <x:fgColor rgb="FF146454"/>
      </x:patternFill>
    </x:fill>
    <x:fill>
      <x:patternFill patternType="solid">
        <x:fgColor rgb="FFDCEFE7"/>
      </x:patternFill>
    </x:fill>
    <x:fill>
      <x:patternFill patternType="solid">
        <x:fgColor rgb="FF12243A"/>
      </x:patternFill>
    </x:fill>
    <x:fill>
      <x:patternFill patternType="solid">
        <x:fgColor rgb="FF1B5669"/>
      </x:patternFill>
    </x:fill>
    <x:fill>
      <x:patternFill patternType="solid">
        <x:fgColor rgb="FF147D86"/>
      </x:patternFill>
    </x:fill>
    <x:fill>
      <x:patternFill patternType="solid">
        <x:fgColor rgb="FFF4F8FA"/>
      </x:patternFill>
    </x:fill>
    <x:fill>
      <x:patternFill patternType="solid">
        <x:fgColor rgb="FFEDF4F6"/>
      </x:patternFill>
    </x:fill>
    <x:fill>
      <x:patternFill patternType="solid">
        <x:fgColor rgb="FFF5F8FA"/>
      </x:patternFill>
    </x:fill>
    <x:fill>
      <x:patternFill patternType="solid">
        <x:fgColor rgb="FFECF3F6"/>
      </x:patternFill>
    </x:fill>
    <x:fill>
      <x:patternFill patternType="solid">
        <x:fgColor rgb="FF10283B"/>
      </x:patternFill>
    </x:fill>
    <x:fill>
      <x:patternFill patternType="solid">
        <x:fgColor rgb="FFE5EFF5"/>
      </x:patternFill>
    </x:fill>
    <x:fill>
      <x:patternFill patternType="solid">
        <x:fgColor rgb="FF174E63"/>
      </x:patternFill>
    </x:fill>
    <x:fill>
      <x:patternFill patternType="solid">
        <x:fgColor rgb="FFEAF5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2F4F7"/>
      </x:patternFill>
    </x:fill>
    <x:fill>
      <x:patternFill patternType="solid">
        <x:fgColor rgb="FFFFFFFF"/>
      </x:patternFill>
    </x:fill>
    <x:fill>
      <x:patternFill patternType="solid">
        <x:fgColor rgb="FFD7E9E5"/>
      </x:patternFill>
    </x:fill>
    <x:fill>
      <x:patternFill patternType="solid">
        <x:fgColor rgb="FFE2F2EB"/>
      </x:patternFill>
    </x:fill>
    <x:fill>
      <x:patternFill patternType="solid">
        <x:fgColor rgb="FF0E293B"/>
      </x:patternFill>
    </x:fill>
    <x:fill>
      <x:patternFill patternType="solid">
        <x:fgColor rgb="FFE9F3F7"/>
      </x:patternFill>
    </x:fill>
    <x:fill>
      <x:patternFill patternType="solid">
        <x:fgColor rgb="FF17556C"/>
      </x:patternFill>
    </x:fill>
    <x:fill>
      <x:patternFill patternType="solid">
        <x:fgColor rgb="FFEAF6FF"/>
      </x:patternFill>
    </x:fill>
    <x:fill>
      <x:patternFill patternType="solid">
        <x:fgColor rgb="FFDCEEFF"/>
      </x:patternFill>
    </x:fill>
    <x:fill>
      <x:patternFill patternType="solid">
        <x:fgColor rgb="FFDEF7E7"/>
      </x:patternFill>
    </x:fill>
    <x:fill>
      <x:patternFill patternType="solid">
        <x:fgColor rgb="FFFEF0CE"/>
      </x:patternFill>
    </x:fill>
    <x:fill>
      <x:patternFill patternType="solid">
        <x:fgColor rgb="FFEEF1F5"/>
      </x:patternFill>
    </x:fill>
    <x:fill>
      <x:patternFill patternType="solid">
        <x:fgColor rgb="FFFFFFFF"/>
      </x:patternFill>
    </x:fill>
    <x:fill>
      <x:patternFill patternType="solid">
        <x:fgColor rgb="FFD8ECE3"/>
      </x:patternFill>
    </x:fill>
    <x:fill>
      <x:patternFill patternType="solid">
        <x:fgColor rgb="FFFFF1D3"/>
      </x:patternFill>
    </x:fill>
    <x:fill>
      <x:patternFill patternType="solid">
        <x:fgColor rgb="FFEDF6FA"/>
      </x:patternFill>
    </x:fill>
    <x:fill>
      <x:patternFill patternType="solid">
        <x:fgColor rgb="FFDEF7E7"/>
      </x:patternFill>
    </x:fill>
    <x:fill>
      <x:patternFill patternType="solid">
        <x:fgColor rgb="FFDDF4E8"/>
      </x:patternFill>
    </x:fill>
  </x:fills>
  <x:borders count="2">
    <x:border/>
    <x:border/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wrapText="1"/>
    </x:xf>
    <x:xf numFmtId="0" fontId="17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18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18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18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0" fontId="18" fillId="24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0" fillId="26" borderId="0" xfId="0" applyNumberFormat="1" applyFont="1" applyFill="1" applyBorder="1"/>
    <x:xf numFmtId="0" fontId="19" fillId="26" borderId="0" xfId="0" applyNumberFormat="1" applyFont="1" applyFill="1" applyBorder="1"/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/>
    <x:xf numFmtId="0" fontId="0" fillId="34" borderId="0" xfId="0" applyNumberFormat="1" applyFont="1" applyFill="1" applyBorder="1"/>
    <x:xf numFmtId="0" fontId="20" fillId="34" borderId="0" xfId="0" applyNumberFormat="1" applyFont="1" applyFill="1" applyBorder="1"/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22" fillId="35" borderId="0" xfId="0" applyNumberFormat="1" applyFont="1" applyFill="1" applyBorder="1"/>
    <x:xf numFmtId="0" fontId="0" fillId="36" borderId="0" xfId="0" applyNumberFormat="1" applyFont="1" applyFill="1" applyBorder="1"/>
    <x:xf numFmtId="0" fontId="6" fillId="36" borderId="0" xfId="0" applyNumberFormat="1" applyFont="1" applyFill="1" applyBorder="1"/>
    <x:xf numFmtId="0" fontId="0" fillId="37" borderId="0" xfId="0" applyNumberFormat="1" applyFont="1" applyFill="1" applyBorder="1"/>
    <x:xf numFmtId="0" fontId="23" fillId="37" borderId="0" xfId="0" applyNumberFormat="1" applyFont="1" applyFill="1" applyBorder="1"/>
    <x:xf numFmtId="0" fontId="0" fillId="38" borderId="0" xfId="0" applyNumberFormat="1" applyFont="1" applyFill="1" applyBorder="1"/>
    <x:xf numFmtId="0" fontId="8" fillId="38" borderId="0" xfId="0" applyNumberFormat="1" applyFont="1" applyFill="1" applyBorder="1"/>
    <x:xf numFmtId="0" fontId="8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/>
    <x:xf numFmtId="0" fontId="0" fillId="45" borderId="0" xfId="0" applyNumberFormat="1" applyFont="1" applyFill="1" applyBorder="1"/>
    <x:xf numFmtId="0" fontId="24" fillId="45" borderId="0" xfId="0" applyNumberFormat="1" applyFont="1" applyFill="1" applyBorder="1"/>
    <x:xf numFmtId="0" fontId="0" fillId="46" borderId="0" xfId="0" applyNumberFormat="1" applyFont="1" applyFill="1" applyBorder="1"/>
    <x:xf numFmtId="0" fontId="25" fillId="46" borderId="0" xfId="0" applyNumberFormat="1" applyFont="1" applyFill="1" applyBorder="1"/>
    <x:xf numFmtId="0" fontId="25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6" fillId="47" borderId="0" xfId="0" applyNumberFormat="1" applyFont="1" applyFill="1" applyBorder="1"/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7" fillId="49" borderId="0" xfId="0" applyNumberFormat="1" applyFont="1" applyFill="1" applyBorder="1"/>
  </x:cellXfs>
  <x:cellStyles count="1">
    <x:cellStyle name="Normal" xfId="0"/>
  </x:cellStyles>
  <x:dxfs count="42"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DE1DE"/>
        </x:patternFill>
      </x:fill>
    </x:dxf>
    <x:dxf>
      <x:fill>
        <x:patternFill>
          <x:bgColor rgb="FFD7EDE1"/>
        </x:patternFill>
      </x:fill>
    </x:dxf>
    <x:dxf>
      <x:fill>
        <x:patternFill>
          <x:bgColor rgb="FFC8EAC5"/>
        </x:patternFill>
      </x:fill>
    </x:dxf>
    <x:dxf>
      <x:fill>
        <x:patternFill>
          <x:bgColor rgb="FFFCE8DD"/>
        </x:patternFill>
      </x:fill>
    </x:dxf>
    <x:dxf>
      <x:fill>
        <x:patternFill>
          <x:bgColor rgb="FFFEEDC2"/>
        </x:patternFill>
      </x:fill>
    </x:dxf>
    <x:dxf>
      <x:fill>
        <x:patternFill>
          <x:bgColor rgb="FFD9F2E4"/>
        </x:patternFill>
      </x:fill>
    </x:dxf>
    <x:dxf>
      <x:fill>
        <x:patternFill>
          <x:bgColor rgb="FFDAF3E4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E9EEF3"/>
        </x:patternFill>
      </x:fill>
    </x:dxf>
    <x:dxf>
      <x:fill>
        <x:patternFill>
          <x:bgColor rgb="FFDFF0F4"/>
        </x:patternFill>
      </x:fill>
    </x:dxf>
    <x:dxf>
      <x:fill>
        <x:patternFill>
          <x:bgColor rgb="FFF7E9DC"/>
        </x:patternFill>
      </x:fill>
    </x:dxf>
    <x:dxf>
      <x:fill>
        <x:patternFill>
          <x:bgColor rgb="FFDAF3E4"/>
        </x:patternFill>
      </x:fill>
    </x:dxf>
    <x:dxf>
      <x:fill>
        <x:patternFill>
          <x:bgColor rgb="FFFFF0CF"/>
        </x:patternFill>
      </x:fill>
    </x:dxf>
    <x:dxf>
      <x:fill>
        <x:patternFill>
          <x:bgColor rgb="FFE9EEF3"/>
        </x:patternFill>
      </x:fill>
    </x:dxf>
    <x:dxf>
      <x:fill>
        <x:patternFill>
          <x:bgColor rgb="FFDFF0F4"/>
        </x:patternFill>
      </x:fill>
    </x:dxf>
    <x:dxf>
      <x:fill>
        <x:patternFill>
          <x:bgColor rgb="FFF7E9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466f50db442f6" /><Relationship Type="http://schemas.openxmlformats.org/officeDocument/2006/relationships/theme" Target="/xl/theme/theme1.xml" Id="R1df812e87ba64f3b" /><Relationship Type="http://schemas.openxmlformats.org/officeDocument/2006/relationships/sharedStrings" Target="/xl/sharedStrings.xml" Id="R8a01e0a61590440c" /><Relationship Type="http://schemas.openxmlformats.org/officeDocument/2006/relationships/worksheet" Target="/xl/worksheets/sheet1.xml" Id="Rf9b2a74f2af847d2" /><Relationship Type="http://schemas.openxmlformats.org/officeDocument/2006/relationships/worksheet" Target="/xl/worksheets/sheet2.xml" Id="Rd4cf8e0634024e95" /><Relationship Type="http://schemas.openxmlformats.org/officeDocument/2006/relationships/worksheet" Target="/xl/worksheets/sheet3.xml" Id="Rb41ec6304e9c4a79" /><Relationship Type="http://schemas.openxmlformats.org/officeDocument/2006/relationships/worksheet" Target="/xl/worksheets/sheet4.xml" Id="R58cb5adb5964414b" /><Relationship Type="http://schemas.openxmlformats.org/officeDocument/2006/relationships/worksheet" Target="/xl/worksheets/sheet5.xml" Id="R0140659c32a74ab7" /><Relationship Type="http://schemas.openxmlformats.org/officeDocument/2006/relationships/worksheet" Target="/xl/worksheets/sheet6.xml" Id="R314b8a9f92bb49fa" /><Relationship Type="http://schemas.openxmlformats.org/officeDocument/2006/relationships/worksheet" Target="/xl/worksheets/sheet7.xml" Id="Re37da1565b8946af" /><Relationship Type="http://schemas.openxmlformats.org/officeDocument/2006/relationships/worksheet" Target="/xl/worksheets/sheet8.xml" Id="R821381a3ce204fa2" /><Relationship Type="http://schemas.openxmlformats.org/officeDocument/2006/relationships/worksheet" Target="/xl/worksheets/sheet9.xml" Id="R91488837eb9d4716" /><Relationship Type="http://schemas.openxmlformats.org/officeDocument/2006/relationships/worksheet" Target="/xl/worksheets/sheet10.xml" Id="R5b06104346574e91" /><Relationship Type="http://schemas.openxmlformats.org/officeDocument/2006/relationships/worksheet" Target="/xl/worksheets/sheet11.xml" Id="R81606ae630244e5c" /><Relationship Type="http://schemas.openxmlformats.org/officeDocument/2006/relationships/worksheet" Target="/xl/worksheets/sheet12.xml" Id="Rf9b964e70dd244af" /><Relationship Type="http://schemas.openxmlformats.org/officeDocument/2006/relationships/worksheet" Target="/xl/worksheets/sheet13.xml" Id="Rfcf891bf4fce43c8" /><Relationship Type="http://schemas.openxmlformats.org/officeDocument/2006/relationships/worksheet" Target="/xl/worksheets/sheet14.xml" Id="R5980e2edc4eb4282" /><Relationship Type="http://schemas.openxmlformats.org/officeDocument/2006/relationships/worksheet" Target="/xl/worksheets/sheet15.xml" Id="Re877f798cfa04787" /><Relationship Type="http://schemas.openxmlformats.org/officeDocument/2006/relationships/worksheet" Target="/xl/worksheets/sheet16.xml" Id="R92ea0a0f6d144166" /><Relationship Type="http://schemas.openxmlformats.org/officeDocument/2006/relationships/worksheet" Target="/xl/worksheets/sheet17.xml" Id="Rbd148c85f25f4efd" /><Relationship Type="http://schemas.openxmlformats.org/officeDocument/2006/relationships/worksheet" Target="/xl/worksheets/sheet18.xml" Id="R23d5321b84c0414d" /><Relationship Type="http://schemas.openxmlformats.org/officeDocument/2006/relationships/worksheet" Target="/xl/worksheets/sheet19.xml" Id="R123250123ec94e8b" /><Relationship Type="http://schemas.openxmlformats.org/officeDocument/2006/relationships/worksheet" Target="/xl/worksheets/sheet20.xml" Id="R81941e5d5aa24481" /><Relationship Type="http://schemas.openxmlformats.org/officeDocument/2006/relationships/worksheet" Target="/xl/worksheets/sheet21.xml" Id="R50558a2ff4e24932" /><Relationship Type="http://schemas.openxmlformats.org/officeDocument/2006/relationships/worksheet" Target="/xl/worksheets/sheet22.xml" Id="R8a6b2486b80e4f1f" /><Relationship Type="http://schemas.openxmlformats.org/officeDocument/2006/relationships/worksheet" Target="/xl/worksheets/sheet23.xml" Id="Rb56ac361ad824cbc" /><Relationship Type="http://schemas.openxmlformats.org/officeDocument/2006/relationships/worksheet" Target="/xl/worksheets/sheet24.xml" Id="R3ef670a31feb42a0" /><Relationship Type="http://schemas.openxmlformats.org/officeDocument/2006/relationships/worksheet" Target="/xl/worksheets/sheet25.xml" Id="R1f1b0e5a77c44503" /><Relationship Type="http://schemas.openxmlformats.org/officeDocument/2006/relationships/worksheet" Target="/xl/worksheets/sheet26.xml" Id="Rf3146f14cd1d4cd0" /><Relationship Type="http://schemas.openxmlformats.org/officeDocument/2006/relationships/worksheet" Target="/xl/worksheets/sheet27.xml" Id="R9ec4f7843bd942b6" /><Relationship Type="http://schemas.openxmlformats.org/officeDocument/2006/relationships/worksheet" Target="/xl/worksheets/sheet28.xml" Id="R8484c88b55924ba9" /><Relationship Type="http://schemas.openxmlformats.org/officeDocument/2006/relationships/worksheet" Target="/xl/worksheets/sheet29.xml" Id="R271ff954552543fa" /><Relationship Type="http://schemas.openxmlformats.org/officeDocument/2006/relationships/worksheet" Target="/xl/worksheets/sheet30.xml" Id="R1520ed9175f443d4" /><Relationship Type="http://schemas.openxmlformats.org/officeDocument/2006/relationships/worksheet" Target="/xl/worksheets/sheet31.xml" Id="Rec8eb321c7ed4695" /><Relationship Type="http://schemas.openxmlformats.org/officeDocument/2006/relationships/worksheet" Target="/xl/worksheets/sheet32.xml" Id="Rcbf0e153c9964d25" /><Relationship Type="http://schemas.openxmlformats.org/officeDocument/2006/relationships/worksheet" Target="/xl/worksheets/sheet33.xml" Id="R0e7a108f5430478a" /><Relationship Type="http://schemas.openxmlformats.org/officeDocument/2006/relationships/worksheet" Target="/xl/worksheets/sheet34.xml" Id="R85ffd0950aec4159" /><Relationship Type="http://schemas.openxmlformats.org/officeDocument/2006/relationships/worksheet" Target="/xl/worksheets/sheet35.xml" Id="R463a5caf38b542d4" /><Relationship Type="http://schemas.openxmlformats.org/officeDocument/2006/relationships/worksheet" Target="/xl/worksheets/sheet36.xml" Id="Rd78a47e1637f4c53" /><Relationship Type="http://schemas.openxmlformats.org/officeDocument/2006/relationships/worksheet" Target="/xl/worksheets/sheet37.xml" Id="R006233bbf0f14e2e" /><Relationship Type="http://schemas.openxmlformats.org/officeDocument/2006/relationships/worksheet" Target="/xl/worksheets/sheet38.xml" Id="Rdcf7773a72ba41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db26f7d15349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69d263b30f0423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fd2d18e69b645f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V137 : état des exigences par mode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 V137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Partiel prototype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'SUIVI_V137'!$A$5:$A$8</c:f>
              <c:strCache>
                <c:ptCount val="0"/>
              </c:strCache>
            </c:strRef>
          </c:cat>
          <c:val>
            <c:numRef>
              <c:f>'SUIVI_V137'!$F$5:$F$8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V138 — état des exigences par gameplay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Exigences V138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'SUIVI_V138'!$B$5:$B$8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CI ciblée validée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'SUIVI_V138'!$C$5:$C$8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Prototype partiel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'SUIVI_V138'!$D$5:$D$8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À développer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'SUIVI_V138'!$E$5:$E$8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CI en cours</c:v>
          </c:tx>
          <c:cat>
            <c:strRef>
              <c:f>'SUIVI_V138'!$A$5:$A$8</c:f>
              <c:strCache>
                <c:ptCount val="0"/>
              </c:strCache>
            </c:strRef>
          </c:cat>
          <c:val>
            <c:numRef>
              <c:f>'SUIVI_V138'!$F$5:$F$8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db26f7d15349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9d263b30f0423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d2d18e69b645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odesV135Table" displayName="ModesV135Table" ref="A4:N52" headerRowCount="1" totalsRowCount="0" totalsRowShown="0">
  <x:tableColumns count="14">
    <x:tableColumn id="1" name="ID"/>
    <x:tableColumn id="2" name="Mode"/>
    <x:tableColumn id="3" name="Axe / système"/>
    <x:tableColumn id="4" name="Fonction / exigence"/>
    <x:tableColumn id="5" name="Préconditions"/>
    <x:tableColumn id="6" name="Preuve de réussite"/>
    <x:tableColumn id="7" name="Rejet / sauvegarde"/>
    <x:tableColumn id="8" name="Code / origine"/>
    <x:tableColumn id="9" name="Priorité"/>
    <x:tableColumn id="10" name="Statut"/>
    <x:tableColumn id="11" name="Lore / vérification"/>
    <x:tableColumn id="12" name="Travail restant"/>
    <x:tableColumn id="13" name="QA / contrôle"/>
    <x:tableColumn id="14" name="Source GitHub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QAV135Table" displayName="QAV135Table" ref="A4:J28" headerRowCount="1" totalsRowCount="0" totalsRowShown="0">
  <x:tableColumns count="10">
    <x:tableColumn id="1" name="ID"/>
    <x:tableColumn id="2" name="Mode"/>
    <x:tableColumn id="3" name="Domaine"/>
    <x:tableColumn id="4" name="Test / procédure"/>
    <x:tableColumn id="5" name="Préconditions"/>
    <x:tableColumn id="6" name="Résultat attendu"/>
    <x:tableColumn id="7" name="Statut"/>
    <x:tableColumn id="8" name="Preuve CI / code"/>
    <x:tableColumn id="9" name="QA terrain restante"/>
    <x:tableColumn id="10" name="Dépenda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f458738f2446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3a28f4a5ee44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941de0498f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6ff73bd29a47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2dcd4f002f40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82f08f14e14a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f9776e1c7e647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1ebefa645314a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f902874eec94f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b4b2c04c13742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47cd1352c9f4e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86b5662e5b949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081032e16a44cb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62c4b1d315c490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2d31b4f15a646b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f7aebc0530534a7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b13ef298897456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9d91e262126e452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a9573c6614424456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2.xml" Id="R4bfc78c96a1946da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.xml" Id="R760bbb4aa713466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f458738f24463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3a28f4a5ee446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941de0498f4f3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V133 : 24 simulations multi-escouades ; V134 : mouvement synchronisé et escorte physique, patrouilles non omniscientes, 33/33 tests verts. Le RTS total et le raccord V85 restent à produire.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CI V134 : 33 tests (24 W3, 72 objectifs, 1 tick collectif, brouillard de guerre, garde-fous) ; navigateur/manette et RTS final restant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 → #36 → #37 → #38 → #40 → #41 → #43 (V133/V134)</x:v>
      </x:c>
      <x:c r="L5" s="18" t="str">
        <x:v>https://github.com/darknigthmare/yautja-la-longue-chasse/blob/feat/v133-w3-multi-squad-rts-20261031/app/game/systems/clanWarRtsSquadsV133.ts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CI V134 : 24 cartes W3, ordre simultané max 1 case/groupe, pas de superposition ni franchissement d'obstacle; topologie finale à réaliser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 → #41 → #43 (V133/V134)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CI V134 : handoff physique des blessés, témoins neutres et charges. Les soins, blessures persistantes et transports complets manquent.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 → #41 → #43 (V133/V134)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6ff73bd29a47b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2dcd4f002f40c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82f08f14e14ac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9776e1c7e6476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V129 : 24 études solo ; V133 : unités distinctes ; V134 : ordre collectif et reprise d'escorte, CI ciblée 29/29 verte. Aucun RTS total, asset cinématique ou récompense V85 n'est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V134 : manoeuvre de groupe testée sur les 24 W3, 1 tour IA/groupe, collision et obstacles refusés, escorte transférable à portée; véritable RTS/campagne non livrés</x:v>
      </x:c>
      <x:c r="L5" s="18" t="str">
        <x:v>Valider navigateur/manette; commandes de front, IA de siège, actifs 1:1, cycle logistique et preuve V85 restent nécessaires.</x:v>
      </x:c>
      <x:c r="M5" s="18" t="str">
        <x:v>QA source V6 + 3 étapes + guerre multiunités + climats/énergie</x:v>
      </x:c>
      <x:c r="N5" s="18" t="str">
        <x:v>https://github.com/darknigthmare/yautja-la-longue-chasse/blob/feat/v133-w3-multi-squad-rts-20261031/app/game/systems/clanWarRtsSquadsV133.ts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V134 : manoeuvre de groupe testée sur les 24 W3, 1 tour IA/groupe, collision et obstacles refusés, escorte transférable à portée; véritable RTS/campagne non livrés</x:v>
      </x:c>
      <x:c r="L6" s="18" t="str">
        <x:v>Valider navigateur/manette; commandes de front, IA de siège, actifs 1:1, cycle logistique et preuve V85 restent nécessaires.</x:v>
      </x:c>
      <x:c r="M6" s="18" t="str">
        <x:v>QA source V6 + 3 étapes + guerre multiunités + climats/énergie</x:v>
      </x:c>
      <x:c r="N6" s="18" t="str">
        <x:v>https://github.com/darknigthmare/yautja-la-longue-chasse/blob/feat/v133-w3-multi-squad-rts-20261031/app/game/systems/clanWarRtsSquadsV133.ts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V134 : manoeuvre de groupe testée sur les 24 W3, 1 tour IA/groupe, collision et obstacles refusés, escorte transférable à portée; véritable RTS/campagne non livrés</x:v>
      </x:c>
      <x:c r="L7" s="18" t="str">
        <x:v>Valider navigateur/manette; commandes de front, IA de siège, actifs 1:1, cycle logistique et preuve V85 restent nécessaires.</x:v>
      </x:c>
      <x:c r="M7" s="18" t="str">
        <x:v>QA source V6 + 3 étapes + guerre multiunités + climats/énergie</x:v>
      </x:c>
      <x:c r="N7" s="18" t="str">
        <x:v>https://github.com/darknigthmare/yautja-la-longue-chasse/blob/feat/v133-w3-multi-squad-rts-20261031/app/game/systems/clanWarRtsSquadsV133.ts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V134 : manoeuvre de groupe testée sur les 24 W3, 1 tour IA/groupe, collision et obstacles refusés, escorte transférable à portée; véritable RTS/campagne non livrés</x:v>
      </x:c>
      <x:c r="L8" s="18" t="str">
        <x:v>Valider navigateur/manette; commandes de front, IA de siège, actifs 1:1, cycle logistique et preuve V85 restent nécessaires.</x:v>
      </x:c>
      <x:c r="M8" s="18" t="str">
        <x:v>QA source V6 + 3 étapes + guerre multiunités + climats/énergie</x:v>
      </x:c>
      <x:c r="N8" s="18" t="str">
        <x:v>https://github.com/darknigthmare/yautja-la-longue-chasse/blob/feat/v133-w3-multi-squad-rts-20261031/app/game/systems/clanWarRtsSquadsV133.ts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V134 : manoeuvre de groupe testée sur les 24 W3, 1 tour IA/groupe, collision et obstacles refusés, escorte transférable à portée; véritable RTS/campagne non livrés</x:v>
      </x:c>
      <x:c r="L9" s="18" t="str">
        <x:v>Valider navigateur/manette; commandes de front, IA de siège, actifs 1:1, cycle logistique et preuve V85 restent nécessaires.</x:v>
      </x:c>
      <x:c r="M9" s="18" t="str">
        <x:v>QA source V6 + 3 étapes + guerre multiunités + climats/énergie</x:v>
      </x:c>
      <x:c r="N9" s="18" t="str">
        <x:v>https://github.com/darknigthmare/yautja-la-longue-chasse/blob/feat/v133-w3-multi-squad-rts-20261031/app/game/systems/clanWarRtsSquadsV133.ts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V134 : manoeuvre de groupe testée sur les 24 W3, 1 tour IA/groupe, collision et obstacles refusés, escorte transférable à portée; véritable RTS/campagne non livrés</x:v>
      </x:c>
      <x:c r="L10" s="18" t="str">
        <x:v>Valider navigateur/manette; commandes de front, IA de siège, actifs 1:1, cycle logistique et preuve V85 restent nécessaires.</x:v>
      </x:c>
      <x:c r="M10" s="18" t="str">
        <x:v>QA source V6 + 3 étapes + guerre multiunités + climats/énergie</x:v>
      </x:c>
      <x:c r="N10" s="18" t="str">
        <x:v>https://github.com/darknigthmare/yautja-la-longue-chasse/blob/feat/v133-w3-multi-squad-rts-20261031/app/game/systems/clanWarRtsSquadsV133.ts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V134 : manoeuvre de groupe testée sur les 24 W3, 1 tour IA/groupe, collision et obstacles refusés, escorte transférable à portée; véritable RTS/campagne non livrés</x:v>
      </x:c>
      <x:c r="L11" s="18" t="str">
        <x:v>Valider navigateur/manette; commandes de front, IA de siège, actifs 1:1, cycle logistique et preuve V85 restent nécessaires.</x:v>
      </x:c>
      <x:c r="M11" s="18" t="str">
        <x:v>QA source V6 + 3 étapes + guerre multiunités + climats/énergie</x:v>
      </x:c>
      <x:c r="N11" s="18" t="str">
        <x:v>https://github.com/darknigthmare/yautja-la-longue-chasse/blob/feat/v133-w3-multi-squad-rts-20261031/app/game/systems/clanWarRtsSquadsV133.ts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V134 : manoeuvre de groupe testée sur les 24 W3, 1 tour IA/groupe, collision et obstacles refusés, escorte transférable à portée; véritable RTS/campagne non livrés</x:v>
      </x:c>
      <x:c r="L12" s="18" t="str">
        <x:v>Valider navigateur/manette; commandes de front, IA de siège, actifs 1:1, cycle logistique et preuve V85 restent nécessaires.</x:v>
      </x:c>
      <x:c r="M12" s="18" t="str">
        <x:v>QA source V6 + 3 étapes + guerre multiunités + climats/énergie</x:v>
      </x:c>
      <x:c r="N12" s="18" t="str">
        <x:v>https://github.com/darknigthmare/yautja-la-longue-chasse/blob/feat/v133-w3-multi-squad-rts-20261031/app/game/systems/clanWarRtsSquadsV133.ts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V134 : manoeuvre de groupe testée sur les 24 W3, 1 tour IA/groupe, collision et obstacles refusés, escorte transférable à portée; véritable RTS/campagne non livrés</x:v>
      </x:c>
      <x:c r="L13" s="18" t="str">
        <x:v>Valider navigateur/manette; commandes de front, IA de siège, actifs 1:1, cycle logistique et preuve V85 restent nécessaires.</x:v>
      </x:c>
      <x:c r="M13" s="18" t="str">
        <x:v>QA source V6 + 3 étapes + guerre multiunités + climats/énergie</x:v>
      </x:c>
      <x:c r="N13" s="18" t="str">
        <x:v>https://github.com/darknigthmare/yautja-la-longue-chasse/blob/feat/v133-w3-multi-squad-rts-20261031/app/game/systems/clanWarRtsSquadsV133.ts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V134 : manoeuvre de groupe testée sur les 24 W3, 1 tour IA/groupe, collision et obstacles refusés, escorte transférable à portée; véritable RTS/campagne non livrés</x:v>
      </x:c>
      <x:c r="L14" s="18" t="str">
        <x:v>Valider navigateur/manette; commandes de front, IA de siège, actifs 1:1, cycle logistique et preuve V85 restent nécessaires.</x:v>
      </x:c>
      <x:c r="M14" s="18" t="str">
        <x:v>QA source V6 + 3 étapes + guerre multiunités + climats/énergie</x:v>
      </x:c>
      <x:c r="N14" s="18" t="str">
        <x:v>https://github.com/darknigthmare/yautja-la-longue-chasse/blob/feat/v133-w3-multi-squad-rts-20261031/app/game/systems/clanWarRtsSquadsV133.ts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V134 : manoeuvre de groupe testée sur les 24 W3, 1 tour IA/groupe, collision et obstacles refusés, escorte transférable à portée; véritable RTS/campagne non livrés</x:v>
      </x:c>
      <x:c r="L15" s="18" t="str">
        <x:v>Valider navigateur/manette; commandes de front, IA de siège, actifs 1:1, cycle logistique et preuve V85 restent nécessaires.</x:v>
      </x:c>
      <x:c r="M15" s="18" t="str">
        <x:v>QA source V6 + 3 étapes + guerre multiunités + climats/énergie</x:v>
      </x:c>
      <x:c r="N15" s="18" t="str">
        <x:v>https://github.com/darknigthmare/yautja-la-longue-chasse/blob/feat/v133-w3-multi-squad-rts-20261031/app/game/systems/clanWarRtsSquadsV133.ts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V134 : manoeuvre de groupe testée sur les 24 W3, 1 tour IA/groupe, collision et obstacles refusés, escorte transférable à portée; véritable RTS/campagne non livrés</x:v>
      </x:c>
      <x:c r="L16" s="18" t="str">
        <x:v>Valider navigateur/manette; commandes de front, IA de siège, actifs 1:1, cycle logistique et preuve V85 restent nécessaires.</x:v>
      </x:c>
      <x:c r="M16" s="18" t="str">
        <x:v>QA source V6 + 3 étapes + guerre multiunités + climats/énergie</x:v>
      </x:c>
      <x:c r="N16" s="18" t="str">
        <x:v>https://github.com/darknigthmare/yautja-la-longue-chasse/blob/feat/v133-w3-multi-squad-rts-20261031/app/game/systems/clanWarRtsSquadsV133.ts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V134 : manoeuvre de groupe testée sur les 24 W3, 1 tour IA/groupe, collision et obstacles refusés, escorte transférable à portée; véritable RTS/campagne non livrés</x:v>
      </x:c>
      <x:c r="L17" s="18" t="str">
        <x:v>Valider navigateur/manette; commandes de front, IA de siège, actifs 1:1, cycle logistique et preuve V85 restent nécessaires.</x:v>
      </x:c>
      <x:c r="M17" s="18" t="str">
        <x:v>QA source V6 + 3 étapes + guerre multiunités + climats/énergie</x:v>
      </x:c>
      <x:c r="N17" s="18" t="str">
        <x:v>https://github.com/darknigthmare/yautja-la-longue-chasse/blob/feat/v133-w3-multi-squad-rts-20261031/app/game/systems/clanWarRtsSquadsV133.ts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V134 : manoeuvre de groupe testée sur les 24 W3, 1 tour IA/groupe, collision et obstacles refusés, escorte transférable à portée; véritable RTS/campagne non livrés</x:v>
      </x:c>
      <x:c r="L18" s="18" t="str">
        <x:v>Valider navigateur/manette; commandes de front, IA de siège, actifs 1:1, cycle logistique et preuve V85 restent nécessaires.</x:v>
      </x:c>
      <x:c r="M18" s="18" t="str">
        <x:v>QA source V6 + 3 étapes + guerre multiunités + climats/énergie</x:v>
      </x:c>
      <x:c r="N18" s="18" t="str">
        <x:v>https://github.com/darknigthmare/yautja-la-longue-chasse/blob/feat/v133-w3-multi-squad-rts-20261031/app/game/systems/clanWarRtsSquadsV133.ts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V134 : manoeuvre de groupe testée sur les 24 W3, 1 tour IA/groupe, collision et obstacles refusés, escorte transférable à portée; véritable RTS/campagne non livrés</x:v>
      </x:c>
      <x:c r="L19" s="18" t="str">
        <x:v>Valider navigateur/manette; commandes de front, IA de siège, actifs 1:1, cycle logistique et preuve V85 restent nécessaires.</x:v>
      </x:c>
      <x:c r="M19" s="18" t="str">
        <x:v>QA source V6 + 3 étapes + guerre multiunités + climats/énergie</x:v>
      </x:c>
      <x:c r="N19" s="18" t="str">
        <x:v>https://github.com/darknigthmare/yautja-la-longue-chasse/blob/feat/v133-w3-multi-squad-rts-20261031/app/game/systems/clanWarRtsSquadsV133.ts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V134 : manoeuvre de groupe testée sur les 24 W3, 1 tour IA/groupe, collision et obstacles refusés, escorte transférable à portée; véritable RTS/campagne non livrés</x:v>
      </x:c>
      <x:c r="L20" s="18" t="str">
        <x:v>Valider navigateur/manette; commandes de front, IA de siège, actifs 1:1, cycle logistique et preuve V85 restent nécessaires.</x:v>
      </x:c>
      <x:c r="M20" s="18" t="str">
        <x:v>QA source V6 + 3 étapes + guerre multiunités + climats/énergie</x:v>
      </x:c>
      <x:c r="N20" s="18" t="str">
        <x:v>https://github.com/darknigthmare/yautja-la-longue-chasse/blob/feat/v133-w3-multi-squad-rts-20261031/app/game/systems/clanWarRtsSquadsV133.ts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V134 : manoeuvre de groupe testée sur les 24 W3, 1 tour IA/groupe, collision et obstacles refusés, escorte transférable à portée; véritable RTS/campagne non livrés</x:v>
      </x:c>
      <x:c r="L21" s="18" t="str">
        <x:v>Valider navigateur/manette; commandes de front, IA de siège, actifs 1:1, cycle logistique et preuve V85 restent nécessaires.</x:v>
      </x:c>
      <x:c r="M21" s="18" t="str">
        <x:v>QA source V6 + 3 étapes + guerre multiunités + climats/énergie</x:v>
      </x:c>
      <x:c r="N21" s="18" t="str">
        <x:v>https://github.com/darknigthmare/yautja-la-longue-chasse/blob/feat/v133-w3-multi-squad-rts-20261031/app/game/systems/clanWarRtsSquadsV133.ts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V134 : manoeuvre de groupe testée sur les 24 W3, 1 tour IA/groupe, collision et obstacles refusés, escorte transférable à portée; véritable RTS/campagne non livrés</x:v>
      </x:c>
      <x:c r="L22" s="18" t="str">
        <x:v>Valider navigateur/manette; commandes de front, IA de siège, actifs 1:1, cycle logistique et preuve V85 restent nécessaires.</x:v>
      </x:c>
      <x:c r="M22" s="18" t="str">
        <x:v>QA source V6 + 3 étapes + guerre multiunités + climats/énergie</x:v>
      </x:c>
      <x:c r="N22" s="18" t="str">
        <x:v>https://github.com/darknigthmare/yautja-la-longue-chasse/blob/feat/v133-w3-multi-squad-rts-20261031/app/game/systems/clanWarRtsSquadsV133.ts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V134 : manoeuvre de groupe testée sur les 24 W3, 1 tour IA/groupe, collision et obstacles refusés, escorte transférable à portée; véritable RTS/campagne non livrés</x:v>
      </x:c>
      <x:c r="L23" s="18" t="str">
        <x:v>Valider navigateur/manette; commandes de front, IA de siège, actifs 1:1, cycle logistique et preuve V85 restent nécessaires.</x:v>
      </x:c>
      <x:c r="M23" s="18" t="str">
        <x:v>QA source V6 + 3 étapes + guerre multiunités + climats/énergie</x:v>
      </x:c>
      <x:c r="N23" s="18" t="str">
        <x:v>https://github.com/darknigthmare/yautja-la-longue-chasse/blob/feat/v133-w3-multi-squad-rts-20261031/app/game/systems/clanWarRtsSquadsV133.ts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V134 : manoeuvre de groupe testée sur les 24 W3, 1 tour IA/groupe, collision et obstacles refusés, escorte transférable à portée; véritable RTS/campagne non livrés</x:v>
      </x:c>
      <x:c r="L24" s="18" t="str">
        <x:v>Valider navigateur/manette; commandes de front, IA de siège, actifs 1:1, cycle logistique et preuve V85 restent nécessaires.</x:v>
      </x:c>
      <x:c r="M24" s="18" t="str">
        <x:v>QA source V6 + 3 étapes + guerre multiunités + climats/énergie</x:v>
      </x:c>
      <x:c r="N24" s="18" t="str">
        <x:v>https://github.com/darknigthmare/yautja-la-longue-chasse/blob/feat/v133-w3-multi-squad-rts-20261031/app/game/systems/clanWarRtsSquadsV133.ts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V134 : manoeuvre de groupe testée sur les 24 W3, 1 tour IA/groupe, collision et obstacles refusés, escorte transférable à portée; véritable RTS/campagne non livrés</x:v>
      </x:c>
      <x:c r="L25" s="18" t="str">
        <x:v>Valider navigateur/manette; commandes de front, IA de siège, actifs 1:1, cycle logistique et preuve V85 restent nécessaires.</x:v>
      </x:c>
      <x:c r="M25" s="18" t="str">
        <x:v>QA source V6 + 3 étapes + guerre multiunités + climats/énergie</x:v>
      </x:c>
      <x:c r="N25" s="18" t="str">
        <x:v>https://github.com/darknigthmare/yautja-la-longue-chasse/blob/feat/v133-w3-multi-squad-rts-20261031/app/game/systems/clanWarRtsSquadsV133.ts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V134 : manoeuvre de groupe testée sur les 24 W3, 1 tour IA/groupe, collision et obstacles refusés, escorte transférable à portée; véritable RTS/campagne non livrés</x:v>
      </x:c>
      <x:c r="L26" s="18" t="str">
        <x:v>Valider navigateur/manette; commandes de front, IA de siège, actifs 1:1, cycle logistique et preuve V85 restent nécessaires.</x:v>
      </x:c>
      <x:c r="M26" s="18" t="str">
        <x:v>QA source V6 + 3 étapes + guerre multiunités + climats/énergie</x:v>
      </x:c>
      <x:c r="N26" s="18" t="str">
        <x:v>https://github.com/darknigthmare/yautja-la-longue-chasse/blob/feat/v133-w3-multi-squad-rts-20261031/app/game/systems/clanWarRtsSquadsV133.ts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V134 : manoeuvre de groupe testée sur les 24 W3, 1 tour IA/groupe, collision et obstacles refusés, escorte transférable à portée; véritable RTS/campagne non livrés</x:v>
      </x:c>
      <x:c r="L27" s="18" t="str">
        <x:v>Valider navigateur/manette; commandes de front, IA de siège, actifs 1:1, cycle logistique et preuve V85 restent nécessaires.</x:v>
      </x:c>
      <x:c r="M27" s="18" t="str">
        <x:v>QA source V6 + 3 étapes + guerre multiunités + climats/énergie</x:v>
      </x:c>
      <x:c r="N27" s="18" t="str">
        <x:v>https://github.com/darknigthmare/yautja-la-longue-chasse/blob/feat/v133-w3-multi-squad-rts-20261031/app/game/systems/clanWarRtsSquadsV133.ts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V134 : manoeuvre de groupe testée sur les 24 W3, 1 tour IA/groupe, collision et obstacles refusés, escorte transférable à portée; véritable RTS/campagne non livrés</x:v>
      </x:c>
      <x:c r="L28" s="18" t="str">
        <x:v>Valider navigateur/manette; commandes de front, IA de siège, actifs 1:1, cycle logistique et preuve V85 restent nécessaires.</x:v>
      </x:c>
      <x:c r="M28" s="18" t="str">
        <x:v>QA source V6 + 3 étapes + guerre multiunités + climats/énergie</x:v>
      </x:c>
      <x:c r="N28" s="18" t="str">
        <x:v>https://github.com/darknigthmare/yautja-la-longue-chasse/blob/feat/v133-w3-multi-squad-rts-20261031/app/game/systems/clanWarRtsSquadsV133.ts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ebefa645314a13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902874eec94f61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4b2c04c1374250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7cd1352c9f4eb3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V130 + NOUVEAUX CONTRÔLES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  <x:row r="166" ht="30" customHeight="1">
      <x:c r="A166" s="18" t="str">
        <x:v>QA-CW134-001</x:v>
      </x:c>
      <x:c r="B166" s="18" t="str">
        <x:v>CW134-RALLY-001</x:v>
      </x:c>
      <x:c r="C166" s="18" t="str">
        <x:v>RTS</x:v>
      </x:c>
      <x:c r="D166" s="18" t="str">
        <x:v>Ordres collectifs</x:v>
      </x:c>
      <x:c r="E166" s="18" t="str">
        <x:v>24 missions W3 multi-escouades synchronisées</x:v>
      </x:c>
      <x:c r="F166" s="18" t="str">
        <x:v>Une action globale = un tick IA ; max 1 case/groupe, pas de collision.</x:v>
      </x:c>
      <x:c r="G166" s="18" t="str">
        <x:v>GitHub Actions 41179344283</x:v>
      </x:c>
      <x:c r="H166" s="18" t="str">
        <x:v>Pas de 1:1 art, pas RTS temps réel</x:v>
      </x:c>
      <x:c r="I166" s="18" t="str">
        <x:v>Validé CI ciblée</x:v>
      </x:c>
      <x:c r="J166" s="18" t="str">
        <x:v>P0</x:v>
      </x:c>
      <x:c r="K166" s="18" t="str">
        <x:v>https://github.com/darknigthmare/yautja-la-longue-chasse/pull/43</x:v>
      </x:c>
    </x:row>
    <x:row r="167" ht="30" customHeight="1">
      <x:c r="A167" s="18" t="str">
        <x:v>QA-CW134-002</x:v>
      </x:c>
      <x:c r="B167" s="18" t="str">
        <x:v>CW134-RALLY-002</x:v>
      </x:c>
      <x:c r="C167" s="18" t="str">
        <x:v>RTS</x:v>
      </x:c>
      <x:c r="D167" s="18" t="str">
        <x:v>Chemin</x:v>
      </x:c>
      <x:c r="E167" s="18" t="str">
        <x:v>Électricité, liquides, glace, dangers</x:v>
      </x:c>
      <x:c r="F167" s="18" t="str">
        <x:v>Aucune formation ne traverse la géométrie impossible ou une porte hors courant.</x:v>
      </x:c>
      <x:c r="G167" s="18" t="str">
        <x:v>GitHub Actions 41179344283</x:v>
      </x:c>
      <x:c r="H167" s="18" t="str">
        <x:v>Générateur cartes non définitif</x:v>
      </x:c>
      <x:c r="I167" s="18" t="str">
        <x:v>Validé CI ciblée</x:v>
      </x:c>
      <x:c r="J167" s="18" t="str">
        <x:v>P0</x:v>
      </x:c>
      <x:c r="K167" s="18" t="str">
        <x:v>https://github.com/darknigthmare/yautja-la-longue-chasse/pull/43</x:v>
      </x:c>
    </x:row>
    <x:row r="168" ht="30" customHeight="1">
      <x:c r="A168" s="18" t="str">
        <x:v>QA-CW134-003</x:v>
      </x:c>
      <x:c r="B168" s="18" t="str">
        <x:v>CW134-RALLY-008</x:v>
      </x:c>
      <x:c r="C168" s="18" t="str">
        <x:v>RTS</x:v>
      </x:c>
      <x:c r="D168" s="18" t="str">
        <x:v>Escortes</x:v>
      </x:c>
      <x:c r="E168" s="18" t="str">
        <x:v>Relève de porteur après blessure</x:v>
      </x:c>
      <x:c r="F168" s="18" t="str">
        <x:v>Même PNJ neutre ou charge; relais à proximité réelle; aucun clone.</x:v>
      </x:c>
      <x:c r="G168" s="18" t="str">
        <x:v>GitHub Actions 41179344283</x:v>
      </x:c>
      <x:c r="H168" s="18" t="str">
        <x:v>Pas de triage persistant</x:v>
      </x:c>
      <x:c r="I168" s="18" t="str">
        <x:v>Validé CI ciblée</x:v>
      </x:c>
      <x:c r="J168" s="18" t="str">
        <x:v>P0</x:v>
      </x:c>
      <x:c r="K168" s="18" t="str">
        <x:v>https://github.com/darknigthmare/yautja-la-longue-chasse/pull/43</x:v>
      </x:c>
    </x:row>
    <x:row r="169" ht="30" customHeight="1">
      <x:c r="A169" s="18" t="str">
        <x:v>QA-CW134-004</x:v>
      </x:c>
      <x:c r="B169" s="18" t="str">
        <x:v>CW134-RALLY-010</x:v>
      </x:c>
      <x:c r="C169" s="18" t="str">
        <x:v>RTS</x:v>
      </x:c>
      <x:c r="D169" s="18" t="str">
        <x:v>Contrats</x:v>
      </x:c>
      <x:c r="E169" s="18" t="str">
        <x:v>Ordres invalides et reçus uniques</x:v>
      </x:c>
      <x:c r="F169" s="18" t="str">
        <x:v>Ordre rejeté : horloge, RAV, source et rapport inchangés.</x:v>
      </x:c>
      <x:c r="G169" s="18" t="str">
        <x:v>GitHub Actions 41179344283</x:v>
      </x:c>
      <x:c r="H169" s="18" t="str">
        <x:v>Serveur autoritaire manquant</x:v>
      </x:c>
      <x:c r="I169" s="18" t="str">
        <x:v>Validé CI ciblée</x:v>
      </x:c>
      <x:c r="J169" s="18" t="str">
        <x:v>P0</x:v>
      </x:c>
      <x:c r="K169" s="18" t="str">
        <x:v>https://github.com/darknigthmare/yautja-la-longue-chasse/pull/43</x:v>
      </x:c>
    </x:row>
    <x:row r="170" ht="30" customHeight="1">
      <x:c r="A170" s="18" t="str">
        <x:v>QA-CW134-005</x:v>
      </x:c>
      <x:c r="B170" s="18" t="str">
        <x:v>CW134-RALLY-005</x:v>
      </x:c>
      <x:c r="C170" s="18" t="str">
        <x:v>RTS</x:v>
      </x:c>
      <x:c r="D170" s="18" t="str">
        <x:v>UI</x:v>
      </x:c>
      <x:c r="E170" s="18" t="str">
        <x:v>Coordonnées masquées avant reconnaissance</x:v>
      </x:c>
      <x:c r="F170" s="18" t="str">
        <x:v>Aucun objectif n'est géolocalisé par le panneau avant exploration.</x:v>
      </x:c>
      <x:c r="G170" s="18" t="str">
        <x:v>Revue navigateur + capture à exécuter</x:v>
      </x:c>
      <x:c r="H170" s="18" t="str">
        <x:v>Test de code UI non équivalent au DOM</x:v>
      </x:c>
      <x:c r="I170" s="18" t="str">
        <x:v>À auditer</x:v>
      </x:c>
      <x:c r="J170" s="18" t="str">
        <x:v>P0</x:v>
      </x:c>
      <x:c r="K170" s="18" t="str">
        <x:v>https://github.com/darknigthmare/yautja-la-longue-chasse/pull/43</x:v>
      </x:c>
    </x:row>
    <x:row r="171" ht="30" customHeight="1">
      <x:c r="A171" s="18" t="str">
        <x:v>QA-CW134-006</x:v>
      </x:c>
      <x:c r="B171" s="18" t="str">
        <x:v>CW134-RALLY-011</x:v>
      </x:c>
      <x:c r="C171" s="18" t="str">
        <x:v>RTS</x:v>
      </x:c>
      <x:c r="D171" s="18" t="str">
        <x:v>UI</x:v>
      </x:c>
      <x:c r="E171" s="18" t="str">
        <x:v>Sélection et commande de quatre escouades</x:v>
      </x:c>
      <x:c r="F171" s="18" t="str">
        <x:v>Clic, clavier, tactile et manette lisibles sans débordement.</x:v>
      </x:c>
      <x:c r="G171" s="18" t="str">
        <x:v>QA browser + mobile à exécuter</x:v>
      </x:c>
      <x:c r="H171" s="18" t="str">
        <x:v>Aucun test d'ergonomie réel</x:v>
      </x:c>
      <x:c r="I171" s="18" t="str">
        <x:v>À auditer</x:v>
      </x:c>
      <x:c r="J171" s="18" t="str">
        <x:v>P1</x:v>
      </x:c>
      <x:c r="K171" s="18" t="str">
        <x:v>https://github.com/darknigthmare/yautja-la-longue-chasse/pull/43</x:v>
      </x:c>
    </x:row>
    <x:row r="172" ht="30" customHeight="1">
      <x:c r="A172" s="18" t="str">
        <x:v>QA-CW134-007</x:v>
      </x:c>
      <x:c r="B172" s="18" t="str">
        <x:v>CW134-RALLY-018</x:v>
      </x:c>
      <x:c r="C172" s="18" t="str">
        <x:v>RTS/PvP</x:v>
      </x:c>
      <x:c r="D172" s="18" t="str">
        <x:v>Réseau</x:v>
      </x:c>
      <x:c r="E172" s="18" t="str">
        <x:v>Réception de deux joueurs distincts</x:v>
      </x:c>
      <x:c r="F172" s="18" t="str">
        <x:v>Hôte autoritaire, visibilité fog, séquences et reconnexion validées.</x:v>
      </x:c>
      <x:c r="G172" s="18" t="str">
        <x:v>Tests réseau non commencés</x:v>
      </x:c>
      <x:c r="H172" s="18" t="str">
        <x:v>Pas de serveur réel</x:v>
      </x:c>
      <x:c r="I172" s="18" t="str">
        <x:v>Non commencé</x:v>
      </x:c>
      <x:c r="J172" s="18" t="str">
        <x:v>P0</x:v>
      </x:c>
      <x:c r="K172" s="18" t="str">
        <x:v>https://github.com/darknigthmare/yautja-la-longue-chasse/pull/36</x:v>
      </x:c>
    </x:row>
    <x:row r="173" ht="32" customHeight="1">
      <x:c r="A173" s="18" t="str">
        <x:v>QA-CW134-008</x:v>
      </x:c>
      <x:c r="B173" s="18" t="str">
        <x:v>CW134-RALLY-019</x:v>
      </x:c>
      <x:c r="C173" s="18" t="str">
        <x:v>RTS</x:v>
      </x:c>
      <x:c r="D173" s="18" t="str">
        <x:v>Renseignement</x:v>
      </x:c>
      <x:c r="E173" s="18" t="str">
        <x:v>Une patrouille cachée ne peut pas modifier l'ordre calculé</x:v>
      </x:c>
      <x:c r="F173" s="18" t="str">
        <x:v>Comparer les itinéraires de même carte avec et sans ennemis invisibles ; exécuter sans collision ni révélation d'identité.</x:v>
      </x:c>
      <x:c r="G173" s="18" t="str">
        <x:v>GitHub Actions 41179825943 · 33 tests verts</x:v>
      </x:c>
      <x:c r="H173" s="18" t="str">
        <x:v>Le test d'IA complète, camouflage et serveur reste à écrire</x:v>
      </x:c>
      <x:c r="I173" s="18" t="str">
        <x:v>Validé CI ciblée</x:v>
      </x:c>
      <x:c r="J173" s="18" t="str">
        <x:v>P0</x:v>
      </x:c>
      <x:c r="K173" s="18" t="str">
        <x:v>https://github.com/darknigthmare/yautja-la-longue-chasse/pull/43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6b5662e5b94944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  <x:row r="12" ht="34" customHeight="1">
      <x:c r="A12" s="18" t="str">
        <x:v>#41</x:v>
      </x:c>
      <x:c r="B12" s="18" t="str">
        <x:v>Registre V130 + corrections de traçabilité W3</x:v>
      </x:c>
      <x:c r="C12" s="18" t="str">
        <x:v>#40</x:v>
      </x:c>
      <x:c r="D12" s="18" t="str">
        <x:v>Tests GitHub Actions V130 réussis</x:v>
      </x:c>
      <x:c r="E12" s="18" t="str">
        <x:v>Statuts source dans l'Excel, pas contenu final</x:v>
      </x:c>
      <x:c r="F12" s="18" t="str">
        <x:v>https://github.com/darknigthmare/yautja-la-longue-chasse/pull/41</x:v>
      </x:c>
    </x:row>
    <x:row r="13" ht="34" customHeight="1">
      <x:c r="A13" s="18" t="str">
        <x:v>V133</x:v>
      </x:c>
      <x:c r="B13" s="18" t="str">
        <x:v>Prototype RTS multi-escouades + suivi mis à jour</x:v>
      </x:c>
      <x:c r="C13" s="18" t="str">
        <x:v>#41</x:v>
      </x:c>
      <x:c r="D13" s="18" t="str">
        <x:v>Branche en validation</x:v>
      </x:c>
      <x:c r="E13" s="18" t="str">
        <x:v>24 W3 multiunités au tour par tour ; pas RTS total ni récompenses V85</x:v>
      </x:c>
      <x:c r="F13" s="18" t="str">
        <x:v>https://github.com/darknigthmare/yautja-la-longue-chasse/tree/feat/v133-w3-multi-squad-rts-20261031</x:v>
      </x:c>
    </x:row>
    <x:row r="14">
      <x:c r="A14" t="str">
        <x:v>#43 / V134</x:v>
      </x:c>
      <x:c r="B14" t="str">
        <x:v>Ordres groupés, réaffectation escortes, Excel V134</x:v>
      </x:c>
      <x:c r="C14" t="str">
        <x:v>#41 → PR #43</x:v>
      </x:c>
      <x:c r="D14" t="str">
        <x:v>CI ciblée : 29/29 verts ; draft</x:v>
      </x:c>
      <x:c r="E14" t="str">
        <x:v>Manette/visuel, campagnes, serveur, art 1:1 encore nécessaires</x:v>
      </x:c>
      <x:c r="F14" t="str">
        <x:v>https://github.com/darknigthmare/yautja-la-longue-chasse/pull/43</x:v>
      </x:c>
    </x:row>
    <x:row r="15" ht="44" customHeight="1">
      <x:c r="A15" s="18" t="str">
        <x:v>#44 / V135</x:v>
      </x:c>
      <x:c r="B15" s="18" t="str">
        <x:v>Les quatre game modes : bastion, Outer Ops, diversion, suppression</x:v>
      </x:c>
      <x:c r="C15" s="18" t="str">
        <x:v>#43</x:v>
      </x:c>
      <x:c r="D15" s="18" t="str">
        <x:v>44/44 tests GitHub Actions V135 réussis ; PR draft</x:v>
      </x:c>
      <x:c r="E15" s="18" t="str">
        <x:v>48 exigences et 24 tests QA V135 ; prototypes, pas jeu fini</x:v>
      </x:c>
      <x:c r="F15" s="18" t="str">
        <x:v>https://github.com/darknigthmare/yautja-la-longue-chasse/pull/44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081032e16a44cb3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  <x:row r="20" ht="34" customHeight="1">
      <x:c r="A20" s="18" t="str">
        <x:v>Moteur RTS multi-escouades V133</x:v>
      </x:c>
      <x:c r="B20" s="18" t="str">
        <x:v>https://github.com/darknigthmare/yautja-la-longue-chasse/blob/feat/v133-w3-multi-squad-rts-20261031/app/game/systems/clanWarRtsSquadsV133.ts</x:v>
      </x:c>
      <x:c r="C20" s="18" t="str">
        <x:v>Source de la simulation W3 à plusieurs équipes, non canonique, ne crédite pas la campagne</x:v>
      </x:c>
    </x:row>
    <x:row r="21">
      <x:c r="A21" t="str">
        <x:v>V134 code et tests</x:v>
      </x:c>
      <x:c r="B21" t="str">
        <x:v>https://github.com/darknigthmare/yautja-la-longue-chasse/pull/43</x:v>
      </x:c>
      <x:c r="C21" t="str">
        <x:v>Mécaniques original jeu, pas lore canon; 33 tests GitHub Actions réussis (41179825943).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62c4b1d315c4901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Moteur V133 : commandement multi-escouades, tests objectifs; navigateur et RTS final à valider</x:v>
      </x:c>
      <x:c r="H65" s="18" t="str">
        <x:v>Partiel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https://github.com/darknigthmare/yautja-la-longue-chasse/blob/feat/v133-w3-multi-squad-rts-20261031/app/game/systems/clanWarRtsSquadsV133.ts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d31b4f15a646b1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31/10/2026 • #43 V134 : 33/33 tests Node, TypeScript/ESLint verts • 1 200 fiches design-only • 24 RTS W3 prototypes ≠ jeu final 1:1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12</x:v>
      </x:c>
      <x:c r="E8" t="n">
        <x:f>COUNTIF('RTS'!H5:H28,"Partiel")</x:f>
        <x:v>9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78</x:v>
      </x:c>
      <x:c r="E11" s="21" t="n">
        <x:f>SUM(E5:E10)</x:f>
        <x:v>30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  <x:row r="29" ht="28" customHeight="1">
      <x:c r="A29" s="39" t="str">
        <x:v>V134 — COMMANDES DE GROUPE / QUALITÉ CIBLÉE</x:v>
      </x:c>
      <x:c r="B29" s="39"/>
      <x:c r="C29" s="39"/>
      <x:c r="D29" s="39"/>
      <x:c r="E29" s="39"/>
      <x:c r="F29" s="39"/>
      <x:c r="G29" s="39"/>
    </x:row>
    <x:row r="30" ht="27" customHeight="1">
      <x:c r="A30" s="18" t="str">
        <x:v>Exigences V134</x:v>
      </x:c>
      <x:c r="B30" s="18" t="n">
        <x:f>COUNTA('RTS_V134_SYNCHRO'!A5:A47)</x:f>
        <x:v>43</x:v>
      </x:c>
      <x:c r="C30" s="18" t="str">
        <x:v>Source d'exigence</x:v>
      </x:c>
      <x:c r="D30" s="18" t="str">
        <x:v>RTS_V134_SYNCHRO</x:v>
      </x:c>
    </x:row>
    <x:row r="31" ht="27" customHeight="1">
      <x:c r="A31" s="18" t="str">
        <x:v>Validées CI ciblée</x:v>
      </x:c>
      <x:c r="B31" s="18" t="n">
        <x:f>COUNTIF('RTS_V134_SYNCHRO'!H5:H47,"Validé CI ciblée")</x:f>
        <x:v>36</x:v>
      </x:c>
      <x:c r="C31" s="18" t="str">
        <x:v>Non égale à validation finale / canon</x:v>
      </x:c>
      <x:c r="D31" s="18" t="str">
        <x:v>https://github.com/darknigthmare/yautja-la-longue-chasse/actions/runs/41179825943</x:v>
      </x:c>
    </x:row>
    <x:row r="32" ht="27" customHeight="1">
      <x:c r="A32" s="18" t="str">
        <x:v>Contrôles Node réussis</x:v>
      </x:c>
      <x:c r="B32" s="18" t="n">
        <x:v>33</x:v>
      </x:c>
      <x:c r="C32" s="18" t="str">
        <x:v>TypeScript + ESLint réussis</x:v>
      </x:c>
      <x:c r="D32" s="18" t="str">
        <x:v>https://github.com/darknigthmare/yautja-la-longue-chasse/pull/43</x:v>
      </x:c>
    </x:row>
    <x:row r="33" ht="27" customHeight="1">
      <x:c r="A33" s="18" t="str">
        <x:v>Missions W3 reconnues</x:v>
      </x:c>
      <x:c r="B33" s="18" t="n">
        <x:v>24</x:v>
      </x:c>
      <x:c r="C33" s="18" t="str">
        <x:v>Seulement études gameplay</x:v>
      </x:c>
      <x:c r="D33" s="18" t="str">
        <x:v>https://github.com/darknigthmare/yautja-la-longue-chasse/pull/43</x:v>
      </x:c>
    </x:row>
    <x:row r="34" ht="27" customHeight="1">
      <x:c r="A34" s="18" t="str">
        <x:v>Déploiement final</x:v>
      </x:c>
      <x:c r="B34" s="18" t="n">
        <x:v>0</x:v>
      </x:c>
      <x:c r="C34" s="18" t="str">
        <x:v>Campagne, réseau et art 1:1 encore non finalisés</x:v>
      </x:c>
      <x:c r="D34" s="18" t="str">
        <x:v>https://github.com/darknigthmare/yautja-la-longue-chasse/pull/43</x:v>
      </x:c>
    </x:row>
    <x:row r="36" ht="32" customHeight="1">
      <x:c r="A36" s="54" t="str">
        <x:v>V135 — LES QUATRE GAMEPLAYS EN PARALLÈLE · PR #44</x:v>
      </x:c>
      <x:c r="B36" s="54"/>
      <x:c r="C36" s="54"/>
      <x:c r="D36" s="54"/>
      <x:c r="E36" s="54"/>
      <x:c r="F36" s="54"/>
      <x:c r="G36" s="54"/>
    </x:row>
    <x:row r="37" ht="32" customHeight="1">
      <x:c r="A37" s="57" t="str">
        <x:v>PR #44 · 44/44 tests Node + TypeScript/ESLint verts sur commit V135 • QA navigateur/manette, campagne V85, serveur et art 1:1 toujours ouverts.</x:v>
      </x:c>
      <x:c r="B37" s="57"/>
      <x:c r="C37" s="57"/>
      <x:c r="D37" s="57"/>
      <x:c r="E37" s="57"/>
      <x:c r="F37" s="57"/>
      <x:c r="G37" s="57"/>
    </x:row>
    <x:row r="39" ht="24" customHeight="1">
      <x:c r="A39" s="60" t="str">
        <x:v>Mode</x:v>
      </x:c>
      <x:c r="B39" s="60" t="str">
        <x:v>Tâches suivies</x:v>
      </x:c>
      <x:c r="C39" s="60" t="str">
        <x:v>Fonctions en test</x:v>
      </x:c>
      <x:c r="D39" s="60" t="str">
        <x:v>Partiel</x:v>
      </x:c>
      <x:c r="E39" s="60" t="str">
        <x:v>À développer</x:v>
      </x:c>
      <x:c r="F39" s="60" t="str">
        <x:v>Validé CI ciblée</x:v>
      </x:c>
      <x:c r="G39" s="60" t="str">
        <x:v>Terminé QA complet</x:v>
      </x:c>
    </x:row>
    <x:row r="40" ht="24" customHeight="1">
      <x:c r="A40" s="18" t="str">
        <x:v>Assaut latéral</x:v>
      </x:c>
      <x:c r="B40" s="18" t="n">
        <x:f>COUNTIF(MODES_V135_PARALLELE!$B$5:$B$52,A40)</x:f>
        <x:v>12</x:v>
      </x:c>
      <x:c r="C40" s="18" t="n">
        <x:f>COUNTIFS(MODES_V135_PARALLELE!$B$5:$B$52,A40,MODES_V135_PARALLELE!$J$5:$J$52,"Implémenté — CI en cours")</x:f>
        <x:v>0</x:v>
      </x:c>
      <x:c r="D40" s="18" t="n">
        <x:f>COUNTIFS(MODES_V135_PARALLELE!$B$5:$B$52,A40,MODES_V135_PARALLELE!$J$5:$J$52,"Partiel — prototype")</x:f>
        <x:v>4</x:v>
      </x:c>
      <x:c r="E40" s="18" t="n">
        <x:f>COUNTIFS(MODES_V135_PARALLELE!$B$5:$B$52,A40,MODES_V135_PARALLELE!$J$5:$J$52,"À développer")</x:f>
        <x:v>7</x:v>
      </x:c>
      <x:c r="F40" s="18" t="n">
        <x:f>COUNTIFS(MODES_V135_PARALLELE!$B$5:$B$52,A40,MODES_V135_PARALLELE!$J$5:$J$52,"Validé CI ciblée")</x:f>
        <x:v>1</x:v>
      </x:c>
      <x:c r="G40" s="18" t="n">
        <x:f>COUNTIFS(MODES_V135_PARALLELE!$B$5:$B$52,A40,MODES_V135_PARALLELE!$J$5:$J$52,"Terminé — QA manuelle")</x:f>
        <x:v>0</x:v>
      </x:c>
    </x:row>
    <x:row r="41" ht="24" customHeight="1">
      <x:c r="A41" s="18" t="str">
        <x:v>Outer Ops</x:v>
      </x:c>
      <x:c r="B41" s="18" t="n">
        <x:f>COUNTIF(MODES_V135_PARALLELE!$B$5:$B$52,A41)</x:f>
        <x:v>12</x:v>
      </x:c>
      <x:c r="C41" s="18" t="n">
        <x:f>COUNTIFS(MODES_V135_PARALLELE!$B$5:$B$52,A41,MODES_V135_PARALLELE!$J$5:$J$52,"Implémenté — CI en cours")</x:f>
        <x:v>0</x:v>
      </x:c>
      <x:c r="D41" s="18" t="n">
        <x:f>COUNTIFS(MODES_V135_PARALLELE!$B$5:$B$52,A41,MODES_V135_PARALLELE!$J$5:$J$52,"Partiel — prototype")</x:f>
        <x:v>6</x:v>
      </x:c>
      <x:c r="E41" s="18" t="n">
        <x:f>COUNTIFS(MODES_V135_PARALLELE!$B$5:$B$52,A41,MODES_V135_PARALLELE!$J$5:$J$52,"À développer")</x:f>
        <x:v>5</x:v>
      </x:c>
      <x:c r="F41" s="18" t="n">
        <x:f>COUNTIFS(MODES_V135_PARALLELE!$B$5:$B$52,A41,MODES_V135_PARALLELE!$J$5:$J$52,"Validé CI ciblée")</x:f>
        <x:v>1</x:v>
      </x:c>
      <x:c r="G41" s="18" t="n">
        <x:f>COUNTIFS(MODES_V135_PARALLELE!$B$5:$B$52,A41,MODES_V135_PARALLELE!$J$5:$J$52,"Terminé — QA manuelle")</x:f>
        <x:v>0</x:v>
      </x:c>
    </x:row>
    <x:row r="42" ht="24" customHeight="1">
      <x:c r="A42" s="18" t="str">
        <x:v>Infiltration / sabotage</x:v>
      </x:c>
      <x:c r="B42" s="18" t="n">
        <x:f>COUNTIF(MODES_V135_PARALLELE!$B$5:$B$52,A42)</x:f>
        <x:v>12</x:v>
      </x:c>
      <x:c r="C42" s="18" t="n">
        <x:f>COUNTIFS(MODES_V135_PARALLELE!$B$5:$B$52,A42,MODES_V135_PARALLELE!$J$5:$J$52,"Implémenté — CI en cours")</x:f>
        <x:v>0</x:v>
      </x:c>
      <x:c r="D42" s="18" t="n">
        <x:f>COUNTIFS(MODES_V135_PARALLELE!$B$5:$B$52,A42,MODES_V135_PARALLELE!$J$5:$J$52,"Partiel — prototype")</x:f>
        <x:v>4</x:v>
      </x:c>
      <x:c r="E42" s="18" t="n">
        <x:f>COUNTIFS(MODES_V135_PARALLELE!$B$5:$B$52,A42,MODES_V135_PARALLELE!$J$5:$J$52,"À développer")</x:f>
        <x:v>6</x:v>
      </x:c>
      <x:c r="F42" s="18" t="n">
        <x:f>COUNTIFS(MODES_V135_PARALLELE!$B$5:$B$52,A42,MODES_V135_PARALLELE!$J$5:$J$52,"Validé CI ciblée")</x:f>
        <x:v>2</x:v>
      </x:c>
      <x:c r="G42" s="18" t="n">
        <x:f>COUNTIFS(MODES_V135_PARALLELE!$B$5:$B$52,A42,MODES_V135_PARALLELE!$J$5:$J$52,"Terminé — QA manuelle")</x:f>
        <x:v>0</x:v>
      </x:c>
    </x:row>
    <x:row r="43" ht="24" customHeight="1">
      <x:c r="A43" s="18" t="str">
        <x:v>RTS multi-escouades</x:v>
      </x:c>
      <x:c r="B43" s="18" t="n">
        <x:f>COUNTIF(MODES_V135_PARALLELE!$B$5:$B$52,A43)</x:f>
        <x:v>12</x:v>
      </x:c>
      <x:c r="C43" s="18" t="n">
        <x:f>COUNTIFS(MODES_V135_PARALLELE!$B$5:$B$52,A43,MODES_V135_PARALLELE!$J$5:$J$52,"Implémenté — CI en cours")</x:f>
        <x:v>0</x:v>
      </x:c>
      <x:c r="D43" s="18" t="n">
        <x:f>COUNTIFS(MODES_V135_PARALLELE!$B$5:$B$52,A43,MODES_V135_PARALLELE!$J$5:$J$52,"Partiel — prototype")</x:f>
        <x:v>6</x:v>
      </x:c>
      <x:c r="E43" s="18" t="n">
        <x:f>COUNTIFS(MODES_V135_PARALLELE!$B$5:$B$52,A43,MODES_V135_PARALLELE!$J$5:$J$52,"À développer")</x:f>
        <x:v>5</x:v>
      </x:c>
      <x:c r="F43" s="18" t="n">
        <x:f>COUNTIFS(MODES_V135_PARALLELE!$B$5:$B$52,A43,MODES_V135_PARALLELE!$J$5:$J$52,"Validé CI ciblée")</x:f>
        <x:v>1</x:v>
      </x:c>
      <x:c r="G43" s="18" t="n">
        <x:f>COUNTIFS(MODES_V135_PARALLELE!$B$5:$B$52,A43,MODES_V135_PARALLELE!$J$5:$J$52,"Terminé — QA manuelle")</x:f>
        <x:v>0</x:v>
      </x:c>
    </x:row>
    <x:row r="44" ht="24" customHeight="1">
      <x:c r="A44" s="63" t="str">
        <x:v>TOTAL</x:v>
      </x:c>
      <x:c r="B44" s="63" t="n">
        <x:f>SUM(B40:B43)</x:f>
        <x:v>48</x:v>
      </x:c>
      <x:c r="C44" s="63" t="n">
        <x:f>SUM(C40:C43)</x:f>
        <x:v>0</x:v>
      </x:c>
      <x:c r="D44" s="63" t="n">
        <x:f>SUM(D40:D43)</x:f>
        <x:v>20</x:v>
      </x:c>
      <x:c r="E44" s="63" t="n">
        <x:f>SUM(E40:E43)</x:f>
        <x:v>23</x:v>
      </x:c>
      <x:c r="F44" s="63" t="n">
        <x:f>SUM(F40:F43)</x:f>
        <x:v>5</x:v>
      </x:c>
      <x:c r="G44" s="63" t="n">
        <x:f>SUM(G40:G43)</x:f>
        <x:v>0</x:v>
      </x:c>
    </x:row>
    <x:row r="45" ht="24" customHeight="1">
      <x:c r="A45" s="18"/>
      <x:c r="B45" s="18"/>
      <x:c r="C45" s="18"/>
      <x:c r="D45" s="18"/>
      <x:c r="E45" s="18"/>
      <x:c r="F45" s="18"/>
      <x:c r="G45" s="18"/>
    </x:row>
    <x:row r="46" ht="24" customHeight="1">
      <x:c r="A46" s="18" t="str">
        <x:v>QA V135 : cas</x:v>
      </x:c>
      <x:c r="B46" s="18" t="n">
        <x:f>COUNTA(QA_V135!$A$5:$A$28)</x:f>
        <x:v>24</x:v>
      </x:c>
      <x:c r="C46" s="18"/>
      <x:c r="D46" s="18"/>
      <x:c r="E46" s="18"/>
      <x:c r="F46" s="18"/>
      <x:c r="G46" s="18"/>
    </x:row>
    <x:row r="47" ht="24" customHeight="1">
      <x:c r="A47" s="18" t="str">
        <x:v>Missions source CW120 :</x:v>
      </x:c>
      <x:c r="B47" s="18" t="n">
        <x:f>COUNTA(MISSIONS_1200!$A$5:$A$1204)</x:f>
        <x:v>1200</x:v>
      </x:c>
      <x:c r="C47" s="18"/>
      <x:c r="D47" s="18"/>
      <x:c r="E47" s="18"/>
      <x:c r="F47" s="18"/>
      <x:c r="G47" s="18"/>
    </x:row>
    <x:row r="48" ht="24" customHeight="1">
      <x:c r="A48" s="18" t="str">
        <x:v>RTS W3 source :</x:v>
      </x:c>
      <x:c r="B48" s="18" t="n">
        <x:f>COUNTA(W3_24_RTS!$A$5:$A$28)</x:f>
        <x:v>24</x:v>
      </x:c>
      <x:c r="C48" s="18"/>
      <x:c r="D48" s="18"/>
      <x:c r="E48" s="18"/>
      <x:c r="F48" s="18"/>
      <x:c r="G48" s="18"/>
    </x:row>
    <x:row r="49" ht="24" customHeight="1">
      <x:c r="A49" s="18" t="str">
        <x:v>Sources et statut :</x:v>
      </x:c>
      <x:c r="B49" s="18" t="str">
        <x:v>#44 V135 · design-only V120 ; ne pas confondre CI et fidélité filmique 1:1</x:v>
      </x:c>
      <x:c r="C49" s="18"/>
      <x:c r="D49" s="18"/>
      <x:c r="E49" s="18"/>
      <x:c r="F49" s="18"/>
      <x:c r="G49" s="18"/>
    </x:row>
  </x:sheetData>
  <x:mergeCells>
    <x:mergeCell ref="A1:J1"/>
    <x:mergeCell ref="A2:J2"/>
    <x:mergeCell ref="A25:J25"/>
    <x:mergeCell ref="A27:J27"/>
    <x:mergeCell ref="A29:G29"/>
    <x:mergeCell ref="A36:G36"/>
    <x:mergeCell ref="A37:G37"/>
  </x:mergeCells>
  <x:pageMargins left="0.7" right="0.7" top="0.75" bottom="0.75" header="0.3" footer="0.3"/>
  <x:drawing xmlns:r="http://schemas.openxmlformats.org/officeDocument/2006/relationships" r:id="Rf7aebc0530534a7c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b13ef298897456c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5" hidden="0" customWidth="1"/>
    <x:col min="4" max="4" width="38" hidden="0" customWidth="1"/>
    <x:col min="5" max="5" width="36" hidden="0" customWidth="1"/>
    <x:col min="6" max="6" width="21" hidden="0" customWidth="1"/>
    <x:col min="7" max="7" width="27" hidden="0" customWidth="1"/>
    <x:col min="8" max="8" width="23" hidden="0" customWidth="1"/>
    <x:col min="9" max="9" width="10" hidden="0" customWidth="1"/>
    <x:col min="10" max="10" width="17" hidden="0" customWidth="1"/>
    <x:col min="11" max="11" width="35" hidden="0" customWidth="1"/>
    <x:col min="12" max="12" width="28" hidden="0" customWidth="1"/>
    <x:col min="13" max="13" width="27" hidden="0" customWidth="1"/>
    <x:col min="14" max="14" width="34" hidden="0" customWidth="1"/>
  </x:cols>
  <x:sheetData>
    <x:row r="1" ht="32" customHeight="1">
      <x:c r="A1" s="31" t="str">
        <x:v>RTS W3 — ORDRES COLLECTIFS ET ESCORTES · V134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3" t="str">
        <x:v>31/10/2026 · PR #43 V134 : 33/33 tests Node réussis, TypeScript et ESLint verts. Inclut le brouillard de guerre des patrouilles. Validation visuelle, manette, serveur et art 1:1 restent requises.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42" customHeight="1">
      <x:c r="A4" s="37" t="str">
        <x:v>ID</x:v>
      </x:c>
      <x:c r="B4" s="37" t="str">
        <x:v>Domaine</x:v>
      </x:c>
      <x:c r="C4" s="37" t="str">
        <x:v>Mécanique / portée</x:v>
      </x:c>
      <x:c r="D4" s="37" t="str">
        <x:v>Description d'exécution</x:v>
      </x:c>
      <x:c r="E4" s="37" t="str">
        <x:v>Critère d'acceptation physique</x:v>
      </x:c>
      <x:c r="F4" s="37" t="str">
        <x:v>Mode / mission</x:v>
      </x:c>
      <x:c r="G4" s="37" t="str">
        <x:v>Étape de test</x:v>
      </x:c>
      <x:c r="H4" s="37" t="str">
        <x:v>État 31/10</x:v>
      </x:c>
      <x:c r="I4" s="37" t="str">
        <x:v>Priorité</x:v>
      </x:c>
      <x:c r="J4" s="37" t="str">
        <x:v>Dépendance</x:v>
      </x:c>
      <x:c r="K4" s="37" t="str">
        <x:v>Source technique</x:v>
      </x:c>
      <x:c r="L4" s="37" t="str">
        <x:v>Lore / canon</x:v>
      </x:c>
      <x:c r="M4" s="37" t="str">
        <x:v>Preuve attendue</x:v>
      </x:c>
      <x:c r="N4" s="37" t="str">
        <x:v>Travaux restants</x:v>
      </x:c>
    </x:row>
    <x:row r="5" ht="62" customHeight="1">
      <x:c r="A5" s="40" t="str">
        <x:v>CW134-RALLY-001</x:v>
      </x:c>
      <x:c r="B5" s="40" t="str">
        <x:v>Ordres</x:v>
      </x:c>
      <x:c r="C5" s="40" t="str">
        <x:v>Rassemblement synchronisé</x:v>
      </x:c>
      <x:c r="D5" s="40" t="str">
        <x:v>Déplacer 1 à 4 groupes sélectionnés simultanément, chaque groupe au maximum d'une case.</x:v>
      </x:c>
      <x:c r="E5" s="40" t="str">
        <x:v>Un seul tick IA quel que soit le nombre de groupes déplacés.</x:v>
      </x:c>
      <x:c r="F5" s="40" t="str">
        <x:v>RTS toutes cartes</x:v>
      </x:c>
      <x:c r="G5" s="40" t="str">
        <x:v>24 missions, 12 cartes et 6 mondes W3 de la Bible V6</x:v>
      </x:c>
      <x:c r="H5" s="40" t="str">
        <x:v>Validé CI ciblée</x:v>
      </x:c>
      <x:c r="I5" s="40" t="str">
        <x:v>P0</x:v>
      </x:c>
      <x:c r="J5" s="40" t="str">
        <x:v>V133</x:v>
      </x:c>
      <x:c r="K5" s="40" t="str">
        <x:v>V134:planWarRtsRallyV134</x:v>
      </x:c>
      <x:c r="L5" s="40" t="str">
        <x:v>Mécanique originale, pas canon filmique</x:v>
      </x:c>
      <x:c r="M5" s="40" t="str">
        <x:v>test 24 missions</x:v>
      </x:c>
      <x:c r="N5" s="40" t="str">
        <x:v>Validation navigateur/manette</x:v>
      </x:c>
    </x:row>
    <x:row r="6" ht="62" customHeight="1">
      <x:c r="A6" s="40" t="str">
        <x:v>CW134-RALLY-002</x:v>
      </x:c>
      <x:c r="B6" s="40" t="str">
        <x:v>Navigation</x:v>
      </x:c>
      <x:c r="C6" s="40" t="str">
        <x:v>Évitement d'obstacles</x:v>
      </x:c>
      <x:c r="D6" s="40" t="str">
        <x:v>Grille W3, obstacles solides, liquides, lave, zones de danger actives et porte motorisée hors tension.</x:v>
      </x:c>
      <x:c r="E6" s="40" t="str">
        <x:v>Aucune case traversée n'est bloquée ni dangereuse au tour de déplacement.</x:v>
      </x:c>
      <x:c r="F6" s="40" t="str">
        <x:v>RTS W3-MAP01…12</x:v>
      </x:c>
      <x:c r="G6" s="40" t="str">
        <x:v>V134 chemins/obstacles</x:v>
      </x:c>
      <x:c r="H6" s="40" t="str">
        <x:v>Validé CI ciblée</x:v>
      </x:c>
      <x:c r="I6" s="40" t="str">
        <x:v>P0</x:v>
      </x:c>
      <x:c r="J6" s="40" t="str">
        <x:v>V128</x:v>
      </x:c>
      <x:c r="K6" s="40" t="str">
        <x:v>V134:planWarRtsRallyV134</x:v>
      </x:c>
      <x:c r="L6" s="40" t="str">
        <x:v>Topologie V6, non scène film 1:1</x:v>
      </x:c>
      <x:c r="M6" s="40" t="str">
        <x:v>test 24 cartes et cas hostile</x:v>
      </x:c>
      <x:c r="N6" s="40" t="str">
        <x:v>Gestion raffinée des goulots</x:v>
      </x:c>
    </x:row>
    <x:row r="7" ht="62" customHeight="1">
      <x:c r="A7" s="40" t="str">
        <x:v>CW134-RALLY-003</x:v>
      </x:c>
      <x:c r="B7" s="40" t="str">
        <x:v>Navigation</x:v>
      </x:c>
      <x:c r="C7" s="40" t="str">
        <x:v>Formation sans superposition</x:v>
      </x:c>
      <x:c r="D7" s="40" t="str">
        <x:v>Réserver les destinations et empêcher collisions entre groupes et ennemis.</x:v>
      </x:c>
      <x:c r="E7" s="40" t="str">
        <x:v>Toutes les positions des alliés actifs sont distinctes après le tick.</x:v>
      </x:c>
      <x:c r="F7" s="40" t="str">
        <x:v>RTS</x:v>
      </x:c>
      <x:c r="G7" s="40" t="str">
        <x:v>V134 anti-collision</x:v>
      </x:c>
      <x:c r="H7" s="40" t="str">
        <x:v>Validé CI ciblée</x:v>
      </x:c>
      <x:c r="I7" s="40" t="str">
        <x:v>P0</x:v>
      </x:c>
      <x:c r="J7" s="40" t="str">
        <x:v>V133</x:v>
      </x:c>
      <x:c r="K7" s="40" t="str">
        <x:v>V134:commandWarRtsRallyV134</x:v>
      </x:c>
      <x:c r="L7" s="40" t="str">
        <x:v>Doctrine jeu original</x:v>
      </x:c>
      <x:c r="M7" s="40" t="str">
        <x:v>test coordonnées uniques</x:v>
      </x:c>
      <x:c r="N7" s="40" t="str">
        <x:v>Priorités de mouvement et poussée</x:v>
      </x:c>
    </x:row>
    <x:row r="8" ht="62" customHeight="1">
      <x:c r="A8" s="40" t="str">
        <x:v>CW134-RALLY-004</x:v>
      </x:c>
      <x:c r="B8" s="40" t="str">
        <x:v>Conception</x:v>
      </x:c>
      <x:c r="C8" s="40" t="str">
        <x:v>Cible de rassemblement</x:v>
      </x:c>
      <x:c r="D8" s="40" t="str">
        <x:v>Offrir coordonnées X/Y contrôlables; raccourcis Reconnaissance et Objectif identifié.</x:v>
      </x:c>
      <x:c r="E8" s="40" t="str">
        <x:v>Une cible invalide/refusée ne modifie aucun état ni horloge.</x:v>
      </x:c>
      <x:c r="F8" s="40" t="str">
        <x:v>RTS</x:v>
      </x:c>
      <x:c r="G8" s="40" t="str">
        <x:v>V134 entrées invalides</x:v>
      </x:c>
      <x:c r="H8" s="40" t="str">
        <x:v>Validé CI ciblée</x:v>
      </x:c>
      <x:c r="I8" s="40" t="str">
        <x:v>P0</x:v>
      </x:c>
      <x:c r="J8" s="40" t="str">
        <x:v>V133</x:v>
      </x:c>
      <x:c r="K8" s="40" t="str">
        <x:v>UI ClanWarRtsSquadsV133.tsx</x:v>
      </x:c>
      <x:c r="L8" s="40" t="str">
        <x:v>N'ajoute aucun lieu canon</x:v>
      </x:c>
      <x:c r="M8" s="40" t="str">
        <x:v>CI + navigation clavier</x:v>
      </x:c>
      <x:c r="N8" s="40" t="str">
        <x:v>Click-to-move et contrôle tactile</x:v>
      </x:c>
    </x:row>
    <x:row r="9" ht="62" customHeight="1">
      <x:c r="A9" s="40" t="str">
        <x:v>CW134-RALLY-005</x:v>
      </x:c>
      <x:c r="B9" s="40" t="str">
        <x:v>Renseignements</x:v>
      </x:c>
      <x:c r="C9" s="40" t="str">
        <x:v>Secret des objectifs</x:v>
      </x:c>
      <x:c r="D9" s="40" t="str">
        <x:v>Ne pas afficher les coordonnées des trois objectifs tant que le secteur n'a pas été observé.</x:v>
      </x:c>
      <x:c r="E9" s="40" t="str">
        <x:v>Les positions restent masquées avant reconnaissance.</x:v>
      </x:c>
      <x:c r="F9" s="40" t="str">
        <x:v>RTS</x:v>
      </x:c>
      <x:c r="G9" s="40" t="str">
        <x:v>Audit source UI</x:v>
      </x:c>
      <x:c r="H9" s="40" t="str">
        <x:v>Implémenté · QA manuelle</x:v>
      </x:c>
      <x:c r="I9" s="40" t="str">
        <x:v>P0</x:v>
      </x:c>
      <x:c r="J9" s="40" t="str">
        <x:v>V129</x:v>
      </x:c>
      <x:c r="K9" s="40" t="str">
        <x:v>UI ClanWarRtsSquadsV133.tsx</x:v>
      </x:c>
      <x:c r="L9" s="40" t="str">
        <x:v>Pas d'omniscience</x:v>
      </x:c>
      <x:c r="M9" s="40" t="str">
        <x:v>test DOM/navigateur</x:v>
      </x:c>
      <x:c r="N9" s="40" t="str">
        <x:v>Limiter aussi les événements cachés</x:v>
      </x:c>
    </x:row>
    <x:row r="10" ht="62" customHeight="1">
      <x:c r="A10" s="40" t="str">
        <x:v>CW134-RALLY-006</x:v>
      </x:c>
      <x:c r="B10" s="40" t="str">
        <x:v>Réserve</x:v>
      </x:c>
      <x:c r="C10" s="40" t="str">
        <x:v>Coût opération groupée</x:v>
      </x:c>
      <x:c r="D10" s="40" t="str">
        <x:v>Un ordre collectif ne consomme pas de munitions RAV ; un tir individuel dépense toujours son RAV.</x:v>
      </x:c>
      <x:c r="E10" s="40" t="str">
        <x:v>RAV inchangé pendant le déplacement de groupe.</x:v>
      </x:c>
      <x:c r="F10" s="40" t="str">
        <x:v>RTS</x:v>
      </x:c>
      <x:c r="G10" s="40" t="str">
        <x:v>V134 invariants RAV</x:v>
      </x:c>
      <x:c r="H10" s="40" t="str">
        <x:v>Validé CI ciblée</x:v>
      </x:c>
      <x:c r="I10" s="40" t="str">
        <x:v>P0</x:v>
      </x:c>
      <x:c r="J10" s="40" t="str">
        <x:v>V133</x:v>
      </x:c>
      <x:c r="K10" s="40" t="str">
        <x:v>V134:commandWarRtsRallyV134</x:v>
      </x:c>
      <x:c r="L10" s="40" t="str">
        <x:v>Dépense tir = règle prototype</x:v>
      </x:c>
      <x:c r="M10" s="40" t="str">
        <x:v>test avant/après</x:v>
      </x:c>
      <x:c r="N10" s="40" t="str">
        <x:v>Coûts logistique ultérieurs</x:v>
      </x:c>
    </x:row>
    <x:row r="11" ht="62" customHeight="1">
      <x:c r="A11" s="40" t="str">
        <x:v>CW134-RALLY-007</x:v>
      </x:c>
      <x:c r="B11" s="40" t="str">
        <x:v>IA</x:v>
      </x:c>
      <x:c r="C11" s="40" t="str">
        <x:v>Réaction adverse unique</x:v>
      </x:c>
      <x:c r="D11" s="40" t="str">
        <x:v>Les adversaires prennent au maximum un tour de réponse par commande collective.</x:v>
      </x:c>
      <x:c r="E11" s="40" t="str">
        <x:v>Une seule progression du compteur de tours et de chaque patrouille.</x:v>
      </x:c>
      <x:c r="F11" s="40" t="str">
        <x:v>RTS</x:v>
      </x:c>
      <x:c r="G11" s="40" t="str">
        <x:v>V134 un tick + ennemis max une case</x:v>
      </x:c>
      <x:c r="H11" s="40" t="str">
        <x:v>Validé CI ciblée</x:v>
      </x:c>
      <x:c r="I11" s="40" t="str">
        <x:v>P0</x:v>
      </x:c>
      <x:c r="J11" s="40" t="str">
        <x:v>V133</x:v>
      </x:c>
      <x:c r="K11" s="40" t="str">
        <x:v>V134:commandWarRtsRallyV134</x:v>
      </x:c>
      <x:c r="L11" s="40" t="str">
        <x:v>Logique originale</x:v>
      </x:c>
      <x:c r="M11" s="40" t="str">
        <x:v>CI 24 missions</x:v>
      </x:c>
      <x:c r="N11" s="40" t="str">
        <x:v>IA doctrine/assaut plus avancée</x:v>
      </x:c>
    </x:row>
    <x:row r="12" ht="62" customHeight="1">
      <x:c r="A12" s="40" t="str">
        <x:v>CW134-RALLY-008</x:v>
      </x:c>
      <x:c r="B12" s="40" t="str">
        <x:v>Escorte</x:v>
      </x:c>
      <x:c r="C12" s="40" t="str">
        <x:v>Nouvel accompagnateur</x:v>
      </x:c>
      <x:c r="D12" s="40" t="str">
        <x:v>Une escouade de relève déjà physiquement présente reprend une personne sécurisée dont le chef tombe.</x:v>
      </x:c>
      <x:c r="E12" s="40" t="str">
        <x:v>Relève à une case max, même témoin neutre, aucune copie de PNJ.</x:v>
      </x:c>
      <x:c r="F12" s="40" t="str">
        <x:v>RTS W3-RTS06/24</x:v>
      </x:c>
      <x:c r="G12" s="40" t="str">
        <x:v>V134 handoff cas de perte</x:v>
      </x:c>
      <x:c r="H12" s="40" t="str">
        <x:v>Validé CI ciblée</x:v>
      </x:c>
      <x:c r="I12" s="40" t="str">
        <x:v>P0</x:v>
      </x:c>
      <x:c r="J12" s="40" t="str">
        <x:v>V129</x:v>
      </x:c>
      <x:c r="K12" s="40" t="str">
        <x:v>V133:pickup étendu</x:v>
      </x:c>
      <x:c r="L12" s="40" t="str">
        <x:v>Neutralité conservée</x:v>
      </x:c>
      <x:c r="M12" s="40" t="str">
        <x:v>tests sauvetage/blessure/témoin</x:v>
      </x:c>
      <x:c r="N12" s="40" t="str">
        <x:v>Triage complexe et animation</x:v>
      </x:c>
    </x:row>
    <x:row r="13" ht="62" customHeight="1">
      <x:c r="A13" s="40" t="str">
        <x:v>CW134-RALLY-009</x:v>
      </x:c>
      <x:c r="B13" s="40" t="str">
        <x:v>Fret</x:v>
      </x:c>
      <x:c r="C13" s="40" t="str">
        <x:v>Transfert de charge</x:v>
      </x:c>
      <x:c r="D13" s="40" t="str">
        <x:v>Le porteur remet une caisse/balise à un autre groupe adjacent sans auto-clonage.</x:v>
      </x:c>
      <x:c r="E13" s="40" t="str">
        <x:v>La charge change d'identifiant de porteur, pas d'identité ni de nombre.</x:v>
      </x:c>
      <x:c r="F13" s="40" t="str">
        <x:v>RTS W3-RTS05/14/21</x:v>
      </x:c>
      <x:c r="G13" s="40" t="str">
        <x:v>V134 caisse/balise</x:v>
      </x:c>
      <x:c r="H13" s="40" t="str">
        <x:v>Validé CI ciblée</x:v>
      </x:c>
      <x:c r="I13" s="40" t="str">
        <x:v>P0</x:v>
      </x:c>
      <x:c r="J13" s="40" t="str">
        <x:v>V133</x:v>
      </x:c>
      <x:c r="K13" s="40" t="str">
        <x:v>V133:pickup étendu</x:v>
      </x:c>
      <x:c r="L13" s="40" t="str">
        <x:v>Matériel original W3</x:v>
      </x:c>
      <x:c r="M13" s="40" t="str">
        <x:v>test duplications</x:v>
      </x:c>
      <x:c r="N13" s="40" t="str">
        <x:v>Charge/capacité à réaliser</x:v>
      </x:c>
    </x:row>
    <x:row r="14" ht="62" customHeight="1">
      <x:c r="A14" s="40" t="str">
        <x:v>CW134-RALLY-010</x:v>
      </x:c>
      <x:c r="B14" s="40" t="str">
        <x:v>Sécurité</x:v>
      </x:c>
      <x:c r="C14" s="40" t="str">
        <x:v>Rejet des ordres illégaux</x:v>
      </x:c>
      <x:c r="D14" s="40" t="str">
        <x:v>Une escouade morte, absente ou déjà assignée ne peut engager de commandes non valides.</x:v>
      </x:c>
      <x:c r="E14" s="40" t="str">
        <x:v>Même objet d'état en entrée et sortie en cas de rejet ; aucun tick.</x:v>
      </x:c>
      <x:c r="F14" s="40" t="str">
        <x:v>RTS</x:v>
      </x:c>
      <x:c r="G14" s="40" t="str">
        <x:v>V134 state unchanged</x:v>
      </x:c>
      <x:c r="H14" s="40" t="str">
        <x:v>Validé CI ciblée</x:v>
      </x:c>
      <x:c r="I14" s="40" t="str">
        <x:v>P0</x:v>
      </x:c>
      <x:c r="J14" s="40" t="str">
        <x:v>V133</x:v>
      </x:c>
      <x:c r="K14" s="40" t="str">
        <x:v>V134 tests</x:v>
      </x:c>
      <x:c r="L14" s="40" t="str">
        <x:v>Aucune règle canon revendiquée</x:v>
      </x:c>
      <x:c r="M14" s="40" t="str">
        <x:v>test falsification</x:v>
      </x:c>
      <x:c r="N14" s="40" t="str">
        <x:v>Serveur autoritaire ultérieur</x:v>
      </x:c>
    </x:row>
    <x:row r="15" ht="62" customHeight="1">
      <x:c r="A15" s="40" t="str">
        <x:v>CW134-RALLY-011</x:v>
      </x:c>
      <x:c r="B15" s="40" t="str">
        <x:v>UI</x:v>
      </x:c>
      <x:c r="C15" s="40" t="str">
        <x:v>Choix de groupes</x:v>
      </x:c>
      <x:c r="D15" s="40" t="str">
        <x:v>Cocher les formations actives à inclure dans une manœuvre, sans en créer de nouvelles.</x:v>
      </x:c>
      <x:c r="E15" s="40" t="str">
        <x:v>Seuls les IDs connus et aptes reçoivent des ordres.</x:v>
      </x:c>
      <x:c r="F15" s="40" t="str">
        <x:v>RTS</x:v>
      </x:c>
      <x:c r="G15" s="40" t="str">
        <x:v>V134 UI sélection</x:v>
      </x:c>
      <x:c r="H15" s="40" t="str">
        <x:v>Implémenté · QA manuelle</x:v>
      </x:c>
      <x:c r="I15" s="40" t="str">
        <x:v>P1</x:v>
      </x:c>
      <x:c r="J15" s="40" t="str">
        <x:v>V133</x:v>
      </x:c>
      <x:c r="K15" s="40" t="str">
        <x:v>UI ClanWarRtsSquadsV133.tsx</x:v>
      </x:c>
      <x:c r="L15" s="40" t="str">
        <x:v>Original jeu</x:v>
      </x:c>
      <x:c r="M15" s="40" t="str">
        <x:v>capture desktop/mobile</x:v>
      </x:c>
      <x:c r="N15" s="40" t="str">
        <x:v>Manette + drag selection</x:v>
      </x:c>
    </x:row>
    <x:row r="16" ht="62" customHeight="1">
      <x:c r="A16" s="40" t="str">
        <x:v>CW134-RALLY-012</x:v>
      </x:c>
      <x:c r="B16" s="40" t="str">
        <x:v>IA</x:v>
      </x:c>
      <x:c r="C16" s="40" t="str">
        <x:v>Convergence physique</x:v>
      </x:c>
      <x:c r="D16" s="40" t="str">
        <x:v>La formation doit atteindre les cases disponibles à 2 tuiles max du point cible ; obstacles recalculés à chaque action.</x:v>
      </x:c>
      <x:c r="E16" s="40" t="str">
        <x:v>Plan refusé si toutes les voies sont obstruées, jamais de téléportation.</x:v>
      </x:c>
      <x:c r="F16" s="40" t="str">
        <x:v>RTS</x:v>
      </x:c>
      <x:c r="G16" s="40" t="str">
        <x:v>V134 stress routes</x:v>
      </x:c>
      <x:c r="H16" s="40" t="str">
        <x:v>Partiel</x:v>
      </x:c>
      <x:c r="I16" s="40" t="str">
        <x:v>P0</x:v>
      </x:c>
      <x:c r="J16" s="40" t="str">
        <x:v>V128</x:v>
      </x:c>
      <x:c r="K16" s="40" t="str">
        <x:v>V134:planWarRtsRallyV134</x:v>
      </x:c>
      <x:c r="L16" s="40" t="str">
        <x:v>Original jeu</x:v>
      </x:c>
      <x:c r="M16" s="40" t="str">
        <x:v>tests labyrinthes et couverts</x:v>
      </x:c>
      <x:c r="N16" s="40" t="str">
        <x:v>A* congestion/timing</x:v>
      </x:c>
    </x:row>
    <x:row r="17" ht="62" customHeight="1">
      <x:c r="A17" s="40" t="str">
        <x:v>CW134-RALLY-013</x:v>
      </x:c>
      <x:c r="B17" s="40" t="str">
        <x:v>Campagne</x:v>
      </x:c>
      <x:c r="C17" s="40" t="str">
        <x:v>Économie et conquête</x:v>
      </x:c>
      <x:c r="D17" s="40" t="str">
        <x:v>Ne pas toucher V85, XP ou stocks réels depuis l'exercice de groupe.</x:v>
      </x:c>
      <x:c r="E17" s="40" t="str">
        <x:v>Reçu reste campaignMutation=false ; sourceSha et ID planète inchangés.</x:v>
      </x:c>
      <x:c r="F17" s="40" t="str">
        <x:v>RTS</x:v>
      </x:c>
      <x:c r="G17" s="40" t="str">
        <x:v>V134 invariance source</x:v>
      </x:c>
      <x:c r="H17" s="40" t="str">
        <x:v>Validé CI ciblée</x:v>
      </x:c>
      <x:c r="I17" s="40" t="str">
        <x:v>P0</x:v>
      </x:c>
      <x:c r="J17" s="40" t="str">
        <x:v>#41</x:v>
      </x:c>
      <x:c r="K17" s="40" t="str">
        <x:v>V133:receipt + V134:command</x:v>
      </x:c>
      <x:c r="L17" s="40" t="str">
        <x:v>Séparation d'état obligatoire</x:v>
      </x:c>
      <x:c r="M17" s="40" t="str">
        <x:v>QA multi-mode</x:v>
      </x:c>
      <x:c r="N17" s="40" t="str">
        <x:v>Contrat sauvegarde V6/V85</x:v>
      </x:c>
    </x:row>
    <x:row r="18" ht="62" customHeight="1">
      <x:c r="A18" s="40" t="str">
        <x:v>CW134-RALLY-014</x:v>
      </x:c>
      <x:c r="B18" s="40" t="str">
        <x:v>Missions</x:v>
      </x:c>
      <x:c r="C18" s="40" t="str">
        <x:v>72 étapes W3</x:v>
      </x:c>
      <x:c r="D18" s="40" t="str">
        <x:v>Les 24 épreuves RTS source restent vérifiables, même après ajout de commandement groupé.</x:v>
      </x:c>
      <x:c r="E18" s="40" t="str">
        <x:v>24 × 3 objectifs + extraction physique, avec V133 V129 régression.</x:v>
      </x:c>
      <x:c r="F18" s="40" t="str">
        <x:v>RTS W3-RTS01…24</x:v>
      </x:c>
      <x:c r="G18" s="40" t="str">
        <x:v>V133 + V129 régressions</x:v>
      </x:c>
      <x:c r="H18" s="40" t="str">
        <x:v>Validé CI ciblée</x:v>
      </x:c>
      <x:c r="I18" s="40" t="str">
        <x:v>P0</x:v>
      </x:c>
      <x:c r="J18" s="40" t="str">
        <x:v>#40</x:v>
      </x:c>
      <x:c r="K18" s="40" t="str">
        <x:v>tests V129/V133/V134</x:v>
      </x:c>
      <x:c r="L18" s="40" t="str">
        <x:v>Dossiers originaux W3</x:v>
      </x:c>
      <x:c r="M18" s="40" t="str">
        <x:v>CI 24 suites</x:v>
      </x:c>
      <x:c r="N18" s="40" t="str">
        <x:v>Scènes level design 1:1</x:v>
      </x:c>
    </x:row>
    <x:row r="19" ht="62" customHeight="1">
      <x:c r="A19" s="40" t="str">
        <x:v>CW134-RALLY-015</x:v>
      </x:c>
      <x:c r="B19" s="40" t="str">
        <x:v>Technique</x:v>
      </x:c>
      <x:c r="C19" s="40" t="str">
        <x:v>Automatisation CI</x:v>
      </x:c>
      <x:c r="D19" s="40" t="str">
        <x:v>Exécuter TypeScript, ESLint, 3 suites antérieures, nouvelles suites, vérifications de liaison UI.</x:v>
      </x:c>
      <x:c r="E19" s="40" t="str">
        <x:v>Tous les contrôles réussis sur le même commit avant qualité release.</x:v>
      </x:c>
      <x:c r="F19" s="40" t="str">
        <x:v>RTS</x:v>
      </x:c>
      <x:c r="G19" s="40" t="str">
        <x:v>Actions GitHub V134</x:v>
      </x:c>
      <x:c r="H19" s="40" t="str">
        <x:v>CI à contrôler</x:v>
      </x:c>
      <x:c r="I19" s="40" t="str">
        <x:v>P0</x:v>
      </x:c>
      <x:c r="J19" s="40" t="str">
        <x:v>#43</x:v>
      </x:c>
      <x:c r="K19" s="40" t="str">
        <x:v>.github/workflows/clan-war-v133.yml</x:v>
      </x:c>
      <x:c r="L19" s="40" t="str">
        <x:v>Pas une preuve de canon</x:v>
      </x:c>
      <x:c r="M19" s="40" t="str">
        <x:v>Lien Actions</x:v>
      </x:c>
      <x:c r="N19" s="40" t="str">
        <x:v>QA navigateur en plus</x:v>
      </x:c>
    </x:row>
    <x:row r="20" ht="62" customHeight="1">
      <x:c r="A20" s="40" t="str">
        <x:v>CW134-RALLY-016</x:v>
      </x:c>
      <x:c r="B20" s="40" t="str">
        <x:v>Graphismes</x:v>
      </x:c>
      <x:c r="C20" s="40" t="str">
        <x:v>Sprites/animations réellement sourcés</x:v>
      </x:c>
      <x:c r="D20" s="40" t="str">
        <x:v>Remplacer les pions schématiques par sprites indépendants Yautja/armes/armures validés.</x:v>
      </x:c>
      <x:c r="E20" s="40" t="str">
        <x:v>Fiche de provenance par asset et tests visuels manuel/mobile.</x:v>
      </x:c>
      <x:c r="F20" s="40" t="str">
        <x:v>RTS</x:v>
      </x:c>
      <x:c r="G20" s="40" t="str">
        <x:v>Travail artistique</x:v>
      </x:c>
      <x:c r="H20" s="40" t="str">
        <x:v>Non commencé</x:v>
      </x:c>
      <x:c r="I20" s="40" t="str">
        <x:v>P0</x:v>
      </x:c>
      <x:c r="J20" s="40" t="str">
        <x:v>Assets PHG</x:v>
      </x:c>
      <x:c r="K20" s="40" t="str">
        <x:v>Inventaire visuel requis</x:v>
      </x:c>
      <x:c r="L20" s="40" t="str">
        <x:v>Canon par œuvre/époque/continuité</x:v>
      </x:c>
      <x:c r="M20" s="40" t="str">
        <x:v>Captures/source</x:v>
      </x:c>
      <x:c r="N20" s="40" t="str">
        <x:v>Pixélisation/animations/échelles</x:v>
      </x:c>
    </x:row>
    <x:row r="21" ht="62" customHeight="1">
      <x:c r="A21" s="40" t="str">
        <x:v>CW134-RALLY-017</x:v>
      </x:c>
      <x:c r="B21" s="40" t="str">
        <x:v>Gameplay</x:v>
      </x:c>
      <x:c r="C21" s="40" t="str">
        <x:v>Vrai RTS à grande échelle</x:v>
      </x:c>
      <x:c r="D21" s="40" t="str">
        <x:v>Mettre en place groupes nombreux, ordres multi-fronts, déplacements au temps réel facultatif.</x:v>
      </x:c>
      <x:c r="E21" s="40" t="str">
        <x:v>Charge 50+ unités et vraie logistique sans déformation des tours.</x:v>
      </x:c>
      <x:c r="F21" s="40" t="str">
        <x:v>RTS total</x:v>
      </x:c>
      <x:c r="G21" s="40" t="str">
        <x:v>QA performance</x:v>
      </x:c>
      <x:c r="H21" s="40" t="str">
        <x:v>Non commencé</x:v>
      </x:c>
      <x:c r="I21" s="40" t="str">
        <x:v>P1</x:v>
      </x:c>
      <x:c r="J21" s="40" t="str">
        <x:v>V134</x:v>
      </x:c>
      <x:c r="K21" s="40" t="str">
        <x:v>Moteur futur</x:v>
      </x:c>
      <x:c r="L21" s="40" t="str">
        <x:v>Original; ne pas copier AVP Extinction</x:v>
      </x:c>
      <x:c r="M21" s="40" t="str">
        <x:v>benchmark perf et gameplay</x:v>
      </x:c>
      <x:c r="N21" s="40" t="str">
        <x:v>Serveur/IA économie RTS</x:v>
      </x:c>
    </x:row>
    <x:row r="22" ht="62" customHeight="1">
      <x:c r="A22" s="40" t="str">
        <x:v>CW134-RALLY-018</x:v>
      </x:c>
      <x:c r="B22" s="40" t="str">
        <x:v>Réseau</x:v>
      </x:c>
      <x:c r="C22" s="40" t="str">
        <x:v>Multijoueur en ligne</x:v>
      </x:c>
      <x:c r="D22" s="40" t="str">
        <x:v>Rendre chaque ordre vérifié par un hôte/serveur autoritaire et séquences anti-rejeu.</x:v>
      </x:c>
      <x:c r="E22" s="40" t="str">
        <x:v>Reconnexion, latence, commandes malformées et visibilité ennemie validées.</x:v>
      </x:c>
      <x:c r="F22" s="40" t="str">
        <x:v>PvP/coop RTS</x:v>
      </x:c>
      <x:c r="G22" s="40" t="str">
        <x:v>QA réseau</x:v>
      </x:c>
      <x:c r="H22" s="40" t="str">
        <x:v>Non commencé</x:v>
      </x:c>
      <x:c r="I22" s="40" t="str">
        <x:v>P0</x:v>
      </x:c>
      <x:c r="J22" s="40" t="str">
        <x:v>#36 #37</x:v>
      </x:c>
      <x:c r="K22" s="40" t="str">
        <x:v>Serveur à réaliser</x:v>
      </x:c>
      <x:c r="L22" s="40" t="str">
        <x:v>Aucune faction canon inventée</x:v>
      </x:c>
      <x:c r="M22" s="40" t="str">
        <x:v>Tests 2 appareils</x:v>
      </x:c>
      <x:c r="N22" s="40" t="str">
        <x:v>Transport réseau, matchmaking, comptes</x:v>
      </x:c>
    </x:row>
    <x:row r="23" ht="62" customHeight="1">
      <x:c r="A23" s="40" t="str">
        <x:v>CW134-MAP-01</x:v>
      </x:c>
      <x:c r="B23" s="40" t="str">
        <x:v>Contrat source</x:v>
      </x:c>
      <x:c r="C23" s="40" t="str">
        <x:v>Regroupement testé sur W3-RTS01</x:v>
      </x:c>
      <x:c r="D23" s="40" t="str">
        <x:v>Vérifier le mouvement groupé et l'extraction sur la carte W3 préexistante du même scénario.</x:v>
      </x:c>
      <x:c r="E23" s="40" t="str">
        <x:v>1 tour pour N mouvements, pas de chevauchement, points d'objectifs respectés.</x:v>
      </x:c>
      <x:c r="F23" s="40" t="str">
        <x:v>W3-RTS01</x:v>
      </x:c>
      <x:c r="G23" s="40" t="str">
        <x:v>V134 + V133 + V129</x:v>
      </x:c>
      <x:c r="H23" s="40" t="str">
        <x:v>Validé CI ciblée</x:v>
      </x:c>
      <x:c r="I23" s="40" t="str">
        <x:v>P0</x:v>
      </x:c>
      <x:c r="J23" s="40" t="str">
        <x:v>V133</x:v>
      </x:c>
      <x:c r="K23" s="40" t="str">
        <x:v>app/game/systems/clanWarRtsSquadsV133.ts</x:v>
      </x:c>
      <x:c r="L23" s="40" t="str">
        <x:v>Monde W3 d'origine jeu ; ne pas confondre avec films</x:v>
      </x:c>
      <x:c r="M23" s="40" t="str">
        <x:v>test scénario W3-RTS01</x:v>
      </x:c>
      <x:c r="N23" s="40" t="str">
        <x:v>Conception finale, art, IA, progression</x:v>
      </x:c>
    </x:row>
    <x:row r="24" ht="62" customHeight="1">
      <x:c r="A24" s="40" t="str">
        <x:v>CW134-MAP-02</x:v>
      </x:c>
      <x:c r="B24" s="40" t="str">
        <x:v>Contrat source</x:v>
      </x:c>
      <x:c r="C24" s="40" t="str">
        <x:v>Regroupement testé sur W3-RTS02</x:v>
      </x:c>
      <x:c r="D24" s="40" t="str">
        <x:v>Vérifier le mouvement groupé et l'extraction sur la carte W3 préexistante du même scénario.</x:v>
      </x:c>
      <x:c r="E24" s="40" t="str">
        <x:v>1 tour pour N mouvements, pas de chevauchement, points d'objectifs respectés.</x:v>
      </x:c>
      <x:c r="F24" s="40" t="str">
        <x:v>W3-RTS02</x:v>
      </x:c>
      <x:c r="G24" s="40" t="str">
        <x:v>V134 + V133 + V129</x:v>
      </x:c>
      <x:c r="H24" s="40" t="str">
        <x:v>Validé CI ciblée</x:v>
      </x:c>
      <x:c r="I24" s="40" t="str">
        <x:v>P0</x:v>
      </x:c>
      <x:c r="J24" s="40" t="str">
        <x:v>V133</x:v>
      </x:c>
      <x:c r="K24" s="40" t="str">
        <x:v>app/game/systems/clanWarRtsSquadsV133.ts</x:v>
      </x:c>
      <x:c r="L24" s="40" t="str">
        <x:v>Monde W3 d'origine jeu ; ne pas confondre avec films</x:v>
      </x:c>
      <x:c r="M24" s="40" t="str">
        <x:v>test scénario W3-RTS02</x:v>
      </x:c>
      <x:c r="N24" s="40" t="str">
        <x:v>Conception finale, art, IA, progression</x:v>
      </x:c>
    </x:row>
    <x:row r="25" ht="62" customHeight="1">
      <x:c r="A25" s="40" t="str">
        <x:v>CW134-MAP-03</x:v>
      </x:c>
      <x:c r="B25" s="40" t="str">
        <x:v>Contrat source</x:v>
      </x:c>
      <x:c r="C25" s="40" t="str">
        <x:v>Regroupement testé sur W3-RTS03</x:v>
      </x:c>
      <x:c r="D25" s="40" t="str">
        <x:v>Vérifier le mouvement groupé et l'extraction sur la carte W3 préexistante du même scénario.</x:v>
      </x:c>
      <x:c r="E25" s="40" t="str">
        <x:v>1 tour pour N mouvements, pas de chevauchement, points d'objectifs respectés.</x:v>
      </x:c>
      <x:c r="F25" s="40" t="str">
        <x:v>W3-RTS03</x:v>
      </x:c>
      <x:c r="G25" s="40" t="str">
        <x:v>V134 + V133 + V129</x:v>
      </x:c>
      <x:c r="H25" s="40" t="str">
        <x:v>Validé CI ciblée</x:v>
      </x:c>
      <x:c r="I25" s="40" t="str">
        <x:v>P0</x:v>
      </x:c>
      <x:c r="J25" s="40" t="str">
        <x:v>V133</x:v>
      </x:c>
      <x:c r="K25" s="40" t="str">
        <x:v>app/game/systems/clanWarRtsSquadsV133.ts</x:v>
      </x:c>
      <x:c r="L25" s="40" t="str">
        <x:v>Monde W3 d'origine jeu ; ne pas confondre avec films</x:v>
      </x:c>
      <x:c r="M25" s="40" t="str">
        <x:v>test scénario W3-RTS03</x:v>
      </x:c>
      <x:c r="N25" s="40" t="str">
        <x:v>Conception finale, art, IA, progression</x:v>
      </x:c>
    </x:row>
    <x:row r="26" ht="62" customHeight="1">
      <x:c r="A26" s="40" t="str">
        <x:v>CW134-MAP-04</x:v>
      </x:c>
      <x:c r="B26" s="40" t="str">
        <x:v>Contrat source</x:v>
      </x:c>
      <x:c r="C26" s="40" t="str">
        <x:v>Regroupement testé sur W3-RTS04</x:v>
      </x:c>
      <x:c r="D26" s="40" t="str">
        <x:v>Vérifier le mouvement groupé et l'extraction sur la carte W3 préexistante du même scénario.</x:v>
      </x:c>
      <x:c r="E26" s="40" t="str">
        <x:v>1 tour pour N mouvements, pas de chevauchement, points d'objectifs respectés.</x:v>
      </x:c>
      <x:c r="F26" s="40" t="str">
        <x:v>W3-RTS04</x:v>
      </x:c>
      <x:c r="G26" s="40" t="str">
        <x:v>V134 + V133 + V129</x:v>
      </x:c>
      <x:c r="H26" s="40" t="str">
        <x:v>Validé CI ciblée</x:v>
      </x:c>
      <x:c r="I26" s="40" t="str">
        <x:v>P0</x:v>
      </x:c>
      <x:c r="J26" s="40" t="str">
        <x:v>V133</x:v>
      </x:c>
      <x:c r="K26" s="40" t="str">
        <x:v>app/game/systems/clanWarRtsSquadsV133.ts</x:v>
      </x:c>
      <x:c r="L26" s="40" t="str">
        <x:v>Monde W3 d'origine jeu ; ne pas confondre avec films</x:v>
      </x:c>
      <x:c r="M26" s="40" t="str">
        <x:v>test scénario W3-RTS04</x:v>
      </x:c>
      <x:c r="N26" s="40" t="str">
        <x:v>Conception finale, art, IA, progression</x:v>
      </x:c>
    </x:row>
    <x:row r="27" ht="62" customHeight="1">
      <x:c r="A27" s="40" t="str">
        <x:v>CW134-MAP-05</x:v>
      </x:c>
      <x:c r="B27" s="40" t="str">
        <x:v>Contrat source</x:v>
      </x:c>
      <x:c r="C27" s="40" t="str">
        <x:v>Regroupement testé sur W3-RTS05</x:v>
      </x:c>
      <x:c r="D27" s="40" t="str">
        <x:v>Vérifier le mouvement groupé et l'extraction sur la carte W3 préexistante du même scénario.</x:v>
      </x:c>
      <x:c r="E27" s="40" t="str">
        <x:v>1 tour pour N mouvements, pas de chevauchement, points d'objectifs respectés.</x:v>
      </x:c>
      <x:c r="F27" s="40" t="str">
        <x:v>W3-RTS05</x:v>
      </x:c>
      <x:c r="G27" s="40" t="str">
        <x:v>V134 + V133 + V129</x:v>
      </x:c>
      <x:c r="H27" s="40" t="str">
        <x:v>Validé CI ciblée</x:v>
      </x:c>
      <x:c r="I27" s="40" t="str">
        <x:v>P0</x:v>
      </x:c>
      <x:c r="J27" s="40" t="str">
        <x:v>V133</x:v>
      </x:c>
      <x:c r="K27" s="40" t="str">
        <x:v>app/game/systems/clanWarRtsSquadsV133.ts</x:v>
      </x:c>
      <x:c r="L27" s="40" t="str">
        <x:v>Monde W3 d'origine jeu ; ne pas confondre avec films</x:v>
      </x:c>
      <x:c r="M27" s="40" t="str">
        <x:v>test scénario W3-RTS05</x:v>
      </x:c>
      <x:c r="N27" s="40" t="str">
        <x:v>Conception finale, art, IA, progression</x:v>
      </x:c>
    </x:row>
    <x:row r="28" ht="62" customHeight="1">
      <x:c r="A28" s="40" t="str">
        <x:v>CW134-MAP-06</x:v>
      </x:c>
      <x:c r="B28" s="40" t="str">
        <x:v>Contrat source</x:v>
      </x:c>
      <x:c r="C28" s="40" t="str">
        <x:v>Regroupement testé sur W3-RTS06</x:v>
      </x:c>
      <x:c r="D28" s="40" t="str">
        <x:v>Vérifier le mouvement groupé et l'extraction sur la carte W3 préexistante du même scénario.</x:v>
      </x:c>
      <x:c r="E28" s="40" t="str">
        <x:v>1 tour pour N mouvements, pas de chevauchement, points d'objectifs respectés.</x:v>
      </x:c>
      <x:c r="F28" s="40" t="str">
        <x:v>W3-RTS06</x:v>
      </x:c>
      <x:c r="G28" s="40" t="str">
        <x:v>V134 + V133 + V129</x:v>
      </x:c>
      <x:c r="H28" s="40" t="str">
        <x:v>Validé CI ciblée</x:v>
      </x:c>
      <x:c r="I28" s="40" t="str">
        <x:v>P0</x:v>
      </x:c>
      <x:c r="J28" s="40" t="str">
        <x:v>V133</x:v>
      </x:c>
      <x:c r="K28" s="40" t="str">
        <x:v>app/game/systems/clanWarRtsSquadsV133.ts</x:v>
      </x:c>
      <x:c r="L28" s="40" t="str">
        <x:v>Monde W3 d'origine jeu ; ne pas confondre avec films</x:v>
      </x:c>
      <x:c r="M28" s="40" t="str">
        <x:v>test scénario W3-RTS06</x:v>
      </x:c>
      <x:c r="N28" s="40" t="str">
        <x:v>Conception finale, art, IA, progression</x:v>
      </x:c>
    </x:row>
    <x:row r="29" ht="62" customHeight="1">
      <x:c r="A29" s="40" t="str">
        <x:v>CW134-MAP-07</x:v>
      </x:c>
      <x:c r="B29" s="40" t="str">
        <x:v>Contrat source</x:v>
      </x:c>
      <x:c r="C29" s="40" t="str">
        <x:v>Regroupement testé sur W3-RTS07</x:v>
      </x:c>
      <x:c r="D29" s="40" t="str">
        <x:v>Vérifier le mouvement groupé et l'extraction sur la carte W3 préexistante du même scénario.</x:v>
      </x:c>
      <x:c r="E29" s="40" t="str">
        <x:v>1 tour pour N mouvements, pas de chevauchement, points d'objectifs respectés.</x:v>
      </x:c>
      <x:c r="F29" s="40" t="str">
        <x:v>W3-RTS07</x:v>
      </x:c>
      <x:c r="G29" s="40" t="str">
        <x:v>V134 + V133 + V129</x:v>
      </x:c>
      <x:c r="H29" s="40" t="str">
        <x:v>Validé CI ciblée</x:v>
      </x:c>
      <x:c r="I29" s="40" t="str">
        <x:v>P0</x:v>
      </x:c>
      <x:c r="J29" s="40" t="str">
        <x:v>V133</x:v>
      </x:c>
      <x:c r="K29" s="40" t="str">
        <x:v>app/game/systems/clanWarRtsSquadsV133.ts</x:v>
      </x:c>
      <x:c r="L29" s="40" t="str">
        <x:v>Monde W3 d'origine jeu ; ne pas confondre avec films</x:v>
      </x:c>
      <x:c r="M29" s="40" t="str">
        <x:v>test scénario W3-RTS07</x:v>
      </x:c>
      <x:c r="N29" s="40" t="str">
        <x:v>Conception finale, art, IA, progression</x:v>
      </x:c>
    </x:row>
    <x:row r="30" ht="62" customHeight="1">
      <x:c r="A30" s="40" t="str">
        <x:v>CW134-MAP-08</x:v>
      </x:c>
      <x:c r="B30" s="40" t="str">
        <x:v>Contrat source</x:v>
      </x:c>
      <x:c r="C30" s="40" t="str">
        <x:v>Regroupement testé sur W3-RTS08</x:v>
      </x:c>
      <x:c r="D30" s="40" t="str">
        <x:v>Vérifier le mouvement groupé et l'extraction sur la carte W3 préexistante du même scénario.</x:v>
      </x:c>
      <x:c r="E30" s="40" t="str">
        <x:v>1 tour pour N mouvements, pas de chevauchement, points d'objectifs respectés.</x:v>
      </x:c>
      <x:c r="F30" s="40" t="str">
        <x:v>W3-RTS08</x:v>
      </x:c>
      <x:c r="G30" s="40" t="str">
        <x:v>V134 + V133 + V129</x:v>
      </x:c>
      <x:c r="H30" s="40" t="str">
        <x:v>Validé CI ciblée</x:v>
      </x:c>
      <x:c r="I30" s="40" t="str">
        <x:v>P0</x:v>
      </x:c>
      <x:c r="J30" s="40" t="str">
        <x:v>V133</x:v>
      </x:c>
      <x:c r="K30" s="40" t="str">
        <x:v>app/game/systems/clanWarRtsSquadsV133.ts</x:v>
      </x:c>
      <x:c r="L30" s="40" t="str">
        <x:v>Monde W3 d'origine jeu ; ne pas confondre avec films</x:v>
      </x:c>
      <x:c r="M30" s="40" t="str">
        <x:v>test scénario W3-RTS08</x:v>
      </x:c>
      <x:c r="N30" s="40" t="str">
        <x:v>Conception finale, art, IA, progression</x:v>
      </x:c>
    </x:row>
    <x:row r="31" ht="62" customHeight="1">
      <x:c r="A31" s="40" t="str">
        <x:v>CW134-MAP-09</x:v>
      </x:c>
      <x:c r="B31" s="40" t="str">
        <x:v>Contrat source</x:v>
      </x:c>
      <x:c r="C31" s="40" t="str">
        <x:v>Regroupement testé sur W3-RTS09</x:v>
      </x:c>
      <x:c r="D31" s="40" t="str">
        <x:v>Vérifier le mouvement groupé et l'extraction sur la carte W3 préexistante du même scénario.</x:v>
      </x:c>
      <x:c r="E31" s="40" t="str">
        <x:v>1 tour pour N mouvements, pas de chevauchement, points d'objectifs respectés.</x:v>
      </x:c>
      <x:c r="F31" s="40" t="str">
        <x:v>W3-RTS09</x:v>
      </x:c>
      <x:c r="G31" s="40" t="str">
        <x:v>V134 + V133 + V129</x:v>
      </x:c>
      <x:c r="H31" s="40" t="str">
        <x:v>Validé CI ciblée</x:v>
      </x:c>
      <x:c r="I31" s="40" t="str">
        <x:v>P0</x:v>
      </x:c>
      <x:c r="J31" s="40" t="str">
        <x:v>V133</x:v>
      </x:c>
      <x:c r="K31" s="40" t="str">
        <x:v>app/game/systems/clanWarRtsSquadsV133.ts</x:v>
      </x:c>
      <x:c r="L31" s="40" t="str">
        <x:v>Monde W3 d'origine jeu ; ne pas confondre avec films</x:v>
      </x:c>
      <x:c r="M31" s="40" t="str">
        <x:v>test scénario W3-RTS09</x:v>
      </x:c>
      <x:c r="N31" s="40" t="str">
        <x:v>Conception finale, art, IA, progression</x:v>
      </x:c>
    </x:row>
    <x:row r="32" ht="62" customHeight="1">
      <x:c r="A32" s="40" t="str">
        <x:v>CW134-MAP-10</x:v>
      </x:c>
      <x:c r="B32" s="40" t="str">
        <x:v>Contrat source</x:v>
      </x:c>
      <x:c r="C32" s="40" t="str">
        <x:v>Regroupement testé sur W3-RTS10</x:v>
      </x:c>
      <x:c r="D32" s="40" t="str">
        <x:v>Vérifier le mouvement groupé et l'extraction sur la carte W3 préexistante du même scénario.</x:v>
      </x:c>
      <x:c r="E32" s="40" t="str">
        <x:v>1 tour pour N mouvements, pas de chevauchement, points d'objectifs respectés.</x:v>
      </x:c>
      <x:c r="F32" s="40" t="str">
        <x:v>W3-RTS10</x:v>
      </x:c>
      <x:c r="G32" s="40" t="str">
        <x:v>V134 + V133 + V129</x:v>
      </x:c>
      <x:c r="H32" s="40" t="str">
        <x:v>Validé CI ciblée</x:v>
      </x:c>
      <x:c r="I32" s="40" t="str">
        <x:v>P0</x:v>
      </x:c>
      <x:c r="J32" s="40" t="str">
        <x:v>V133</x:v>
      </x:c>
      <x:c r="K32" s="40" t="str">
        <x:v>app/game/systems/clanWarRtsSquadsV133.ts</x:v>
      </x:c>
      <x:c r="L32" s="40" t="str">
        <x:v>Monde W3 d'origine jeu ; ne pas confondre avec films</x:v>
      </x:c>
      <x:c r="M32" s="40" t="str">
        <x:v>test scénario W3-RTS10</x:v>
      </x:c>
      <x:c r="N32" s="40" t="str">
        <x:v>Conception finale, art, IA, progression</x:v>
      </x:c>
    </x:row>
    <x:row r="33" ht="62" customHeight="1">
      <x:c r="A33" s="40" t="str">
        <x:v>CW134-MAP-11</x:v>
      </x:c>
      <x:c r="B33" s="40" t="str">
        <x:v>Contrat source</x:v>
      </x:c>
      <x:c r="C33" s="40" t="str">
        <x:v>Regroupement testé sur W3-RTS11</x:v>
      </x:c>
      <x:c r="D33" s="40" t="str">
        <x:v>Vérifier le mouvement groupé et l'extraction sur la carte W3 préexistante du même scénario.</x:v>
      </x:c>
      <x:c r="E33" s="40" t="str">
        <x:v>1 tour pour N mouvements, pas de chevauchement, points d'objectifs respectés.</x:v>
      </x:c>
      <x:c r="F33" s="40" t="str">
        <x:v>W3-RTS11</x:v>
      </x:c>
      <x:c r="G33" s="40" t="str">
        <x:v>V134 + V133 + V129</x:v>
      </x:c>
      <x:c r="H33" s="40" t="str">
        <x:v>Validé CI ciblée</x:v>
      </x:c>
      <x:c r="I33" s="40" t="str">
        <x:v>P0</x:v>
      </x:c>
      <x:c r="J33" s="40" t="str">
        <x:v>V133</x:v>
      </x:c>
      <x:c r="K33" s="40" t="str">
        <x:v>app/game/systems/clanWarRtsSquadsV133.ts</x:v>
      </x:c>
      <x:c r="L33" s="40" t="str">
        <x:v>Monde W3 d'origine jeu ; ne pas confondre avec films</x:v>
      </x:c>
      <x:c r="M33" s="40" t="str">
        <x:v>test scénario W3-RTS11</x:v>
      </x:c>
      <x:c r="N33" s="40" t="str">
        <x:v>Conception finale, art, IA, progression</x:v>
      </x:c>
    </x:row>
    <x:row r="34" ht="62" customHeight="1">
      <x:c r="A34" s="40" t="str">
        <x:v>CW134-MAP-12</x:v>
      </x:c>
      <x:c r="B34" s="40" t="str">
        <x:v>Contrat source</x:v>
      </x:c>
      <x:c r="C34" s="40" t="str">
        <x:v>Regroupement testé sur W3-RTS12</x:v>
      </x:c>
      <x:c r="D34" s="40" t="str">
        <x:v>Vérifier le mouvement groupé et l'extraction sur la carte W3 préexistante du même scénario.</x:v>
      </x:c>
      <x:c r="E34" s="40" t="str">
        <x:v>1 tour pour N mouvements, pas de chevauchement, points d'objectifs respectés.</x:v>
      </x:c>
      <x:c r="F34" s="40" t="str">
        <x:v>W3-RTS12</x:v>
      </x:c>
      <x:c r="G34" s="40" t="str">
        <x:v>V134 + V133 + V129</x:v>
      </x:c>
      <x:c r="H34" s="40" t="str">
        <x:v>Validé CI ciblée</x:v>
      </x:c>
      <x:c r="I34" s="40" t="str">
        <x:v>P0</x:v>
      </x:c>
      <x:c r="J34" s="40" t="str">
        <x:v>V133</x:v>
      </x:c>
      <x:c r="K34" s="40" t="str">
        <x:v>app/game/systems/clanWarRtsSquadsV133.ts</x:v>
      </x:c>
      <x:c r="L34" s="40" t="str">
        <x:v>Monde W3 d'origine jeu ; ne pas confondre avec films</x:v>
      </x:c>
      <x:c r="M34" s="40" t="str">
        <x:v>test scénario W3-RTS12</x:v>
      </x:c>
      <x:c r="N34" s="40" t="str">
        <x:v>Conception finale, art, IA, progression</x:v>
      </x:c>
    </x:row>
    <x:row r="35" ht="62" customHeight="1">
      <x:c r="A35" s="40" t="str">
        <x:v>CW134-MAP-13</x:v>
      </x:c>
      <x:c r="B35" s="40" t="str">
        <x:v>Contrat source</x:v>
      </x:c>
      <x:c r="C35" s="40" t="str">
        <x:v>Regroupement testé sur W3-RTS13</x:v>
      </x:c>
      <x:c r="D35" s="40" t="str">
        <x:v>Vérifier le mouvement groupé et l'extraction sur la carte W3 préexistante du même scénario.</x:v>
      </x:c>
      <x:c r="E35" s="40" t="str">
        <x:v>1 tour pour N mouvements, pas de chevauchement, points d'objectifs respectés.</x:v>
      </x:c>
      <x:c r="F35" s="40" t="str">
        <x:v>W3-RTS13</x:v>
      </x:c>
      <x:c r="G35" s="40" t="str">
        <x:v>V134 + V133 + V129</x:v>
      </x:c>
      <x:c r="H35" s="40" t="str">
        <x:v>Validé CI ciblée</x:v>
      </x:c>
      <x:c r="I35" s="40" t="str">
        <x:v>P0</x:v>
      </x:c>
      <x:c r="J35" s="40" t="str">
        <x:v>V133</x:v>
      </x:c>
      <x:c r="K35" s="40" t="str">
        <x:v>app/game/systems/clanWarRtsSquadsV133.ts</x:v>
      </x:c>
      <x:c r="L35" s="40" t="str">
        <x:v>Monde W3 d'origine jeu ; ne pas confondre avec films</x:v>
      </x:c>
      <x:c r="M35" s="40" t="str">
        <x:v>test scénario W3-RTS13</x:v>
      </x:c>
      <x:c r="N35" s="40" t="str">
        <x:v>Conception finale, art, IA, progression</x:v>
      </x:c>
    </x:row>
    <x:row r="36" ht="62" customHeight="1">
      <x:c r="A36" s="40" t="str">
        <x:v>CW134-MAP-14</x:v>
      </x:c>
      <x:c r="B36" s="40" t="str">
        <x:v>Contrat source</x:v>
      </x:c>
      <x:c r="C36" s="40" t="str">
        <x:v>Regroupement testé sur W3-RTS14</x:v>
      </x:c>
      <x:c r="D36" s="40" t="str">
        <x:v>Vérifier le mouvement groupé et l'extraction sur la carte W3 préexistante du même scénario.</x:v>
      </x:c>
      <x:c r="E36" s="40" t="str">
        <x:v>1 tour pour N mouvements, pas de chevauchement, points d'objectifs respectés.</x:v>
      </x:c>
      <x:c r="F36" s="40" t="str">
        <x:v>W3-RTS14</x:v>
      </x:c>
      <x:c r="G36" s="40" t="str">
        <x:v>V134 + V133 + V129</x:v>
      </x:c>
      <x:c r="H36" s="40" t="str">
        <x:v>Validé CI ciblée</x:v>
      </x:c>
      <x:c r="I36" s="40" t="str">
        <x:v>P0</x:v>
      </x:c>
      <x:c r="J36" s="40" t="str">
        <x:v>V133</x:v>
      </x:c>
      <x:c r="K36" s="40" t="str">
        <x:v>app/game/systems/clanWarRtsSquadsV133.ts</x:v>
      </x:c>
      <x:c r="L36" s="40" t="str">
        <x:v>Monde W3 d'origine jeu ; ne pas confondre avec films</x:v>
      </x:c>
      <x:c r="M36" s="40" t="str">
        <x:v>test scénario W3-RTS14</x:v>
      </x:c>
      <x:c r="N36" s="40" t="str">
        <x:v>Conception finale, art, IA, progression</x:v>
      </x:c>
    </x:row>
    <x:row r="37" ht="62" customHeight="1">
      <x:c r="A37" s="40" t="str">
        <x:v>CW134-MAP-15</x:v>
      </x:c>
      <x:c r="B37" s="40" t="str">
        <x:v>Contrat source</x:v>
      </x:c>
      <x:c r="C37" s="40" t="str">
        <x:v>Regroupement testé sur W3-RTS15</x:v>
      </x:c>
      <x:c r="D37" s="40" t="str">
        <x:v>Vérifier le mouvement groupé et l'extraction sur la carte W3 préexistante du même scénario.</x:v>
      </x:c>
      <x:c r="E37" s="40" t="str">
        <x:v>1 tour pour N mouvements, pas de chevauchement, points d'objectifs respectés.</x:v>
      </x:c>
      <x:c r="F37" s="40" t="str">
        <x:v>W3-RTS15</x:v>
      </x:c>
      <x:c r="G37" s="40" t="str">
        <x:v>V134 + V133 + V129</x:v>
      </x:c>
      <x:c r="H37" s="40" t="str">
        <x:v>Validé CI ciblée</x:v>
      </x:c>
      <x:c r="I37" s="40" t="str">
        <x:v>P0</x:v>
      </x:c>
      <x:c r="J37" s="40" t="str">
        <x:v>V133</x:v>
      </x:c>
      <x:c r="K37" s="40" t="str">
        <x:v>app/game/systems/clanWarRtsSquadsV133.ts</x:v>
      </x:c>
      <x:c r="L37" s="40" t="str">
        <x:v>Monde W3 d'origine jeu ; ne pas confondre avec films</x:v>
      </x:c>
      <x:c r="M37" s="40" t="str">
        <x:v>test scénario W3-RTS15</x:v>
      </x:c>
      <x:c r="N37" s="40" t="str">
        <x:v>Conception finale, art, IA, progression</x:v>
      </x:c>
    </x:row>
    <x:row r="38" ht="62" customHeight="1">
      <x:c r="A38" s="40" t="str">
        <x:v>CW134-MAP-16</x:v>
      </x:c>
      <x:c r="B38" s="40" t="str">
        <x:v>Contrat source</x:v>
      </x:c>
      <x:c r="C38" s="40" t="str">
        <x:v>Regroupement testé sur W3-RTS16</x:v>
      </x:c>
      <x:c r="D38" s="40" t="str">
        <x:v>Vérifier le mouvement groupé et l'extraction sur la carte W3 préexistante du même scénario.</x:v>
      </x:c>
      <x:c r="E38" s="40" t="str">
        <x:v>1 tour pour N mouvements, pas de chevauchement, points d'objectifs respectés.</x:v>
      </x:c>
      <x:c r="F38" s="40" t="str">
        <x:v>W3-RTS16</x:v>
      </x:c>
      <x:c r="G38" s="40" t="str">
        <x:v>V134 + V133 + V129</x:v>
      </x:c>
      <x:c r="H38" s="40" t="str">
        <x:v>Validé CI ciblée</x:v>
      </x:c>
      <x:c r="I38" s="40" t="str">
        <x:v>P0</x:v>
      </x:c>
      <x:c r="J38" s="40" t="str">
        <x:v>V133</x:v>
      </x:c>
      <x:c r="K38" s="40" t="str">
        <x:v>app/game/systems/clanWarRtsSquadsV133.ts</x:v>
      </x:c>
      <x:c r="L38" s="40" t="str">
        <x:v>Monde W3 d'origine jeu ; ne pas confondre avec films</x:v>
      </x:c>
      <x:c r="M38" s="40" t="str">
        <x:v>test scénario W3-RTS16</x:v>
      </x:c>
      <x:c r="N38" s="40" t="str">
        <x:v>Conception finale, art, IA, progression</x:v>
      </x:c>
    </x:row>
    <x:row r="39" ht="62" customHeight="1">
      <x:c r="A39" s="40" t="str">
        <x:v>CW134-MAP-17</x:v>
      </x:c>
      <x:c r="B39" s="40" t="str">
        <x:v>Contrat source</x:v>
      </x:c>
      <x:c r="C39" s="40" t="str">
        <x:v>Regroupement testé sur W3-RTS17</x:v>
      </x:c>
      <x:c r="D39" s="40" t="str">
        <x:v>Vérifier le mouvement groupé et l'extraction sur la carte W3 préexistante du même scénario.</x:v>
      </x:c>
      <x:c r="E39" s="40" t="str">
        <x:v>1 tour pour N mouvements, pas de chevauchement, points d'objectifs respectés.</x:v>
      </x:c>
      <x:c r="F39" s="40" t="str">
        <x:v>W3-RTS17</x:v>
      </x:c>
      <x:c r="G39" s="40" t="str">
        <x:v>V134 + V133 + V129</x:v>
      </x:c>
      <x:c r="H39" s="40" t="str">
        <x:v>Validé CI ciblée</x:v>
      </x:c>
      <x:c r="I39" s="40" t="str">
        <x:v>P0</x:v>
      </x:c>
      <x:c r="J39" s="40" t="str">
        <x:v>V133</x:v>
      </x:c>
      <x:c r="K39" s="40" t="str">
        <x:v>app/game/systems/clanWarRtsSquadsV133.ts</x:v>
      </x:c>
      <x:c r="L39" s="40" t="str">
        <x:v>Monde W3 d'origine jeu ; ne pas confondre avec films</x:v>
      </x:c>
      <x:c r="M39" s="40" t="str">
        <x:v>test scénario W3-RTS17</x:v>
      </x:c>
      <x:c r="N39" s="40" t="str">
        <x:v>Conception finale, art, IA, progression</x:v>
      </x:c>
    </x:row>
    <x:row r="40" ht="62" customHeight="1">
      <x:c r="A40" s="40" t="str">
        <x:v>CW134-MAP-18</x:v>
      </x:c>
      <x:c r="B40" s="40" t="str">
        <x:v>Contrat source</x:v>
      </x:c>
      <x:c r="C40" s="40" t="str">
        <x:v>Regroupement testé sur W3-RTS18</x:v>
      </x:c>
      <x:c r="D40" s="40" t="str">
        <x:v>Vérifier le mouvement groupé et l'extraction sur la carte W3 préexistante du même scénario.</x:v>
      </x:c>
      <x:c r="E40" s="40" t="str">
        <x:v>1 tour pour N mouvements, pas de chevauchement, points d'objectifs respectés.</x:v>
      </x:c>
      <x:c r="F40" s="40" t="str">
        <x:v>W3-RTS18</x:v>
      </x:c>
      <x:c r="G40" s="40" t="str">
        <x:v>V134 + V133 + V129</x:v>
      </x:c>
      <x:c r="H40" s="40" t="str">
        <x:v>Validé CI ciblée</x:v>
      </x:c>
      <x:c r="I40" s="40" t="str">
        <x:v>P0</x:v>
      </x:c>
      <x:c r="J40" s="40" t="str">
        <x:v>V133</x:v>
      </x:c>
      <x:c r="K40" s="40" t="str">
        <x:v>app/game/systems/clanWarRtsSquadsV133.ts</x:v>
      </x:c>
      <x:c r="L40" s="40" t="str">
        <x:v>Monde W3 d'origine jeu ; ne pas confondre avec films</x:v>
      </x:c>
      <x:c r="M40" s="40" t="str">
        <x:v>test scénario W3-RTS18</x:v>
      </x:c>
      <x:c r="N40" s="40" t="str">
        <x:v>Conception finale, art, IA, progression</x:v>
      </x:c>
    </x:row>
    <x:row r="41" ht="62" customHeight="1">
      <x:c r="A41" s="40" t="str">
        <x:v>CW134-MAP-19</x:v>
      </x:c>
      <x:c r="B41" s="40" t="str">
        <x:v>Contrat source</x:v>
      </x:c>
      <x:c r="C41" s="40" t="str">
        <x:v>Regroupement testé sur W3-RTS19</x:v>
      </x:c>
      <x:c r="D41" s="40" t="str">
        <x:v>Vérifier le mouvement groupé et l'extraction sur la carte W3 préexistante du même scénario.</x:v>
      </x:c>
      <x:c r="E41" s="40" t="str">
        <x:v>1 tour pour N mouvements, pas de chevauchement, points d'objectifs respectés.</x:v>
      </x:c>
      <x:c r="F41" s="40" t="str">
        <x:v>W3-RTS19</x:v>
      </x:c>
      <x:c r="G41" s="40" t="str">
        <x:v>V134 + V133 + V129</x:v>
      </x:c>
      <x:c r="H41" s="40" t="str">
        <x:v>Validé CI ciblée</x:v>
      </x:c>
      <x:c r="I41" s="40" t="str">
        <x:v>P0</x:v>
      </x:c>
      <x:c r="J41" s="40" t="str">
        <x:v>V133</x:v>
      </x:c>
      <x:c r="K41" s="40" t="str">
        <x:v>app/game/systems/clanWarRtsSquadsV133.ts</x:v>
      </x:c>
      <x:c r="L41" s="40" t="str">
        <x:v>Monde W3 d'origine jeu ; ne pas confondre avec films</x:v>
      </x:c>
      <x:c r="M41" s="40" t="str">
        <x:v>test scénario W3-RTS19</x:v>
      </x:c>
      <x:c r="N41" s="40" t="str">
        <x:v>Conception finale, art, IA, progression</x:v>
      </x:c>
    </x:row>
    <x:row r="42" ht="62" customHeight="1">
      <x:c r="A42" s="40" t="str">
        <x:v>CW134-MAP-20</x:v>
      </x:c>
      <x:c r="B42" s="40" t="str">
        <x:v>Contrat source</x:v>
      </x:c>
      <x:c r="C42" s="40" t="str">
        <x:v>Regroupement testé sur W3-RTS20</x:v>
      </x:c>
      <x:c r="D42" s="40" t="str">
        <x:v>Vérifier le mouvement groupé et l'extraction sur la carte W3 préexistante du même scénario.</x:v>
      </x:c>
      <x:c r="E42" s="40" t="str">
        <x:v>1 tour pour N mouvements, pas de chevauchement, points d'objectifs respectés.</x:v>
      </x:c>
      <x:c r="F42" s="40" t="str">
        <x:v>W3-RTS20</x:v>
      </x:c>
      <x:c r="G42" s="40" t="str">
        <x:v>V134 + V133 + V129</x:v>
      </x:c>
      <x:c r="H42" s="40" t="str">
        <x:v>Validé CI ciblée</x:v>
      </x:c>
      <x:c r="I42" s="40" t="str">
        <x:v>P0</x:v>
      </x:c>
      <x:c r="J42" s="40" t="str">
        <x:v>V133</x:v>
      </x:c>
      <x:c r="K42" s="40" t="str">
        <x:v>app/game/systems/clanWarRtsSquadsV133.ts</x:v>
      </x:c>
      <x:c r="L42" s="40" t="str">
        <x:v>Monde W3 d'origine jeu ; ne pas confondre avec films</x:v>
      </x:c>
      <x:c r="M42" s="40" t="str">
        <x:v>test scénario W3-RTS20</x:v>
      </x:c>
      <x:c r="N42" s="40" t="str">
        <x:v>Conception finale, art, IA, progression</x:v>
      </x:c>
    </x:row>
    <x:row r="43" ht="62" customHeight="1">
      <x:c r="A43" s="40" t="str">
        <x:v>CW134-MAP-21</x:v>
      </x:c>
      <x:c r="B43" s="40" t="str">
        <x:v>Contrat source</x:v>
      </x:c>
      <x:c r="C43" s="40" t="str">
        <x:v>Regroupement testé sur W3-RTS21</x:v>
      </x:c>
      <x:c r="D43" s="40" t="str">
        <x:v>Vérifier le mouvement groupé et l'extraction sur la carte W3 préexistante du même scénario.</x:v>
      </x:c>
      <x:c r="E43" s="40" t="str">
        <x:v>1 tour pour N mouvements, pas de chevauchement, points d'objectifs respectés.</x:v>
      </x:c>
      <x:c r="F43" s="40" t="str">
        <x:v>W3-RTS21</x:v>
      </x:c>
      <x:c r="G43" s="40" t="str">
        <x:v>V134 + V133 + V129</x:v>
      </x:c>
      <x:c r="H43" s="40" t="str">
        <x:v>Validé CI ciblée</x:v>
      </x:c>
      <x:c r="I43" s="40" t="str">
        <x:v>P0</x:v>
      </x:c>
      <x:c r="J43" s="40" t="str">
        <x:v>V133</x:v>
      </x:c>
      <x:c r="K43" s="40" t="str">
        <x:v>app/game/systems/clanWarRtsSquadsV133.ts</x:v>
      </x:c>
      <x:c r="L43" s="40" t="str">
        <x:v>Monde W3 d'origine jeu ; ne pas confondre avec films</x:v>
      </x:c>
      <x:c r="M43" s="40" t="str">
        <x:v>test scénario W3-RTS21</x:v>
      </x:c>
      <x:c r="N43" s="40" t="str">
        <x:v>Conception finale, art, IA, progression</x:v>
      </x:c>
    </x:row>
    <x:row r="44" ht="62" customHeight="1">
      <x:c r="A44" s="40" t="str">
        <x:v>CW134-MAP-22</x:v>
      </x:c>
      <x:c r="B44" s="40" t="str">
        <x:v>Contrat source</x:v>
      </x:c>
      <x:c r="C44" s="40" t="str">
        <x:v>Regroupement testé sur W3-RTS22</x:v>
      </x:c>
      <x:c r="D44" s="40" t="str">
        <x:v>Vérifier le mouvement groupé et l'extraction sur la carte W3 préexistante du même scénario.</x:v>
      </x:c>
      <x:c r="E44" s="40" t="str">
        <x:v>1 tour pour N mouvements, pas de chevauchement, points d'objectifs respectés.</x:v>
      </x:c>
      <x:c r="F44" s="40" t="str">
        <x:v>W3-RTS22</x:v>
      </x:c>
      <x:c r="G44" s="40" t="str">
        <x:v>V134 + V133 + V129</x:v>
      </x:c>
      <x:c r="H44" s="40" t="str">
        <x:v>Validé CI ciblée</x:v>
      </x:c>
      <x:c r="I44" s="40" t="str">
        <x:v>P0</x:v>
      </x:c>
      <x:c r="J44" s="40" t="str">
        <x:v>V133</x:v>
      </x:c>
      <x:c r="K44" s="40" t="str">
        <x:v>app/game/systems/clanWarRtsSquadsV133.ts</x:v>
      </x:c>
      <x:c r="L44" s="40" t="str">
        <x:v>Monde W3 d'origine jeu ; ne pas confondre avec films</x:v>
      </x:c>
      <x:c r="M44" s="40" t="str">
        <x:v>test scénario W3-RTS22</x:v>
      </x:c>
      <x:c r="N44" s="40" t="str">
        <x:v>Conception finale, art, IA, progression</x:v>
      </x:c>
    </x:row>
    <x:row r="45" ht="62" customHeight="1">
      <x:c r="A45" s="40" t="str">
        <x:v>CW134-MAP-23</x:v>
      </x:c>
      <x:c r="B45" s="40" t="str">
        <x:v>Contrat source</x:v>
      </x:c>
      <x:c r="C45" s="40" t="str">
        <x:v>Regroupement testé sur W3-RTS23</x:v>
      </x:c>
      <x:c r="D45" s="40" t="str">
        <x:v>Vérifier le mouvement groupé et l'extraction sur la carte W3 préexistante du même scénario.</x:v>
      </x:c>
      <x:c r="E45" s="40" t="str">
        <x:v>1 tour pour N mouvements, pas de chevauchement, points d'objectifs respectés.</x:v>
      </x:c>
      <x:c r="F45" s="40" t="str">
        <x:v>W3-RTS23</x:v>
      </x:c>
      <x:c r="G45" s="40" t="str">
        <x:v>V134 + V133 + V129</x:v>
      </x:c>
      <x:c r="H45" s="40" t="str">
        <x:v>Validé CI ciblée</x:v>
      </x:c>
      <x:c r="I45" s="40" t="str">
        <x:v>P0</x:v>
      </x:c>
      <x:c r="J45" s="40" t="str">
        <x:v>V133</x:v>
      </x:c>
      <x:c r="K45" s="40" t="str">
        <x:v>app/game/systems/clanWarRtsSquadsV133.ts</x:v>
      </x:c>
      <x:c r="L45" s="40" t="str">
        <x:v>Monde W3 d'origine jeu ; ne pas confondre avec films</x:v>
      </x:c>
      <x:c r="M45" s="40" t="str">
        <x:v>test scénario W3-RTS23</x:v>
      </x:c>
      <x:c r="N45" s="40" t="str">
        <x:v>Conception finale, art, IA, progression</x:v>
      </x:c>
    </x:row>
    <x:row r="46" ht="62" customHeight="1">
      <x:c r="A46" s="40" t="str">
        <x:v>CW134-MAP-24</x:v>
      </x:c>
      <x:c r="B46" s="40" t="str">
        <x:v>Contrat source</x:v>
      </x:c>
      <x:c r="C46" s="40" t="str">
        <x:v>Regroupement testé sur W3-RTS24</x:v>
      </x:c>
      <x:c r="D46" s="40" t="str">
        <x:v>Vérifier le mouvement groupé et l'extraction sur la carte W3 préexistante du même scénario.</x:v>
      </x:c>
      <x:c r="E46" s="40" t="str">
        <x:v>1 tour pour N mouvements, pas de chevauchement, points d'objectifs respectés.</x:v>
      </x:c>
      <x:c r="F46" s="40" t="str">
        <x:v>W3-RTS24</x:v>
      </x:c>
      <x:c r="G46" s="40" t="str">
        <x:v>V134 + V133 + V129</x:v>
      </x:c>
      <x:c r="H46" s="40" t="str">
        <x:v>Validé CI ciblée</x:v>
      </x:c>
      <x:c r="I46" s="40" t="str">
        <x:v>P0</x:v>
      </x:c>
      <x:c r="J46" s="40" t="str">
        <x:v>V133</x:v>
      </x:c>
      <x:c r="K46" s="40" t="str">
        <x:v>app/game/systems/clanWarRtsSquadsV133.ts</x:v>
      </x:c>
      <x:c r="L46" s="40" t="str">
        <x:v>Monde W3 d'origine jeu ; ne pas confondre avec films</x:v>
      </x:c>
      <x:c r="M46" s="40" t="str">
        <x:v>test scénario W3-RTS24</x:v>
      </x:c>
      <x:c r="N46" s="40" t="str">
        <x:v>Conception finale, art, IA, progression</x:v>
      </x:c>
    </x:row>
    <x:row r="47" ht="72" customHeight="1">
      <x:c r="A47" s="40" t="str">
        <x:v>CW134-RALLY-019</x:v>
      </x:c>
      <x:c r="B47" s="40" t="str">
        <x:v>Renseignement</x:v>
      </x:c>
      <x:c r="C47" s="40" t="str">
        <x:v>Brouillard de guerre des déplacements</x:v>
      </x:c>
      <x:c r="D47" s="40" t="str">
        <x:v>Le planificateur n'utilise que les positions des ennemis effectivement visibles au joueur. Une patrouille cachée ne change pas la route calculée; une occupation réelle est contrôlée à l'exécution.</x:v>
      </x:c>
      <x:c r="E47" s="40" t="str">
        <x:v>Aucun déplacement ne révèle une unité cachée, ne la traverse ou ne la transforme en position connue.</x:v>
      </x:c>
      <x:c r="F47" s="40" t="str">
        <x:v>RTS · 24 W3</x:v>
      </x:c>
      <x:c r="G47" s="40" t="str">
        <x:v>V134 anti-fuite de position cachée</x:v>
      </x:c>
      <x:c r="H47" s="40" t="str">
        <x:v>Validé CI ciblée</x:v>
      </x:c>
      <x:c r="I47" s="40" t="str">
        <x:v>P0</x:v>
      </x:c>
      <x:c r="J47" s="40" t="str">
        <x:v>V133 intel W3</x:v>
      </x:c>
      <x:c r="K47" s="40" t="str">
        <x:v>V134:planWarRtsRallyV134 et commandWarRtsRallyV134</x:v>
      </x:c>
      <x:c r="L47" s="40" t="str">
        <x:v>Position des clans/factions non omnisciente, doctrine originale</x:v>
      </x:c>
      <x:c r="M47" s="40" t="str">
        <x:v>Test comparaison scène avec/sans ennemi non observé</x:v>
      </x:c>
      <x:c r="N47" s="40" t="str">
        <x:v>QA perception/angles, camouflage, serveur autoritaire</x:v>
      </x:c>
    </x:row>
  </x:sheetData>
  <x:mergeCells>
    <x:mergeCell ref="A1:N1"/>
    <x:mergeCell ref="A2:N2"/>
  </x:mergeCells>
  <x:conditionalFormatting sqref="H5:H46">
    <x:cfRule type="expression" dxfId="26" priority="1">
      <x:formula>LEFT(H5,8)="Non comm"</x:formula>
    </x:cfRule>
    <x:cfRule type="expression" dxfId="27" priority="2">
      <x:formula>LEFT(H5,9)="Implément"</x:formula>
    </x:cfRule>
    <x:cfRule type="expression" dxfId="28" priority="3">
      <x:formula>LEFT(H5,6)="Validé"</x:formula>
    </x:cfRule>
  </x:conditionalFormatting>
  <x:dataValidations count="2">
    <x:dataValidation type="list" sqref="H5:H46">
      <x:formula1>"Non commencé,Partiel,Implémenté · QA en cours,Implémenté · QA manuelle,CI à contrôler,Validé CI ciblée,Validé QA complet"</x:formula1>
    </x:dataValidation>
    <x:dataValidation type="list" sqref="H47">
      <x:formula1>"Non commencé,Partiel,Implémenté · QA en cours,Implémenté · QA manuelle,CI à contrôler,Validé CI ciblée,Validé QA complet"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2" hidden="0" customWidth="1"/>
    <x:col min="5" max="5" width="40" hidden="0" customWidth="1"/>
    <x:col min="6" max="6" width="44" hidden="0" customWidth="1"/>
    <x:col min="7" max="7" width="40" hidden="0" customWidth="1"/>
    <x:col min="8" max="8" width="28" hidden="0" customWidth="1"/>
    <x:col min="9" max="9" width="11" hidden="0" customWidth="1"/>
    <x:col min="10" max="10" width="27" hidden="0" customWidth="1"/>
    <x:col min="11" max="11" width="34" hidden="0" customWidth="1"/>
    <x:col min="12" max="12" width="38" hidden="0" customWidth="1"/>
    <x:col min="13" max="13" width="21" hidden="0" customWidth="1"/>
    <x:col min="14" max="14" width="38" hidden="0" customWidth="1"/>
  </x:cols>
  <x:sheetData>
    <x:row r="1" ht="38" customHeight="1">
      <x:c r="A1" s="43" t="str">
        <x:v>V135 — QUATRE MODES EN DÉVELOPPEMENT PARALLÈLE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40" customHeight="1">
      <x:c r="A2" s="46" t="str">
        <x:v>31/10/2026 • PR #44 (sur #43) • 44/44 tests Node, TypeScript et ESLint réussis. Statut 'Validé CI ciblée' ≠ validation navigateur/manette, sauvegarde V85 ni fidélité film 1:1.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ht="32" customHeight="1">
      <x:c r="A4" s="49" t="str">
        <x:v>ID</x:v>
      </x:c>
      <x:c r="B4" s="49" t="str">
        <x:v>Mode</x:v>
      </x:c>
      <x:c r="C4" s="49" t="str">
        <x:v>Axe / système</x:v>
      </x:c>
      <x:c r="D4" s="49" t="str">
        <x:v>Fonction / exigence</x:v>
      </x:c>
      <x:c r="E4" s="49" t="str">
        <x:v>Préconditions</x:v>
      </x:c>
      <x:c r="F4" s="49" t="str">
        <x:v>Preuve de réussite</x:v>
      </x:c>
      <x:c r="G4" s="49" t="str">
        <x:v>Rejet / sauvegarde</x:v>
      </x:c>
      <x:c r="H4" s="49" t="str">
        <x:v>Code / origine</x:v>
      </x:c>
      <x:c r="I4" s="49" t="str">
        <x:v>Priorité</x:v>
      </x:c>
      <x:c r="J4" s="49" t="str">
        <x:v>Statut</x:v>
      </x:c>
      <x:c r="K4" s="49" t="str">
        <x:v>Lore / vérification</x:v>
      </x:c>
      <x:c r="L4" s="49" t="str">
        <x:v>Travail restant</x:v>
      </x:c>
      <x:c r="M4" s="49" t="str">
        <x:v>QA / contrôle</x:v>
      </x:c>
      <x:c r="N4" s="49" t="str">
        <x:v>Source GitHub</x:v>
      </x:c>
    </x:row>
    <x:row r="5" ht="46" customHeight="1">
      <x:c r="A5" s="18" t="str">
        <x:v>CW135-ASS-001</x:v>
      </x:c>
      <x:c r="B5" s="18" t="str">
        <x:v>Assaut latéral</x:v>
      </x:c>
      <x:c r="C5" s="18" t="str">
        <x:v>Défense de ligne V135</x:v>
      </x:c>
      <x:c r="D5" s="18" t="str">
        <x:v>Protection du bastion</x:v>
      </x:c>
      <x:c r="E5" s="18" t="str">
        <x:v>Escouade déjà déployée x≤18, bastion endommagé, 18 AP disponibles</x:v>
      </x:c>
      <x:c r="F5" s="18" t="str">
        <x:v>Une protection calculée par DEF W3-U rétablit max 8 PV, une fois par équipe</x:v>
      </x:c>
      <x:c r="G5" s="18" t="str">
        <x:v>Refus sans coût si bastion intact, hors position, équipe KO ou AP insuffisants</x:v>
      </x:c>
      <x:c r="H5" s="18" t="str">
        <x:v>reinforceWarAssaultLineV135</x:v>
      </x:c>
      <x:c r="I5" s="18" t="str">
        <x:v>P0</x:v>
      </x:c>
      <x:c r="J5" s="18" t="str">
        <x:v>Validé CI ciblée</x:v>
      </x:c>
      <x:c r="K5" s="18" t="str">
        <x:v>Ne pas attribuer ce dispositif aux films</x:v>
      </x:c>
      <x:c r="L5" s="18" t="str">
        <x:v>Collision/tenue réelle, retour d'information manette</x:v>
      </x:c>
      <x:c r="M5" s="18" t="str">
        <x:v>QA-CW135-ASS-01</x:v>
      </x:c>
      <x:c r="N5" s="18" t="str">
        <x:v>https://github.com/darknigthmare/yautja-la-longue-chasse/pull/44</x:v>
      </x:c>
    </x:row>
    <x:row r="6" ht="46" customHeight="1">
      <x:c r="A6" s="18" t="str">
        <x:v>CW135-ASS-002</x:v>
      </x:c>
      <x:c r="B6" s="18" t="str">
        <x:v>Assaut latéral</x:v>
      </x:c>
      <x:c r="C6" s="18" t="str">
        <x:v>Déploiement AP V115</x:v>
      </x:c>
      <x:c r="D6" s="18" t="str">
        <x:v>Engagement progressif</x:v>
      </x:c>
      <x:c r="E6" s="18" t="str">
        <x:v>Équipe existante libre et réservée, AP suffisants</x:v>
      </x:c>
      <x:c r="F6" s="18" t="str">
        <x:v>Coût AP calculé à partir PC; aucun clone de soldat</x:v>
      </x:c>
      <x:c r="G6" s="18" t="str">
        <x:v>Équipe déjà lancée rejetée</x:v>
      </x:c>
      <x:c r="H6" s="18" t="str">
        <x:v>deployAssaultUnitV115</x:v>
      </x:c>
      <x:c r="I6" s="18" t="str">
        <x:v>P0</x:v>
      </x:c>
      <x:c r="J6" s="18" t="str">
        <x:v>Partiel — prototype</x:v>
      </x:c>
      <x:c r="K6" s="18" t="str">
        <x:v>AP mécanique jeu, distinct de PC</x:v>
      </x:c>
      <x:c r="L6" s="18" t="str">
        <x:v>Sprites réels et couloirs de spawn</x:v>
      </x:c>
      <x:c r="M6" s="18" t="str">
        <x:v>QA-CW135-ASS-02</x:v>
      </x:c>
      <x:c r="N6" s="18" t="str">
        <x:v>https://github.com/darknigthmare/yautja-la-longue-chasse/pull/44</x:v>
      </x:c>
    </x:row>
    <x:row r="7" ht="46" customHeight="1">
      <x:c r="A7" s="18" t="str">
        <x:v>CW135-ASS-003</x:v>
      </x:c>
      <x:c r="B7" s="18" t="str">
        <x:v>Assaut latéral</x:v>
      </x:c>
      <x:c r="C7" s="18" t="str">
        <x:v>Attaque concentrée V117</x:v>
      </x:c>
      <x:c r="D7" s="18" t="str">
        <x:v>Portée et consommation</x:v>
      </x:c>
      <x:c r="E7" s="18" t="str">
        <x:v>Escouade déployée et cible à portée W3-U</x:v>
      </x:c>
      <x:c r="F7" s="18" t="str">
        <x:v>Tir spécial unique, 20 AP, cible réellement présente</x:v>
      </x:c>
      <x:c r="G7" s="18" t="str">
        <x:v>Tir hors champ ou même escouade deux fois refusé</x:v>
      </x:c>
      <x:c r="H7" s="18" t="str">
        <x:v>issueWarAssaultSpecialV117</x:v>
      </x:c>
      <x:c r="I7" s="18" t="str">
        <x:v>P0</x:v>
      </x:c>
      <x:c r="J7" s="18" t="str">
        <x:v>Partiel — prototype</x:v>
      </x:c>
      <x:c r="K7" s="18" t="str">
        <x:v>Équipement à vérifier par œuvre</x:v>
      </x:c>
      <x:c r="L7" s="18" t="str">
        <x:v>Effets/sprite par arme; cadence</x:v>
      </x:c>
      <x:c r="M7" s="18" t="str">
        <x:v>QA-CW135-ASS-03</x:v>
      </x:c>
      <x:c r="N7" s="18" t="str">
        <x:v>https://github.com/darknigthmare/yautja-la-longue-chasse/pull/44</x:v>
      </x:c>
    </x:row>
    <x:row r="8" ht="46" customHeight="1">
      <x:c r="A8" s="18" t="str">
        <x:v>CW135-ASS-004</x:v>
      </x:c>
      <x:c r="B8" s="18" t="str">
        <x:v>Assaut latéral</x:v>
      </x:c>
      <x:c r="C8" s="18" t="str">
        <x:v>Cadence d'ordre AP</x:v>
      </x:c>
      <x:c r="D8" s="18" t="str">
        <x:v>Dynamique de déploiement</x:v>
      </x:c>
      <x:c r="E8" s="18" t="str">
        <x:v>AP requis, niveau d'amélioration 1 à 3</x:v>
      </x:c>
      <x:c r="F8" s="18" t="str">
        <x:v>Progression de cadence/taux de réserve contrôlée</x:v>
      </x:c>
      <x:c r="G8" s="18" t="str">
        <x:v>Niveau supérieur à 3 refusé</x:v>
      </x:c>
      <x:c r="H8" s="18" t="str">
        <x:v>upgradeWarAssaultApV117</x:v>
      </x:c>
      <x:c r="I8" s="18" t="str">
        <x:v>P1</x:v>
      </x:c>
      <x:c r="J8" s="18" t="str">
        <x:v>Partiel — prototype</x:v>
      </x:c>
      <x:c r="K8" s="18" t="str">
        <x:v>Mécanisme expérimental</x:v>
      </x:c>
      <x:c r="L8" s="18" t="str">
        <x:v>Équilibrage dynamique</x:v>
      </x:c>
      <x:c r="M8" s="18" t="str">
        <x:v>QA-CW135-ASS-04</x:v>
      </x:c>
      <x:c r="N8" s="18" t="str">
        <x:v>https://github.com/darknigthmare/yautja-la-longue-chasse/pull/44</x:v>
      </x:c>
    </x:row>
    <x:row r="9" ht="46" customHeight="1">
      <x:c r="A9" s="18" t="str">
        <x:v>CW135-ASS-005</x:v>
      </x:c>
      <x:c r="B9" s="18" t="str">
        <x:v>Assaut latéral</x:v>
      </x:c>
      <x:c r="C9" s="18" t="str">
        <x:v>Contrôle des arrivées rivales</x:v>
      </x:c>
      <x:c r="D9" s="18" t="str">
        <x:v>Renforts cohérents</x:v>
      </x:c>
      <x:c r="E9" s="18" t="str">
        <x:v>Intervalle du scénario et effectifs de la source</x:v>
      </x:c>
      <x:c r="F9" s="18" t="str">
        <x:v>Le nombre d'adversaires actifs ne dépasse pas le budget et le niveau</x:v>
      </x:c>
      <x:c r="G9" s="18" t="str">
        <x:v>Pas de génération infinie hors contrat</x:v>
      </x:c>
      <x:c r="H9" s="18" t="str">
        <x:v>stepAssaultV115</x:v>
      </x:c>
      <x:c r="I9" s="18" t="str">
        <x:v>P0</x:v>
      </x:c>
      <x:c r="J9" s="18" t="str">
        <x:v>Partiel — prototype</x:v>
      </x:c>
      <x:c r="K9" s="18" t="str">
        <x:v>Aucune garnison filmique inventée</x:v>
      </x:c>
      <x:c r="L9" s="18" t="str">
        <x:v>Brancher IA W3 source plutôt que roster générique</x:v>
      </x:c>
      <x:c r="M9" s="18" t="str">
        <x:v>QA-CW135-ASS-05</x:v>
      </x:c>
      <x:c r="N9" s="18" t="str">
        <x:v>https://github.com/darknigthmare/yautja-la-longue-chasse/pull/44</x:v>
      </x:c>
    </x:row>
    <x:row r="10" ht="46" customHeight="1">
      <x:c r="A10" s="18" t="str">
        <x:v>CW135-ASS-006</x:v>
      </x:c>
      <x:c r="B10" s="18" t="str">
        <x:v>Assaut latéral</x:v>
      </x:c>
      <x:c r="C10" s="18" t="str">
        <x:v>Résistance des remparts</x:v>
      </x:c>
      <x:c r="D10" s="18" t="str">
        <x:v>Dégâts et réparations</x:v>
      </x:c>
      <x:c r="E10" s="18" t="str">
        <x:v>Proximité physique des bastions</x:v>
      </x:c>
      <x:c r="F10" s="18" t="str">
        <x:v>Les actions défensives affectent uniquement le camp allié</x:v>
      </x:c>
      <x:c r="G10" s="18" t="str">
        <x:v>Pas d'HP infinis ni réparation à distance</x:v>
      </x:c>
      <x:c r="H10" s="18" t="str">
        <x:v>stepAssaultV115</x:v>
      </x:c>
      <x:c r="I10" s="18" t="str">
        <x:v>P0</x:v>
      </x:c>
      <x:c r="J10" s="18" t="str">
        <x:v>À développer</x:v>
      </x:c>
      <x:c r="K10" s="18" t="str">
        <x:v>Fortification originale du jeu</x:v>
      </x:c>
      <x:c r="L10" s="18" t="str">
        <x:v>Blocage/pression et destructibilité</x:v>
      </x:c>
      <x:c r="M10" s="18" t="str">
        <x:v>QA-CW135-ASS-06</x:v>
      </x:c>
      <x:c r="N10" s="18" t="str">
        <x:v>https://github.com/darknigthmare/yautja-la-longue-chasse/pull/44</x:v>
      </x:c>
    </x:row>
    <x:row r="11" ht="46" customHeight="1">
      <x:c r="A11" s="18" t="str">
        <x:v>CW135-ASS-007</x:v>
      </x:c>
      <x:c r="B11" s="18" t="str">
        <x:v>Assaut latéral</x:v>
      </x:c>
      <x:c r="C11" s="18" t="str">
        <x:v>Voies hautes et basses</x:v>
      </x:c>
      <x:c r="D11" s="18" t="str">
        <x:v>Level design latéral</x:v>
      </x:c>
      <x:c r="E11" s="18" t="str">
        <x:v>Biomes région/planète associés</x:v>
      </x:c>
      <x:c r="F11" s="18" t="str">
        <x:v>Au moins deux chemins et couverts physiques distincts</x:v>
      </x:c>
      <x:c r="G11" s="18" t="str">
        <x:v>Pas de personnages traversant sols et murs</x:v>
      </x:c>
      <x:c r="H11" s="18" t="str">
        <x:v>world generator V125</x:v>
      </x:c>
      <x:c r="I11" s="18" t="str">
        <x:v>P0</x:v>
      </x:c>
      <x:c r="J11" s="18" t="str">
        <x:v>À développer</x:v>
      </x:c>
      <x:c r="K11" s="18" t="str">
        <x:v>Reliefs compatibles planètes</x:v>
      </x:c>
      <x:c r="L11" s="18" t="str">
        <x:v>Tuiles, parallax, collisions</x:v>
      </x:c>
      <x:c r="M11" s="18" t="str">
        <x:v>QA-CW135-ASS-06</x:v>
      </x:c>
      <x:c r="N11" s="18" t="str">
        <x:v>https://github.com/darknigthmare/yautja-la-longue-chasse/pull/44</x:v>
      </x:c>
    </x:row>
    <x:row r="12" ht="46" customHeight="1">
      <x:c r="A12" s="18" t="str">
        <x:v>CW135-ASS-008</x:v>
      </x:c>
      <x:c r="B12" s="18" t="str">
        <x:v>Assaut latéral</x:v>
      </x:c>
      <x:c r="C12" s="18" t="str">
        <x:v>Contre-attaques variées</x:v>
      </x:c>
      <x:c r="D12" s="18" t="str">
        <x:v>Tactiques adverses</x:v>
      </x:c>
      <x:c r="E12" s="18" t="str">
        <x:v>Profils W3-U/continuité corrects</x:v>
      </x:c>
      <x:c r="F12" s="18" t="str">
        <x:v>Priorités à portée, recul, protection objective</x:v>
      </x:c>
      <x:c r="G12" s="18" t="str">
        <x:v>Ni attaque à travers couverture ni omniscience</x:v>
      </x:c>
      <x:c r="H12" s="18" t="str">
        <x:v>clanWarEncounterDirectorV127</x:v>
      </x:c>
      <x:c r="I12" s="18" t="str">
        <x:v>P0</x:v>
      </x:c>
      <x:c r="J12" s="18" t="str">
        <x:v>À développer</x:v>
      </x:c>
      <x:c r="K12" s="18" t="str">
        <x:v>Unités W3 originales, lore référencé</x:v>
      </x:c>
      <x:c r="L12" s="18" t="str">
        <x:v>IA latérale et variantes</x:v>
      </x:c>
      <x:c r="M12" s="18" t="str">
        <x:v>QA-CW135-ASS-06</x:v>
      </x:c>
      <x:c r="N12" s="18" t="str">
        <x:v>https://github.com/darknigthmare/yautja-la-longue-chasse/pull/44</x:v>
      </x:c>
    </x:row>
    <x:row r="13" ht="46" customHeight="1">
      <x:c r="A13" s="18" t="str">
        <x:v>CW135-ASS-009</x:v>
      </x:c>
      <x:c r="B13" s="18" t="str">
        <x:v>Assaut latéral</x:v>
      </x:c>
      <x:c r="C13" s="18" t="str">
        <x:v>Transport de ressources</x:v>
      </x:c>
      <x:c r="D13" s="18" t="str">
        <x:v>Réserves de bataille</x:v>
      </x:c>
      <x:c r="E13" s="18" t="str">
        <x:v>RAV V6 réellement disponibles</x:v>
      </x:c>
      <x:c r="F13" s="18" t="str">
        <x:v>Convoyage et coût unique par équipe</x:v>
      </x:c>
      <x:c r="G13" s="18" t="str">
        <x:v>Aucun ravitaillement magique</x:v>
      </x:c>
      <x:c r="H13" s="18" t="str">
        <x:v>clanWarBibleV6</x:v>
      </x:c>
      <x:c r="I13" s="18" t="str">
        <x:v>P1</x:v>
      </x:c>
      <x:c r="J13" s="18" t="str">
        <x:v>À développer</x:v>
      </x:c>
      <x:c r="K13" s="18" t="str">
        <x:v>Économie jeu</x:v>
      </x:c>
      <x:c r="L13" s="18" t="str">
        <x:v>UI logistique et événements</x:v>
      </x:c>
      <x:c r="M13" s="18" t="str">
        <x:v>QA-CW135-ASS-06</x:v>
      </x:c>
      <x:c r="N13" s="18" t="str">
        <x:v>https://github.com/darknigthmare/yautja-la-longue-chasse/pull/44</x:v>
      </x:c>
    </x:row>
    <x:row r="14" ht="46" customHeight="1">
      <x:c r="A14" s="18" t="str">
        <x:v>CW135-ASS-010</x:v>
      </x:c>
      <x:c r="B14" s="18" t="str">
        <x:v>Assaut latéral</x:v>
      </x:c>
      <x:c r="C14" s="18" t="str">
        <x:v>Multijoueur assaut</x:v>
      </x:c>
      <x:c r="D14" s="18" t="str">
        <x:v>Coop et clans adverses</x:v>
      </x:c>
      <x:c r="E14" s="18" t="str">
        <x:v>Comptes/serveur autoritaire</x:v>
      </x:c>
      <x:c r="F14" s="18" t="str">
        <x:v>Ordres cohérents entre clients</x:v>
      </x:c>
      <x:c r="G14" s="18" t="str">
        <x:v>Aucun client n'attribue dégâts locaux</x:v>
      </x:c>
      <x:c r="H14" s="18" t="str">
        <x:v>clanWarMultiplayerV126</x:v>
      </x:c>
      <x:c r="I14" s="18" t="str">
        <x:v>P0</x:v>
      </x:c>
      <x:c r="J14" s="18" t="str">
        <x:v>À développer</x:v>
      </x:c>
      <x:c r="K14" s="18" t="str">
        <x:v>Conflit inventé si non sourcé</x:v>
      </x:c>
      <x:c r="L14" s="18" t="str">
        <x:v>Transport réseau, anti-triche</x:v>
      </x:c>
      <x:c r="M14" s="18" t="str">
        <x:v>QA-CW135-ASS-06</x:v>
      </x:c>
      <x:c r="N14" s="18" t="str">
        <x:v>https://github.com/darknigthmare/yautja-la-longue-chasse/pull/44</x:v>
      </x:c>
    </x:row>
    <x:row r="15" ht="46" customHeight="1">
      <x:c r="A15" s="18" t="str">
        <x:v>CW135-ASS-011</x:v>
      </x:c>
      <x:c r="B15" s="18" t="str">
        <x:v>Assaut latéral</x:v>
      </x:c>
      <x:c r="C15" s="18" t="str">
        <x:v>Raccord campagne</x:v>
      </x:c>
      <x:c r="D15" s="18" t="str">
        <x:v>Identités et résultats</x:v>
      </x:c>
      <x:c r="E15" s="18" t="str">
        <x:v>Contrat V85/V6, preuve de victoire</x:v>
      </x:c>
      <x:c r="F15" s="18" t="str">
        <x:v>Reçus idempotents, soldats et blessures persistants</x:v>
      </x:c>
      <x:c r="G15" s="18" t="str">
        <x:v>Refus des doubles récompenses</x:v>
      </x:c>
      <x:c r="H15" s="18" t="str">
        <x:v>WarSimulationV85</x:v>
      </x:c>
      <x:c r="I15" s="18" t="str">
        <x:v>P0</x:v>
      </x:c>
      <x:c r="J15" s="18" t="str">
        <x:v>À développer</x:v>
      </x:c>
      <x:c r="K15" s="18" t="str">
        <x:v>Aucune annexion automatique</x:v>
      </x:c>
      <x:c r="L15" s="18" t="str">
        <x:v>Modèle de conversion et migrations</x:v>
      </x:c>
      <x:c r="M15" s="18" t="str">
        <x:v>QA-CW135-ASS-06</x:v>
      </x:c>
      <x:c r="N15" s="18" t="str">
        <x:v>https://github.com/darknigthmare/yautja-la-longue-chasse/pull/44</x:v>
      </x:c>
    </x:row>
    <x:row r="16" ht="46" customHeight="1">
      <x:c r="A16" s="18" t="str">
        <x:v>CW135-ASS-012</x:v>
      </x:c>
      <x:c r="B16" s="18" t="str">
        <x:v>Assaut latéral</x:v>
      </x:c>
      <x:c r="C16" s="18" t="str">
        <x:v>Art et animation 1:1</x:v>
      </x:c>
      <x:c r="D16" s="18" t="str">
        <x:v>Sprites et équipements</x:v>
      </x:c>
      <x:c r="E16" s="18" t="str">
        <x:v>Référence film/comic/PHG par costume</x:v>
      </x:c>
      <x:c r="F16" s="18" t="str">
        <x:v>Animation, masque, peau et armes validés</x:v>
      </x:c>
      <x:c r="G16" s="18" t="str">
        <x:v>Asset absent explicitement provisoire</x:v>
      </x:c>
      <x:c r="H16" s="18" t="str">
        <x:v>asset roster PHG</x:v>
      </x:c>
      <x:c r="I16" s="18" t="str">
        <x:v>P1</x:v>
      </x:c>
      <x:c r="J16" s="18" t="str">
        <x:v>À développer</x:v>
      </x:c>
      <x:c r="K16" s="18" t="str">
        <x:v>Œuvre et continuité explicitement indiquées</x:v>
      </x:c>
      <x:c r="L16" s="18" t="str">
        <x:v>Exports PNG isolés et QA visuelle</x:v>
      </x:c>
      <x:c r="M16" s="18" t="str">
        <x:v>QA-CW135-ASS-06</x:v>
      </x:c>
      <x:c r="N16" s="18" t="str">
        <x:v>https://github.com/darknigthmare/yautja-la-longue-chasse/pull/44</x:v>
      </x:c>
    </x:row>
    <x:row r="17" ht="46" customHeight="1">
      <x:c r="A17" s="18" t="str">
        <x:v>CW135-OUT-001</x:v>
      </x:c>
      <x:c r="B17" s="18" t="str">
        <x:v>Outer Ops</x:v>
      </x:c>
      <x:c r="C17" s="18" t="str">
        <x:v>Réorientation V135</x:v>
      </x:c>
      <x:c r="D17" s="18" t="str">
        <x:v>Mandat reprogrammable</x:v>
      </x:c>
      <x:c r="E17" s="18" t="str">
        <x:v>Consigne alternative avant mi-parcours, une seule fois</x:v>
      </x:c>
      <x:c r="F17" s="18" t="str">
        <x:v>Même deadline, route, équipe et coût; résultat au rapport</x:v>
      </x:c>
      <x:c r="G17" s="18" t="str">
        <x:v>Rejet après moitié, après rappel ou double consigne</x:v>
      </x:c>
      <x:c r="H17" s="18" t="str">
        <x:v>redirectWarOuterOpsV135</x:v>
      </x:c>
      <x:c r="I17" s="18" t="str">
        <x:v>P0</x:v>
      </x:c>
      <x:c r="J17" s="18" t="str">
        <x:v>Validé CI ciblée</x:v>
      </x:c>
      <x:c r="K17" s="18" t="str">
        <x:v>Protocole propre au jeu</x:v>
      </x:c>
      <x:c r="L17" s="18" t="str">
        <x:v>Interface de journal et réseau</x:v>
      </x:c>
      <x:c r="M17" s="18" t="str">
        <x:v>QA-CW135-OUT-01</x:v>
      </x:c>
      <x:c r="N17" s="18" t="str">
        <x:v>https://github.com/darknigthmare/yautja-la-longue-chasse/pull/44</x:v>
      </x:c>
    </x:row>
    <x:row r="18" ht="46" customHeight="1">
      <x:c r="A18" s="18" t="str">
        <x:v>CW135-OUT-002</x:v>
      </x:c>
      <x:c r="B18" s="18" t="str">
        <x:v>Outer Ops</x:v>
      </x:c>
      <x:c r="C18" s="18" t="str">
        <x:v>Mandat asynchrone</x:v>
      </x:c>
      <x:c r="D18" s="18" t="str">
        <x:v>Durée physique différée</x:v>
      </x:c>
      <x:c r="E18" s="18" t="str">
        <x:v>Équipe existante et trajet V6</x:v>
      </x:c>
      <x:c r="F18" s="18" t="str">
        <x:v>DueAt stable et reprise après fermeture de panneau</x:v>
      </x:c>
      <x:c r="G18" s="18" t="str">
        <x:v>Pas de retour/rapport anticipé</x:v>
      </x:c>
      <x:c r="H18" s="18" t="str">
        <x:v>beginWarOperationV115</x:v>
      </x:c>
      <x:c r="I18" s="18" t="str">
        <x:v>P0</x:v>
      </x:c>
      <x:c r="J18" s="18" t="str">
        <x:v>Partiel — prototype</x:v>
      </x:c>
      <x:c r="K18" s="18" t="str">
        <x:v>Durées conversions exercices</x:v>
      </x:c>
      <x:c r="L18" s="18" t="str">
        <x:v>Horloge serveur anti-falsification</x:v>
      </x:c>
      <x:c r="M18" s="18" t="str">
        <x:v>QA-CW135-OUT-02</x:v>
      </x:c>
      <x:c r="N18" s="18" t="str">
        <x:v>https://github.com/darknigthmare/yautja-la-longue-chasse/pull/44</x:v>
      </x:c>
    </x:row>
    <x:row r="19" ht="46" customHeight="1">
      <x:c r="A19" s="18" t="str">
        <x:v>CW135-OUT-003</x:v>
      </x:c>
      <x:c r="B19" s="18" t="str">
        <x:v>Outer Ops</x:v>
      </x:c>
      <x:c r="C19" s="18" t="str">
        <x:v>Rapports à 3 échanges</x:v>
      </x:c>
      <x:c r="D19" s="18" t="str">
        <x:v>Déroulement des missions</x:v>
      </x:c>
      <x:c r="E19" s="18" t="str">
        <x:v>Doctrine, force, menace, routes</x:v>
      </x:c>
      <x:c r="F19" s="18" t="str">
        <x:v>Compte rendu détaillé de 3 phases</x:v>
      </x:c>
      <x:c r="G19" s="18" t="str">
        <x:v>Pas de bataille fictive pendant rappel</x:v>
      </x:c>
      <x:c r="H19" s="18" t="str">
        <x:v>simulateWarOuterMissionV115</x:v>
      </x:c>
      <x:c r="I19" s="18" t="str">
        <x:v>P0</x:v>
      </x:c>
      <x:c r="J19" s="18" t="str">
        <x:v>Partiel — prototype</x:v>
      </x:c>
      <x:c r="K19" s="18" t="str">
        <x:v>Sources W3 V6 originales</x:v>
      </x:c>
      <x:c r="L19" s="18" t="str">
        <x:v>Rapports contextuels de chaque secteur</x:v>
      </x:c>
      <x:c r="M19" s="18" t="str">
        <x:v>QA-CW135-OUT-03</x:v>
      </x:c>
      <x:c r="N19" s="18" t="str">
        <x:v>https://github.com/darknigthmare/yautja-la-longue-chasse/pull/44</x:v>
      </x:c>
    </x:row>
    <x:row r="20" ht="46" customHeight="1">
      <x:c r="A20" s="18" t="str">
        <x:v>CW135-OUT-004</x:v>
      </x:c>
      <x:c r="B20" s="18" t="str">
        <x:v>Outer Ops</x:v>
      </x:c>
      <x:c r="C20" s="18" t="str">
        <x:v>Rappel différé</x:v>
      </x:c>
      <x:c r="D20" s="18" t="str">
        <x:v>Retour de détachement</x:v>
      </x:c>
      <x:c r="E20" s="18" t="str">
        <x:v>Ordre actif non arrivé à échéance</x:v>
      </x:c>
      <x:c r="F20" s="18" t="str">
        <x:v>Temps de retour et indisponibilité conservés</x:v>
      </x:c>
      <x:c r="G20" s="18" t="str">
        <x:v>Pas de blessure ou XP fictive au rappel</x:v>
      </x:c>
      <x:c r="H20" s="18" t="str">
        <x:v>recallWarOuterMissionV116</x:v>
      </x:c>
      <x:c r="I20" s="18" t="str">
        <x:v>P0</x:v>
      </x:c>
      <x:c r="J20" s="18" t="str">
        <x:v>Partiel — prototype</x:v>
      </x:c>
      <x:c r="K20" s="18" t="str">
        <x:v>Repli original jeu</x:v>
      </x:c>
      <x:c r="L20" s="18" t="str">
        <x:v>Visualiser route retour</x:v>
      </x:c>
      <x:c r="M20" s="18" t="str">
        <x:v>QA-CW135-OUT-04</x:v>
      </x:c>
      <x:c r="N20" s="18" t="str">
        <x:v>https://github.com/darknigthmare/yautja-la-longue-chasse/pull/44</x:v>
      </x:c>
    </x:row>
    <x:row r="21" ht="46" customHeight="1">
      <x:c r="A21" s="18" t="str">
        <x:v>CW135-OUT-005</x:v>
      </x:c>
      <x:c r="B21" s="18" t="str">
        <x:v>Outer Ops</x:v>
      </x:c>
      <x:c r="C21" s="18" t="str">
        <x:v>Identité/occupation des membres</x:v>
      </x:c>
      <x:c r="D21" s="18" t="str">
        <x:v>Réservation d'équipe</x:v>
      </x:c>
      <x:c r="E21" s="18" t="str">
        <x:v>1 à 3 mandats simultanés</x:v>
      </x:c>
      <x:c r="F21" s="18" t="str">
        <x:v>Équipe engagée non réutilisable</x:v>
      </x:c>
      <x:c r="G21" s="18" t="str">
        <x:v>Doublon d'affectation refusé</x:v>
      </x:c>
      <x:c r="H21" s="18" t="str">
        <x:v>WarOperationsStateV115</x:v>
      </x:c>
      <x:c r="I21" s="18" t="str">
        <x:v>P0</x:v>
      </x:c>
      <x:c r="J21" s="18" t="str">
        <x:v>Partiel — prototype</x:v>
      </x:c>
      <x:c r="K21" s="18" t="str">
        <x:v>Règles V6 distinctes des clans films</x:v>
      </x:c>
      <x:c r="L21" s="18" t="str">
        <x:v>Raccord campagne à authentifier</x:v>
      </x:c>
      <x:c r="M21" s="18" t="str">
        <x:v>QA-CW135-OUT-05</x:v>
      </x:c>
      <x:c r="N21" s="18" t="str">
        <x:v>https://github.com/darknigthmare/yautja-la-longue-chasse/pull/44</x:v>
      </x:c>
    </x:row>
    <x:row r="22" ht="46" customHeight="1">
      <x:c r="A22" s="18" t="str">
        <x:v>CW135-OUT-006</x:v>
      </x:c>
      <x:c r="B22" s="18" t="str">
        <x:v>Outer Ops</x:v>
      </x:c>
      <x:c r="C22" s="18" t="str">
        <x:v>Consommation RAV</x:v>
      </x:c>
      <x:c r="D22" s="18" t="str">
        <x:v>Coût de mission</x:v>
      </x:c>
      <x:c r="E22" s="18" t="str">
        <x:v>Entretien W3-U calculé au départ</x:v>
      </x:c>
      <x:c r="F22" s="18" t="str">
        <x:v>Un paiement, pas de frais caché à reconfiguration</x:v>
      </x:c>
      <x:c r="G22" s="18" t="str">
        <x:v>Insuffisance RAV refuse mandat</x:v>
      </x:c>
      <x:c r="H22" s="18" t="str">
        <x:v>warMissionEligibleV115</x:v>
      </x:c>
      <x:c r="I22" s="18" t="str">
        <x:v>P0</x:v>
      </x:c>
      <x:c r="J22" s="18" t="str">
        <x:v>Partiel — prototype</x:v>
      </x:c>
      <x:c r="K22" s="18" t="str">
        <x:v>Économie V6 jeu</x:v>
      </x:c>
      <x:c r="L22" s="18" t="str">
        <x:v>Dépôts et logistique persistants</x:v>
      </x:c>
      <x:c r="M22" s="18" t="str">
        <x:v>QA-CW135-OUT-06</x:v>
      </x:c>
      <x:c r="N22" s="18" t="str">
        <x:v>https://github.com/darknigthmare/yautja-la-longue-chasse/pull/44</x:v>
      </x:c>
    </x:row>
    <x:row r="23" ht="46" customHeight="1">
      <x:c r="A23" s="18" t="str">
        <x:v>CW135-OUT-007</x:v>
      </x:c>
      <x:c r="B23" s="18" t="str">
        <x:v>Outer Ops</x:v>
      </x:c>
      <x:c r="C23" s="18" t="str">
        <x:v>Route sous menace</x:v>
      </x:c>
      <x:c r="D23" s="18" t="str">
        <x:v>Interception de passage</x:v>
      </x:c>
      <x:c r="E23" s="18" t="str">
        <x:v>Passages contrôlés, capacité PC</x:v>
      </x:c>
      <x:c r="F23" s="18" t="str">
        <x:v>Événement route avec résultat localisé</x:v>
      </x:c>
      <x:c r="G23" s="18" t="str">
        <x:v>Pas de traversée d'ouvrage bloqué</x:v>
      </x:c>
      <x:c r="H23" s="18" t="str">
        <x:v>planWarRouteV6</x:v>
      </x:c>
      <x:c r="I23" s="18" t="str">
        <x:v>P0</x:v>
      </x:c>
      <x:c r="J23" s="18" t="str">
        <x:v>À développer</x:v>
      </x:c>
      <x:c r="K23" s="18" t="str">
        <x:v>Géographie de planète validée</x:v>
      </x:c>
      <x:c r="L23" s="18" t="str">
        <x:v>Incidents physiques de convoi</x:v>
      </x:c>
      <x:c r="M23" s="18" t="str">
        <x:v>QA-CW135-OUT-06</x:v>
      </x:c>
      <x:c r="N23" s="18" t="str">
        <x:v>https://github.com/darknigthmare/yautja-la-longue-chasse/pull/44</x:v>
      </x:c>
    </x:row>
    <x:row r="24" ht="46" customHeight="1">
      <x:c r="A24" s="18" t="str">
        <x:v>CW135-OUT-008</x:v>
      </x:c>
      <x:c r="B24" s="18" t="str">
        <x:v>Outer Ops</x:v>
      </x:c>
      <x:c r="C24" s="18" t="str">
        <x:v>Mandats personnalisés</x:v>
      </x:c>
      <x:c r="D24" s="18" t="str">
        <x:v>Recon/escort/intercept</x:v>
      </x:c>
      <x:c r="E24" s="18" t="str">
        <x:v>Ordres tactiques explicités</x:v>
      </x:c>
      <x:c r="F24" s="18" t="str">
        <x:v>Objectif et résultat unique par catégorie</x:v>
      </x:c>
      <x:c r="G24" s="18" t="str">
        <x:v>Pas de changement de faction ou gain gratuit</x:v>
      </x:c>
      <x:c r="H24" s="18" t="str">
        <x:v>WarOuterMissionV115</x:v>
      </x:c>
      <x:c r="I24" s="18" t="str">
        <x:v>P1</x:v>
      </x:c>
      <x:c r="J24" s="18" t="str">
        <x:v>Partiel — prototype</x:v>
      </x:c>
      <x:c r="K24" s="18" t="str">
        <x:v>Noms contextuels lore friendly</x:v>
      </x:c>
      <x:c r="L24" s="18" t="str">
        <x:v>Fiches narrative étendues</x:v>
      </x:c>
      <x:c r="M24" s="18" t="str">
        <x:v>QA-CW135-OUT-06</x:v>
      </x:c>
      <x:c r="N24" s="18" t="str">
        <x:v>https://github.com/darknigthmare/yautja-la-longue-chasse/pull/44</x:v>
      </x:c>
    </x:row>
    <x:row r="25" ht="46" customHeight="1">
      <x:c r="A25" s="18" t="str">
        <x:v>CW135-OUT-009</x:v>
      </x:c>
      <x:c r="B25" s="18" t="str">
        <x:v>Outer Ops</x:v>
      </x:c>
      <x:c r="C25" s="18" t="str">
        <x:v>Doctrine et Conseil</x:v>
      </x:c>
      <x:c r="D25" s="18" t="str">
        <x:v>Conséquences de décision</x:v>
      </x:c>
      <x:c r="E25" s="18" t="str">
        <x:v>Accords V6 et clan choisi</x:v>
      </x:c>
      <x:c r="F25" s="18" t="str">
        <x:v>Décisions politiques et prestige calibrés</x:v>
      </x:c>
      <x:c r="G25" s="18" t="str">
        <x:v>Aucune conséquence sans événement réel</x:v>
      </x:c>
      <x:c r="H25" s="18" t="str">
        <x:v>W3-DIP / W3-CL</x:v>
      </x:c>
      <x:c r="I25" s="18" t="str">
        <x:v>P1</x:v>
      </x:c>
      <x:c r="J25" s="18" t="str">
        <x:v>À développer</x:v>
      </x:c>
      <x:c r="K25" s="18" t="str">
        <x:v>Canon par œuvre et continuité</x:v>
      </x:c>
      <x:c r="L25" s="18" t="str">
        <x:v>Règles diplomatiques</x:v>
      </x:c>
      <x:c r="M25" s="18" t="str">
        <x:v>QA-CW135-OUT-06</x:v>
      </x:c>
      <x:c r="N25" s="18" t="str">
        <x:v>https://github.com/darknigthmare/yautja-la-longue-chasse/pull/44</x:v>
      </x:c>
    </x:row>
    <x:row r="26" ht="46" customHeight="1">
      <x:c r="A26" s="18" t="str">
        <x:v>CW135-OUT-010</x:v>
      </x:c>
      <x:c r="B26" s="18" t="str">
        <x:v>Outer Ops</x:v>
      </x:c>
      <x:c r="C26" s="18" t="str">
        <x:v>Risques environnementaux</x:v>
      </x:c>
      <x:c r="D26" s="18" t="str">
        <x:v>Biomes et météo</x:v>
      </x:c>
      <x:c r="E26" s="18" t="str">
        <x:v>Monde et climat enregistrés</x:v>
      </x:c>
      <x:c r="F26" s="18" t="str">
        <x:v>Retard ou détour logiquement causé</x:v>
      </x:c>
      <x:c r="G26" s="18" t="str">
        <x:v>Pas de gel dans désert chaud</x:v>
      </x:c>
      <x:c r="H26" s="18" t="str">
        <x:v>clanWarWorldClimateV126</x:v>
      </x:c>
      <x:c r="I26" s="18" t="str">
        <x:v>P0</x:v>
      </x:c>
      <x:c r="J26" s="18" t="str">
        <x:v>À développer</x:v>
      </x:c>
      <x:c r="K26" s="18" t="str">
        <x:v>Fidélité biologique et météo</x:v>
      </x:c>
      <x:c r="L26" s="18" t="str">
        <x:v>Fenêtres saisonnières</x:v>
      </x:c>
      <x:c r="M26" s="18" t="str">
        <x:v>QA-CW135-OUT-06</x:v>
      </x:c>
      <x:c r="N26" s="18" t="str">
        <x:v>https://github.com/darknigthmare/yautja-la-longue-chasse/pull/44</x:v>
      </x:c>
    </x:row>
    <x:row r="27" ht="46" customHeight="1">
      <x:c r="A27" s="18" t="str">
        <x:v>CW135-OUT-011</x:v>
      </x:c>
      <x:c r="B27" s="18" t="str">
        <x:v>Outer Ops</x:v>
      </x:c>
      <x:c r="C27" s="18" t="str">
        <x:v>Multijoueur asynchrone</x:v>
      </x:c>
      <x:c r="D27" s="18" t="str">
        <x:v>Serveur de mandats</x:v>
      </x:c>
      <x:c r="E27" s="18" t="str">
        <x:v>Compte joueur et chef de clan</x:v>
      </x:c>
      <x:c r="F27" s="18" t="str">
        <x:v>Départ/résultat signé côté serveur</x:v>
      </x:c>
      <x:c r="G27" s="18" t="str">
        <x:v>Rejeu/retrait côté client rejetés</x:v>
      </x:c>
      <x:c r="H27" s="18" t="str">
        <x:v>clanWarMultiplayerV126</x:v>
      </x:c>
      <x:c r="I27" s="18" t="str">
        <x:v>P0</x:v>
      </x:c>
      <x:c r="J27" s="18" t="str">
        <x:v>À développer</x:v>
      </x:c>
      <x:c r="K27" s="18" t="str">
        <x:v>Règles W3 créatives</x:v>
      </x:c>
      <x:c r="L27" s="18" t="str">
        <x:v>Backend transport et signatures</x:v>
      </x:c>
      <x:c r="M27" s="18" t="str">
        <x:v>QA-CW135-OUT-06</x:v>
      </x:c>
      <x:c r="N27" s="18" t="str">
        <x:v>https://github.com/darknigthmare/yautja-la-longue-chasse/pull/44</x:v>
      </x:c>
    </x:row>
    <x:row r="28" ht="46" customHeight="1">
      <x:c r="A28" s="18" t="str">
        <x:v>CW135-OUT-012</x:v>
      </x:c>
      <x:c r="B28" s="18" t="str">
        <x:v>Outer Ops</x:v>
      </x:c>
      <x:c r="C28" s="18" t="str">
        <x:v>Sauvegarde V85</x:v>
      </x:c>
      <x:c r="D28" s="18" t="str">
        <x:v>Campagne globale</x:v>
      </x:c>
      <x:c r="E28" s="18" t="str">
        <x:v>Mapping membres/territoires/XP</x:v>
      </x:c>
      <x:c r="F28" s="18" t="str">
        <x:v>Preuve unique et garnison réelle mise à jour</x:v>
      </x:c>
      <x:c r="G28" s="18" t="str">
        <x:v>Aucune annexion automatique</x:v>
      </x:c>
      <x:c r="H28" s="18" t="str">
        <x:v>WarSimulationV85</x:v>
      </x:c>
      <x:c r="I28" s="18" t="str">
        <x:v>P0</x:v>
      </x:c>
      <x:c r="J28" s="18" t="str">
        <x:v>À développer</x:v>
      </x:c>
      <x:c r="K28" s="18" t="str">
        <x:v>Ne pas faire passer créations jeu pour film canon</x:v>
      </x:c>
      <x:c r="L28" s="18" t="str">
        <x:v>API transactionnelle validée</x:v>
      </x:c>
      <x:c r="M28" s="18" t="str">
        <x:v>QA-CW135-OUT-06</x:v>
      </x:c>
      <x:c r="N28" s="18" t="str">
        <x:v>https://github.com/darknigthmare/yautja-la-longue-chasse/pull/44</x:v>
      </x:c>
    </x:row>
    <x:row r="29" ht="46" customHeight="1">
      <x:c r="A29" s="18" t="str">
        <x:v>CW135-INF-001</x:v>
      </x:c>
      <x:c r="B29" s="18" t="str">
        <x:v>Infiltration / sabotage</x:v>
      </x:c>
      <x:c r="C29" s="18" t="str">
        <x:v>Diversion sonore V135</x:v>
      </x:c>
      <x:c r="D29" s="18" t="str">
        <x:v>Patrouille réactive</x:v>
      </x:c>
      <x:c r="E29" s="18" t="str">
        <x:v>Pisteur visible, 2 énergie, une fois</x:v>
      </x:c>
      <x:c r="F29" s="18" t="str">
        <x:v>Patrouille suit le bruit durant 3 décisions, sans téléportation</x:v>
      </x:c>
      <x:c r="G29" s="18" t="str">
        <x:v>Refus si camouflé, énergie trop basse ou déjà utilisée</x:v>
      </x:c>
      <x:c r="H29" s="18" t="str">
        <x:v>commandStealthV115(decoy)</x:v>
      </x:c>
      <x:c r="I29" s="18" t="str">
        <x:v>P0</x:v>
      </x:c>
      <x:c r="J29" s="18" t="str">
        <x:v>Validé CI ciblée</x:v>
      </x:c>
      <x:c r="K29" s="18" t="str">
        <x:v>Signal sonore original du jeu</x:v>
      </x:c>
      <x:c r="L29" s="18" t="str">
        <x:v>Anim/audio et IA acoustique spatiale</x:v>
      </x:c>
      <x:c r="M29" s="18" t="str">
        <x:v>QA-CW135-INF-01</x:v>
      </x:c>
      <x:c r="N29" s="18" t="str">
        <x:v>https://github.com/darknigthmare/yautja-la-longue-chasse/pull/44</x:v>
      </x:c>
    </x:row>
    <x:row r="30" ht="46" customHeight="1">
      <x:c r="A30" s="18" t="str">
        <x:v>CW135-INF-002</x:v>
      </x:c>
      <x:c r="B30" s="18" t="str">
        <x:v>Infiltration / sabotage</x:v>
      </x:c>
      <x:c r="C30" s="18" t="str">
        <x:v>Attente tactique V135</x:v>
      </x:c>
      <x:c r="D30" s="18" t="str">
        <x:v>Gestion d'énergie</x:v>
      </x:c>
      <x:c r="E30" s="18" t="str">
        <x:v>Pisteur hors ligne de vue, non camouflé</x:v>
      </x:c>
      <x:c r="F30" s="18" t="str">
        <x:v>Récupère 1 point batterie, au plus 5</x:v>
      </x:c>
      <x:c r="G30" s="18" t="str">
        <x:v>Aucune recharge gratuite si repéré</x:v>
      </x:c>
      <x:c r="H30" s="18" t="str">
        <x:v>commandStealthV115(wait)</x:v>
      </x:c>
      <x:c r="I30" s="18" t="str">
        <x:v>P0</x:v>
      </x:c>
      <x:c r="J30" s="18" t="str">
        <x:v>Validé CI ciblée</x:v>
      </x:c>
      <x:c r="K30" s="18" t="str">
        <x:v>Recharge expérimentation</x:v>
      </x:c>
      <x:c r="L30" s="18" t="str">
        <x:v>Effets d'écoute et de temps</x:v>
      </x:c>
      <x:c r="M30" s="18" t="str">
        <x:v>QA-CW135-INF-02</x:v>
      </x:c>
      <x:c r="N30" s="18" t="str">
        <x:v>https://github.com/darknigthmare/yautja-la-longue-chasse/pull/44</x:v>
      </x:c>
    </x:row>
    <x:row r="31" ht="46" customHeight="1">
      <x:c r="A31" s="18" t="str">
        <x:v>CW135-INF-003</x:v>
      </x:c>
      <x:c r="B31" s="18" t="str">
        <x:v>Infiltration / sabotage</x:v>
      </x:c>
      <x:c r="C31" s="18" t="str">
        <x:v>Camouflage optique</x:v>
      </x:c>
      <x:c r="D31" s="18" t="str">
        <x:v>Dissimulation et batterie</x:v>
      </x:c>
      <x:c r="E31" s="18" t="str">
        <x:v>Capacité disponible et action</x:v>
      </x:c>
      <x:c r="F31" s="18" t="str">
        <x:v>Réserve consommée au tour, arrêt à zéro</x:v>
      </x:c>
      <x:c r="G31" s="18" t="str">
        <x:v>Pas d'invisibilité infinie</x:v>
      </x:c>
      <x:c r="H31" s="18" t="str">
        <x:v>commandStealthV115(cloak)</x:v>
      </x:c>
      <x:c r="I31" s="18" t="str">
        <x:v>P0</x:v>
      </x:c>
      <x:c r="J31" s="18" t="str">
        <x:v>Partiel — prototype</x:v>
      </x:c>
      <x:c r="K31" s="18" t="str">
        <x:v>Équipement Yautja à vérifier</x:v>
      </x:c>
      <x:c r="L31" s="18" t="str">
        <x:v>Variantes PHG/films</x:v>
      </x:c>
      <x:c r="M31" s="18" t="str">
        <x:v>QA-CW135-INF-03</x:v>
      </x:c>
      <x:c r="N31" s="18" t="str">
        <x:v>https://github.com/darknigthmare/yautja-la-longue-chasse/pull/44</x:v>
      </x:c>
    </x:row>
    <x:row r="32" ht="46" customHeight="1">
      <x:c r="A32" s="18" t="str">
        <x:v>CW135-INF-004</x:v>
      </x:c>
      <x:c r="B32" s="18" t="str">
        <x:v>Infiltration / sabotage</x:v>
      </x:c>
      <x:c r="C32" s="18" t="str">
        <x:v>LOS garde</x:v>
      </x:c>
      <x:c r="D32" s="18" t="str">
        <x:v>Vue et alerte</x:v>
      </x:c>
      <x:c r="E32" s="18" t="str">
        <x:v>Patrouille sur terrain de mission</x:v>
      </x:c>
      <x:c r="F32" s="18" t="str">
        <x:v>Détection par couverture/position, échelle 3 d'alerte</x:v>
      </x:c>
      <x:c r="G32" s="18" t="str">
        <x:v>Pas de vision à travers paroi</x:v>
      </x:c>
      <x:c r="H32" s="18" t="str">
        <x:v>warTerrainLineOfSightV116</x:v>
      </x:c>
      <x:c r="I32" s="18" t="str">
        <x:v>P0</x:v>
      </x:c>
      <x:c r="J32" s="18" t="str">
        <x:v>Partiel — prototype</x:v>
      </x:c>
      <x:c r="K32" s="18" t="str">
        <x:v>Lieux W3 originaux</x:v>
      </x:c>
      <x:c r="L32" s="18" t="str">
        <x:v>Multiples gardes et angles de regard</x:v>
      </x:c>
      <x:c r="M32" s="18" t="str">
        <x:v>QA-CW135-INF-04</x:v>
      </x:c>
      <x:c r="N32" s="18" t="str">
        <x:v>https://github.com/darknigthmare/yautja-la-longue-chasse/pull/44</x:v>
      </x:c>
    </x:row>
    <x:row r="33" ht="46" customHeight="1">
      <x:c r="A33" s="18" t="str">
        <x:v>CW135-INF-005</x:v>
      </x:c>
      <x:c r="B33" s="18" t="str">
        <x:v>Infiltration / sabotage</x:v>
      </x:c>
      <x:c r="C33" s="18" t="str">
        <x:v>Sabotage réel</x:v>
      </x:c>
      <x:c r="D33" s="18" t="str">
        <x:v>Relais localisé</x:v>
      </x:c>
      <x:c r="E33" s="18" t="str">
        <x:v>Relais dans le niveau et chasseur à 1 case</x:v>
      </x:c>
      <x:c r="F33" s="18" t="str">
        <x:v>Désactivation unique; retour à l'extraction</x:v>
      </x:c>
      <x:c r="G33" s="18" t="str">
        <x:v>Aucun sabotage à distance</x:v>
      </x:c>
      <x:c r="H33" s="18" t="str">
        <x:v>commandStealthV115(interact)</x:v>
      </x:c>
      <x:c r="I33" s="18" t="str">
        <x:v>P0</x:v>
      </x:c>
      <x:c r="J33" s="18" t="str">
        <x:v>Partiel — prototype</x:v>
      </x:c>
      <x:c r="K33" s="18" t="str">
        <x:v>Mission non canon par défaut</x:v>
      </x:c>
      <x:c r="L33" s="18" t="str">
        <x:v>Systèmes électriques par zone</x:v>
      </x:c>
      <x:c r="M33" s="18" t="str">
        <x:v>QA-CW135-INF-05</x:v>
      </x:c>
      <x:c r="N33" s="18" t="str">
        <x:v>https://github.com/darknigthmare/yautja-la-longue-chasse/pull/44</x:v>
      </x:c>
    </x:row>
    <x:row r="34" ht="46" customHeight="1">
      <x:c r="A34" s="18" t="str">
        <x:v>CW135-INF-006</x:v>
      </x:c>
      <x:c r="B34" s="18" t="str">
        <x:v>Infiltration / sabotage</x:v>
      </x:c>
      <x:c r="C34" s="18" t="str">
        <x:v>Extraction obligatoire</x:v>
      </x:c>
      <x:c r="D34" s="18" t="str">
        <x:v>Preuve de réussite</x:v>
      </x:c>
      <x:c r="E34" s="18" t="str">
        <x:v>Objectif saboté et pisteur à l'exit</x:v>
      </x:c>
      <x:c r="F34" s="18" t="str">
        <x:v>Rapport V6 unique, pas d'annexion</x:v>
      </x:c>
      <x:c r="G34" s="18" t="str">
        <x:v>Pas d'XP si abandon prématuré</x:v>
      </x:c>
      <x:c r="H34" s="18" t="str">
        <x:v>recordOutcome / commandStealth</x:v>
      </x:c>
      <x:c r="I34" s="18" t="str">
        <x:v>P0</x:v>
      </x:c>
      <x:c r="J34" s="18" t="str">
        <x:v>Partiel — prototype</x:v>
      </x:c>
      <x:c r="K34" s="18" t="str">
        <x:v>Permanence jeu V6 exercice</x:v>
      </x:c>
      <x:c r="L34" s="18" t="str">
        <x:v>Sorties alternatives</x:v>
      </x:c>
      <x:c r="M34" s="18" t="str">
        <x:v>QA-CW135-INF-06</x:v>
      </x:c>
      <x:c r="N34" s="18" t="str">
        <x:v>https://github.com/darknigthmare/yautja-la-longue-chasse/pull/44</x:v>
      </x:c>
    </x:row>
    <x:row r="35" ht="46" customHeight="1">
      <x:c r="A35" s="18" t="str">
        <x:v>CW135-INF-007</x:v>
      </x:c>
      <x:c r="B35" s="18" t="str">
        <x:v>Infiltration / sabotage</x:v>
      </x:c>
      <x:c r="C35" s="18" t="str">
        <x:v>Diversions environnementales</x:v>
      </x:c>
      <x:c r="D35" s="18" t="str">
        <x:v>Sons naturels du biome</x:v>
      </x:c>
      <x:c r="E35" s="18" t="str">
        <x:v>Faune, vents et matériaux</x:v>
      </x:c>
      <x:c r="F35" s="18" t="str">
        <x:v>Signature acoustique et IA dépend du milieu</x:v>
      </x:c>
      <x:c r="G35" s="18" t="str">
        <x:v>Pas de faune volcanique en zone glacée</x:v>
      </x:c>
      <x:c r="H35" s="18" t="str">
        <x:v>clanWarWorldClimateV126</x:v>
      </x:c>
      <x:c r="I35" s="18" t="str">
        <x:v>P1</x:v>
      </x:c>
      <x:c r="J35" s="18" t="str">
        <x:v>À développer</x:v>
      </x:c>
      <x:c r="K35" s="18" t="str">
        <x:v>Faune/flore par œuvre</x:v>
      </x:c>
      <x:c r="L35" s="18" t="str">
        <x:v>Audio spatial et templates</x:v>
      </x:c>
      <x:c r="M35" s="18" t="str">
        <x:v>QA-CW135-INF-06</x:v>
      </x:c>
      <x:c r="N35" s="18" t="str">
        <x:v>https://github.com/darknigthmare/yautja-la-longue-chasse/pull/44</x:v>
      </x:c>
    </x:row>
    <x:row r="36" ht="46" customHeight="1">
      <x:c r="A36" s="18" t="str">
        <x:v>CW135-INF-008</x:v>
      </x:c>
      <x:c r="B36" s="18" t="str">
        <x:v>Infiltration / sabotage</x:v>
      </x:c>
      <x:c r="C36" s="18" t="str">
        <x:v>Routes intérieures cohérentes</x:v>
      </x:c>
      <x:c r="D36" s="18" t="str">
        <x:v>Plan d'étages</x:v>
      </x:c>
      <x:c r="E36" s="18" t="str">
        <x:v>Bâtiments reliés sans portes flottantes</x:v>
      </x:c>
      <x:c r="F36" s="18" t="str">
        <x:v>Étage/sous-sol/coursive traversable</x:v>
      </x:c>
      <x:c r="G36" s="18" t="str">
        <x:v>Pas de traversée de mur sans conduit</x:v>
      </x:c>
      <x:c r="H36" s="18" t="str">
        <x:v>warMissionTerrainV116</x:v>
      </x:c>
      <x:c r="I36" s="18" t="str">
        <x:v>P0</x:v>
      </x:c>
      <x:c r="J36" s="18" t="str">
        <x:v>À développer</x:v>
      </x:c>
      <x:c r="K36" s="18" t="str">
        <x:v>Architecture Yautja sourcée</x:v>
      </x:c>
      <x:c r="L36" s="18" t="str">
        <x:v>Tiles séparées, décors intérieurs</x:v>
      </x:c>
      <x:c r="M36" s="18" t="str">
        <x:v>QA-CW135-INF-06</x:v>
      </x:c>
      <x:c r="N36" s="18" t="str">
        <x:v>https://github.com/darknigthmare/yautja-la-longue-chasse/pull/44</x:v>
      </x:c>
    </x:row>
    <x:row r="37" ht="46" customHeight="1">
      <x:c r="A37" s="18" t="str">
        <x:v>CW135-INF-009</x:v>
      </x:c>
      <x:c r="B37" s="18" t="str">
        <x:v>Infiltration / sabotage</x:v>
      </x:c>
      <x:c r="C37" s="18" t="str">
        <x:v>Vies neutres</x:v>
      </x:c>
      <x:c r="D37" s="18" t="str">
        <x:v>Protection de témoins</x:v>
      </x:c>
      <x:c r="E37" s="18" t="str">
        <x:v>PNJ non combattants distincts</x:v>
      </x:c>
      <x:c r="F37" s="18" t="str">
        <x:v>Évacuer sans transformer en armée rivale</x:v>
      </x:c>
      <x:c r="G37" s="18" t="str">
        <x:v>Aucune cible neutre auto marquée</x:v>
      </x:c>
      <x:c r="H37" s="18" t="str">
        <x:v>V129 escort / W5</x:v>
      </x:c>
      <x:c r="I37" s="18" t="str">
        <x:v>P0</x:v>
      </x:c>
      <x:c r="J37" s="18" t="str">
        <x:v>À développer</x:v>
      </x:c>
      <x:c r="K37" s="18" t="str">
        <x:v>Protection contexte/honneur sourcé</x:v>
      </x:c>
      <x:c r="L37" s="18" t="str">
        <x:v>IA civils et effets</x:v>
      </x:c>
      <x:c r="M37" s="18" t="str">
        <x:v>QA-CW135-INF-06</x:v>
      </x:c>
      <x:c r="N37" s="18" t="str">
        <x:v>https://github.com/darknigthmare/yautja-la-longue-chasse/pull/44</x:v>
      </x:c>
    </x:row>
    <x:row r="38" ht="46" customHeight="1">
      <x:c r="A38" s="18" t="str">
        <x:v>CW135-INF-010</x:v>
      </x:c>
      <x:c r="B38" s="18" t="str">
        <x:v>Infiltration / sabotage</x:v>
      </x:c>
      <x:c r="C38" s="18" t="str">
        <x:v>Alerte multi-gardes</x:v>
      </x:c>
      <x:c r="D38" s="18" t="str">
        <x:v>Renforts véridiques</x:v>
      </x:c>
      <x:c r="E38" s="18" t="str">
        <x:v>Contacts perçus ou signaux réels</x:v>
      </x:c>
      <x:c r="F38" s="18" t="str">
        <x:v>Patrouilles se relaient logiquement</x:v>
      </x:c>
      <x:c r="G38" s="18" t="str">
        <x:v>Pas de troupes générées sans source</x:v>
      </x:c>
      <x:c r="H38" s="18" t="str">
        <x:v>EncounterDirectorV127</x:v>
      </x:c>
      <x:c r="I38" s="18" t="str">
        <x:v>P0</x:v>
      </x:c>
      <x:c r="J38" s="18" t="str">
        <x:v>À développer</x:v>
      </x:c>
      <x:c r="K38" s="18" t="str">
        <x:v>Races/clans distincts</x:v>
      </x:c>
      <x:c r="L38" s="18" t="str">
        <x:v>IA factions et alerte</x:v>
      </x:c>
      <x:c r="M38" s="18" t="str">
        <x:v>QA-CW135-INF-06</x:v>
      </x:c>
      <x:c r="N38" s="18" t="str">
        <x:v>https://github.com/darknigthmare/yautja-la-longue-chasse/pull/44</x:v>
      </x:c>
    </x:row>
    <x:row r="39" ht="46" customHeight="1">
      <x:c r="A39" s="18" t="str">
        <x:v>CW135-INF-011</x:v>
      </x:c>
      <x:c r="B39" s="18" t="str">
        <x:v>Infiltration / sabotage</x:v>
      </x:c>
      <x:c r="C39" s="18" t="str">
        <x:v>Choix d'honneur</x:v>
      </x:c>
      <x:c r="D39" s="18" t="str">
        <x:v>Conséquences de ruse</x:v>
      </x:c>
      <x:c r="E39" s="18" t="str">
        <x:v>Source narrative validée</x:v>
      </x:c>
      <x:c r="F39" s="18" t="str">
        <x:v>Choix/relations plutôt que bonus arbitraire</x:v>
      </x:c>
      <x:c r="G39" s="18" t="str">
        <x:v>Aucun acte fictif présenté canon</x:v>
      </x:c>
      <x:c r="H39" s="18" t="str">
        <x:v>LORE_CONTINUITE</x:v>
      </x:c>
      <x:c r="I39" s="18" t="str">
        <x:v>P1</x:v>
      </x:c>
      <x:c r="J39" s="18" t="str">
        <x:v>À développer</x:v>
      </x:c>
      <x:c r="K39" s="18" t="str">
        <x:v>Bad Blood/Enforcers selon œuvre</x:v>
      </x:c>
      <x:c r="L39" s="18" t="str">
        <x:v>Éthique de chasse et factions</x:v>
      </x:c>
      <x:c r="M39" s="18" t="str">
        <x:v>QA-CW135-INF-06</x:v>
      </x:c>
      <x:c r="N39" s="18" t="str">
        <x:v>https://github.com/darknigthmare/yautja-la-longue-chasse/pull/44</x:v>
      </x:c>
    </x:row>
    <x:row r="40" ht="46" customHeight="1">
      <x:c r="A40" s="18" t="str">
        <x:v>CW135-INF-012</x:v>
      </x:c>
      <x:c r="B40" s="18" t="str">
        <x:v>Infiltration / sabotage</x:v>
      </x:c>
      <x:c r="C40" s="18" t="str">
        <x:v>Coop infiltration</x:v>
      </x:c>
      <x:c r="D40" s="18" t="str">
        <x:v>Synchronisation du camouflage</x:v>
      </x:c>
      <x:c r="E40" s="18" t="str">
        <x:v>Lobby et serveur</x:v>
      </x:c>
      <x:c r="F40" s="18" t="str">
        <x:v>Visibilité par joueur et alarme partagée</x:v>
      </x:c>
      <x:c r="G40" s="18" t="str">
        <x:v>Pas d'intel omnisciente d'un client</x:v>
      </x:c>
      <x:c r="H40" s="18" t="str">
        <x:v>MultiplayerV126</x:v>
      </x:c>
      <x:c r="I40" s="18" t="str">
        <x:v>P0</x:v>
      </x:c>
      <x:c r="J40" s="18" t="str">
        <x:v>À développer</x:v>
      </x:c>
      <x:c r="K40" s="18" t="str">
        <x:v>Gameplay original</x:v>
      </x:c>
      <x:c r="L40" s="18" t="str">
        <x:v>AI server-authority</x:v>
      </x:c>
      <x:c r="M40" s="18" t="str">
        <x:v>QA-CW135-INF-06</x:v>
      </x:c>
      <x:c r="N40" s="18" t="str">
        <x:v>https://github.com/darknigthmare/yautja-la-longue-chasse/pull/44</x:v>
      </x:c>
    </x:row>
    <x:row r="41" ht="46" customHeight="1">
      <x:c r="A41" s="18" t="str">
        <x:v>CW135-RTS-001</x:v>
      </x:c>
      <x:c r="B41" s="18" t="str">
        <x:v>RTS multi-escouades</x:v>
      </x:c>
      <x:c r="C41" s="18" t="str">
        <x:v>Suppression V135</x:v>
      </x:c>
      <x:c r="D41" s="18" t="str">
        <x:v>Tir de couverture</x:v>
      </x:c>
      <x:c r="E41" s="18" t="str">
        <x:v>Cible réellement visible/à portée, 2 RAV</x:v>
      </x:c>
      <x:c r="F41" s="18" t="str">
        <x:v>Bloque une seule riposte ennemie sans dégâts gratuits</x:v>
      </x:c>
      <x:c r="G41" s="18" t="str">
        <x:v>Refus hors portée, cible cachée, munitions absentes</x:v>
      </x:c>
      <x:c r="H41" s="18" t="str">
        <x:v>commandWarRtsSuppressV135</x:v>
      </x:c>
      <x:c r="I41" s="18" t="str">
        <x:v>P0</x:v>
      </x:c>
      <x:c r="J41" s="18" t="str">
        <x:v>Validé CI ciblée</x:v>
      </x:c>
      <x:c r="K41" s="18" t="str">
        <x:v>Règle tactique originale</x:v>
      </x:c>
      <x:c r="L41" s="18" t="str">
        <x:v>Feedback visuel/sonore</x:v>
      </x:c>
      <x:c r="M41" s="18" t="str">
        <x:v>QA-CW135-RTS-01</x:v>
      </x:c>
      <x:c r="N41" s="18" t="str">
        <x:v>https://github.com/darknigthmare/yautja-la-longue-chasse/pull/44</x:v>
      </x:c>
    </x:row>
    <x:row r="42" ht="46" customHeight="1">
      <x:c r="A42" s="18" t="str">
        <x:v>CW135-RTS-002</x:v>
      </x:c>
      <x:c r="B42" s="18" t="str">
        <x:v>RTS multi-escouades</x:v>
      </x:c>
      <x:c r="C42" s="18" t="str">
        <x:v>Rassemblement V134</x:v>
      </x:c>
      <x:c r="D42" s="18" t="str">
        <x:v>Ordre de groupe</x:v>
      </x:c>
      <x:c r="E42" s="18" t="str">
        <x:v>2–4 escouades présentes, destination traversable</x:v>
      </x:c>
      <x:c r="F42" s="18" t="str">
        <x:v>Un seul tick IA pour plusieurs mouvements</x:v>
      </x:c>
      <x:c r="G42" s="18" t="str">
        <x:v>Pas de téléport ni superposition</x:v>
      </x:c>
      <x:c r="H42" s="18" t="str">
        <x:v>commandWarRtsRallyV134</x:v>
      </x:c>
      <x:c r="I42" s="18" t="str">
        <x:v>P0</x:v>
      </x:c>
      <x:c r="J42" s="18" t="str">
        <x:v>Partiel — prototype</x:v>
      </x:c>
      <x:c r="K42" s="18" t="str">
        <x:v>Cartes V6 non film</x:v>
      </x:c>
      <x:c r="L42" s="18" t="str">
        <x:v>Gestion congestion avancée</x:v>
      </x:c>
      <x:c r="M42" s="18" t="str">
        <x:v>QA-CW135-RTS-02</x:v>
      </x:c>
      <x:c r="N42" s="18" t="str">
        <x:v>https://github.com/darknigthmare/yautja-la-longue-chasse/pull/44</x:v>
      </x:c>
    </x:row>
    <x:row r="43" ht="46" customHeight="1">
      <x:c r="A43" s="18" t="str">
        <x:v>CW135-RTS-003</x:v>
      </x:c>
      <x:c r="B43" s="18" t="str">
        <x:v>RTS multi-escouades</x:v>
      </x:c>
      <x:c r="C43" s="18" t="str">
        <x:v>Brouillard de guerre</x:v>
      </x:c>
      <x:c r="D43" s="18" t="str">
        <x:v>Renseignement progressif</x:v>
      </x:c>
      <x:c r="E43" s="18" t="str">
        <x:v>Visibilité au sol des unités actives</x:v>
      </x:c>
      <x:c r="F43" s="18" t="str">
        <x:v>Patrouilles cachées ignorées par planning</x:v>
      </x:c>
      <x:c r="G43" s="18" t="str">
        <x:v>Impossible de tirer sur cible invisible</x:v>
      </x:c>
      <x:c r="H43" s="18" t="str">
        <x:v>visibleWarRtsEnemiesV133</x:v>
      </x:c>
      <x:c r="I43" s="18" t="str">
        <x:v>P0</x:v>
      </x:c>
      <x:c r="J43" s="18" t="str">
        <x:v>Partiel — prototype</x:v>
      </x:c>
      <x:c r="K43" s="18" t="str">
        <x:v>Vision sans omniscience</x:v>
      </x:c>
      <x:c r="L43" s="18" t="str">
        <x:v>Mémoire estimée de contact</x:v>
      </x:c>
      <x:c r="M43" s="18" t="str">
        <x:v>QA-CW135-RTS-03</x:v>
      </x:c>
      <x:c r="N43" s="18" t="str">
        <x:v>https://github.com/darknigthmare/yautja-la-longue-chasse/pull/44</x:v>
      </x:c>
    </x:row>
    <x:row r="44" ht="46" customHeight="1">
      <x:c r="A44" s="18" t="str">
        <x:v>CW135-RTS-004</x:v>
      </x:c>
      <x:c r="B44" s="18" t="str">
        <x:v>RTS multi-escouades</x:v>
      </x:c>
      <x:c r="C44" s="18" t="str">
        <x:v>24 scénarios source</x:v>
      </x:c>
      <x:c r="D44" s="18" t="str">
        <x:v>72 objectifs</x:v>
      </x:c>
      <x:c r="E44" s="18" t="str">
        <x:v>Mission W3 et carte du bon monde</x:v>
      </x:c>
      <x:c r="F44" s="18" t="str">
        <x:v>Trois preuves localisées et extraction</x:v>
      </x:c>
      <x:c r="G44" s="18" t="str">
        <x:v>Pas de victoire via commande à distance</x:v>
      </x:c>
      <x:c r="H44" s="18" t="str">
        <x:v>V129/V133</x:v>
      </x:c>
      <x:c r="I44" s="18" t="str">
        <x:v>P0</x:v>
      </x:c>
      <x:c r="J44" s="18" t="str">
        <x:v>Partiel — prototype</x:v>
      </x:c>
      <x:c r="K44" s="18" t="str">
        <x:v>Bible W3 créée pour jeu</x:v>
      </x:c>
      <x:c r="L44" s="18" t="str">
        <x:v>Vrais décors et mécaniques de groupe</x:v>
      </x:c>
      <x:c r="M44" s="18" t="str">
        <x:v>QA-CW135-RTS-04</x:v>
      </x:c>
      <x:c r="N44" s="18" t="str">
        <x:v>https://github.com/darknigthmare/yautja-la-longue-chasse/pull/44</x:v>
      </x:c>
    </x:row>
    <x:row r="45" ht="46" customHeight="1">
      <x:c r="A45" s="18" t="str">
        <x:v>CW135-RTS-005</x:v>
      </x:c>
      <x:c r="B45" s="18" t="str">
        <x:v>RTS multi-escouades</x:v>
      </x:c>
      <x:c r="C45" s="18" t="str">
        <x:v>Escortes physiques</x:v>
      </x:c>
      <x:c r="D45" s="18" t="str">
        <x:v>Transfert de porteur</x:v>
      </x:c>
      <x:c r="E45" s="18" t="str">
        <x:v>Groupe à proximité d'une personne/charge</x:v>
      </x:c>
      <x:c r="F45" s="18" t="str">
        <x:v>Responsabilité reprise sans clone</x:v>
      </x:c>
      <x:c r="G45" s="18" t="str">
        <x:v>Témoin jamais enrôlé en ennemi</x:v>
      </x:c>
      <x:c r="H45" s="18" t="str">
        <x:v>V134 pickup</x:v>
      </x:c>
      <x:c r="I45" s="18" t="str">
        <x:v>P0</x:v>
      </x:c>
      <x:c r="J45" s="18" t="str">
        <x:v>Partiel — prototype</x:v>
      </x:c>
      <x:c r="K45" s="18" t="str">
        <x:v>Neutres distincts</x:v>
      </x:c>
      <x:c r="L45" s="18" t="str">
        <x:v>Grille déplacement de convoi</x:v>
      </x:c>
      <x:c r="M45" s="18" t="str">
        <x:v>QA-CW135-RTS-05</x:v>
      </x:c>
      <x:c r="N45" s="18" t="str">
        <x:v>https://github.com/darknigthmare/yautja-la-longue-chasse/pull/44</x:v>
      </x:c>
    </x:row>
    <x:row r="46" ht="46" customHeight="1">
      <x:c r="A46" s="18" t="str">
        <x:v>CW135-RTS-006</x:v>
      </x:c>
      <x:c r="B46" s="18" t="str">
        <x:v>RTS multi-escouades</x:v>
      </x:c>
      <x:c r="C46" s="18" t="str">
        <x:v>Commandement PC</x:v>
      </x:c>
      <x:c r="D46" s="18" t="str">
        <x:v>Coûts et roster</x:v>
      </x:c>
      <x:c r="E46" s="18" t="str">
        <x:v>Unités W3-U authentifiées dans Bible</x:v>
      </x:c>
      <x:c r="F46" s="18" t="str">
        <x:v>2–4 escouades dans plafond de scénario</x:v>
      </x:c>
      <x:c r="G46" s="18" t="str">
        <x:v>Aucun recrutement gratuit dans campagne</x:v>
      </x:c>
      <x:c r="H46" s="18" t="str">
        <x:v>V133 createWarRtsSquads</x:v>
      </x:c>
      <x:c r="I46" s="18" t="str">
        <x:v>P0</x:v>
      </x:c>
      <x:c r="J46" s="18" t="str">
        <x:v>Partiel — prototype</x:v>
      </x:c>
      <x:c r="K46" s="18" t="str">
        <x:v>30 types W3 sources</x:v>
      </x:c>
      <x:c r="L46" s="18" t="str">
        <x:v>Variantes/escouades persistantes</x:v>
      </x:c>
      <x:c r="M46" s="18" t="str">
        <x:v>QA-CW135-RTS-06</x:v>
      </x:c>
      <x:c r="N46" s="18" t="str">
        <x:v>https://github.com/darknigthmare/yautja-la-longue-chasse/pull/44</x:v>
      </x:c>
    </x:row>
    <x:row r="47" ht="46" customHeight="1">
      <x:c r="A47" s="18" t="str">
        <x:v>CW135-RTS-007</x:v>
      </x:c>
      <x:c r="B47" s="18" t="str">
        <x:v>RTS multi-escouades</x:v>
      </x:c>
      <x:c r="C47" s="18" t="str">
        <x:v>Terrains/climats</x:v>
      </x:c>
      <x:c r="D47" s="18" t="str">
        <x:v>Monde/strates</x:v>
      </x:c>
      <x:c r="E47" s="18" t="str">
        <x:v>MAP10 chauffée sous glace, MAP12 orbitale</x:v>
      </x:c>
      <x:c r="F47" s="18" t="str">
        <x:v>Actions bloquées par environnement correct</x:v>
      </x:c>
      <x:c r="G47" s="18" t="str">
        <x:v>Pas de Gunnison sur planète alien</x:v>
      </x:c>
      <x:c r="H47" s="18" t="str">
        <x:v>V128/V129</x:v>
      </x:c>
      <x:c r="I47" s="18" t="str">
        <x:v>P0</x:v>
      </x:c>
      <x:c r="J47" s="18" t="str">
        <x:v>Partiel — prototype</x:v>
      </x:c>
      <x:c r="K47" s="18" t="str">
        <x:v>Source planète correcte</x:v>
      </x:c>
      <x:c r="L47" s="18" t="str">
        <x:v>Elevations et architecture</x:v>
      </x:c>
      <x:c r="M47" s="18" t="str">
        <x:v>QA-CW135-RTS-06</x:v>
      </x:c>
      <x:c r="N47" s="18" t="str">
        <x:v>https://github.com/darknigthmare/yautja-la-longue-chasse/pull/44</x:v>
      </x:c>
    </x:row>
    <x:row r="48" ht="46" customHeight="1">
      <x:c r="A48" s="18" t="str">
        <x:v>CW135-RTS-008</x:v>
      </x:c>
      <x:c r="B48" s="18" t="str">
        <x:v>RTS multi-escouades</x:v>
      </x:c>
      <x:c r="C48" s="18" t="str">
        <x:v>Ordres de défense</x:v>
      </x:c>
      <x:c r="D48" s="18" t="str">
        <x:v>Postes et lignes</x:v>
      </x:c>
      <x:c r="E48" s="18" t="str">
        <x:v>Couverts, positions et unités W3</x:v>
      </x:c>
      <x:c r="F48" s="18" t="str">
        <x:v>Attaques conditionnées LOS et stabilité</x:v>
      </x:c>
      <x:c r="G48" s="18" t="str">
        <x:v>Pas de défense magique</x:v>
      </x:c>
      <x:c r="H48" s="18" t="str">
        <x:v>V133 commandWarRts</x:v>
      </x:c>
      <x:c r="I48" s="18" t="str">
        <x:v>P0</x:v>
      </x:c>
      <x:c r="J48" s="18" t="str">
        <x:v>À développer</x:v>
      </x:c>
      <x:c r="K48" s="18" t="str">
        <x:v>Modes de guerre jeu</x:v>
      </x:c>
      <x:c r="L48" s="18" t="str">
        <x:v>Hold d'escouade persistant</x:v>
      </x:c>
      <x:c r="M48" s="18" t="str">
        <x:v>QA-CW135-RTS-06</x:v>
      </x:c>
      <x:c r="N48" s="18" t="str">
        <x:v>https://github.com/darknigthmare/yautja-la-longue-chasse/pull/44</x:v>
      </x:c>
    </x:row>
    <x:row r="49" ht="46" customHeight="1">
      <x:c r="A49" s="18" t="str">
        <x:v>CW135-RTS-009</x:v>
      </x:c>
      <x:c r="B49" s="18" t="str">
        <x:v>RTS multi-escouades</x:v>
      </x:c>
      <x:c r="C49" s="18" t="str">
        <x:v>RTS à grande échelle</x:v>
      </x:c>
      <x:c r="D49" s="18" t="str">
        <x:v>Armées et logistique</x:v>
      </x:c>
      <x:c r="E49" s="18" t="str">
        <x:v>Vraies formations et bâtiments</x:v>
      </x:c>
      <x:c r="F49" s="18" t="str">
        <x:v>Fronts, ravitaillement, conquêtes</x:v>
      </x:c>
      <x:c r="G49" s="18" t="str">
        <x:v>Pas de 100 unités sans budget</x:v>
      </x:c>
      <x:c r="H49" s="18" t="str">
        <x:v>WarSimulationV85</x:v>
      </x:c>
      <x:c r="I49" s="18" t="str">
        <x:v>P0</x:v>
      </x:c>
      <x:c r="J49" s="18" t="str">
        <x:v>À développer</x:v>
      </x:c>
      <x:c r="K49" s="18" t="str">
        <x:v>Ne pas copier AVP Extinction gameplay</x:v>
      </x:c>
      <x:c r="L49" s="18" t="str">
        <x:v>Système unités &amp; construction</x:v>
      </x:c>
      <x:c r="M49" s="18" t="str">
        <x:v>QA-CW135-RTS-06</x:v>
      </x:c>
      <x:c r="N49" s="18" t="str">
        <x:v>https://github.com/darknigthmare/yautja-la-longue-chasse/pull/44</x:v>
      </x:c>
    </x:row>
    <x:row r="50" ht="46" customHeight="1">
      <x:c r="A50" s="18" t="str">
        <x:v>CW135-RTS-010</x:v>
      </x:c>
      <x:c r="B50" s="18" t="str">
        <x:v>RTS multi-escouades</x:v>
      </x:c>
      <x:c r="C50" s="18" t="str">
        <x:v>Vaisseaux et montures</x:v>
      </x:c>
      <x:c r="D50" s="18" t="str">
        <x:v>Logistique spatiale</x:v>
      </x:c>
      <x:c r="E50" s="18" t="str">
        <x:v>Types/races associés planète</x:v>
      </x:c>
      <x:c r="F50" s="18" t="str">
        <x:v>Déplacement/embarquement physique</x:v>
      </x:c>
      <x:c r="G50" s="18" t="str">
        <x:v>Pas de transport orbital instantané</x:v>
      </x:c>
      <x:c r="H50" s="18" t="str">
        <x:v>Ship interior V22</x:v>
      </x:c>
      <x:c r="I50" s="18" t="str">
        <x:v>P1</x:v>
      </x:c>
      <x:c r="J50" s="18" t="str">
        <x:v>À développer</x:v>
      </x:c>
      <x:c r="K50" s="18" t="str">
        <x:v>Lore vaisseaux Yautja</x:v>
      </x:c>
      <x:c r="L50" s="18" t="str">
        <x:v>Navigation/collisions</x:v>
      </x:c>
      <x:c r="M50" s="18" t="str">
        <x:v>QA-CW135-RTS-06</x:v>
      </x:c>
      <x:c r="N50" s="18" t="str">
        <x:v>https://github.com/darknigthmare/yautja-la-longue-chasse/pull/44</x:v>
      </x:c>
    </x:row>
    <x:row r="51" ht="46" customHeight="1">
      <x:c r="A51" s="18" t="str">
        <x:v>CW135-RTS-011</x:v>
      </x:c>
      <x:c r="B51" s="18" t="str">
        <x:v>RTS multi-escouades</x:v>
      </x:c>
      <x:c r="C51" s="18" t="str">
        <x:v>Multijoueur en ligne</x:v>
      </x:c>
      <x:c r="D51" s="18" t="str">
        <x:v>Coop / PvP de clans</x:v>
      </x:c>
      <x:c r="E51" s="18" t="str">
        <x:v>Auth, serveur, masquage, ordres</x:v>
      </x:c>
      <x:c r="F51" s="18" t="str">
        <x:v>Autorité unique sur combats et RAV</x:v>
      </x:c>
      <x:c r="G51" s="18" t="str">
        <x:v>Anti-rejeu et rollback cohérent</x:v>
      </x:c>
      <x:c r="H51" s="18" t="str">
        <x:v>MultiplayerV126</x:v>
      </x:c>
      <x:c r="I51" s="18" t="str">
        <x:v>P0</x:v>
      </x:c>
      <x:c r="J51" s="18" t="str">
        <x:v>À développer</x:v>
      </x:c>
      <x:c r="K51" s="18" t="str">
        <x:v>Factions inventées signalées</x:v>
      </x:c>
      <x:c r="L51" s="18" t="str">
        <x:v>Serveur / lobby / matchmaking</x:v>
      </x:c>
      <x:c r="M51" s="18" t="str">
        <x:v>QA-CW135-RTS-06</x:v>
      </x:c>
      <x:c r="N51" s="18" t="str">
        <x:v>https://github.com/darknigthmare/yautja-la-longue-chasse/pull/44</x:v>
      </x:c>
    </x:row>
    <x:row r="52" ht="46" customHeight="1">
      <x:c r="A52" s="18" t="str">
        <x:v>CW135-RTS-012</x:v>
      </x:c>
      <x:c r="B52" s="18" t="str">
        <x:v>RTS multi-escouades</x:v>
      </x:c>
      <x:c r="C52" s="18" t="str">
        <x:v>Campagne persistante</x:v>
      </x:c>
      <x:c r="D52" s="18" t="str">
        <x:v>Territoires V85</x:v>
      </x:c>
      <x:c r="E52" s="18" t="str">
        <x:v>ID territoire et membre confirmés</x:v>
      </x:c>
      <x:c r="F52" s="18" t="str">
        <x:v>Bilan de bataille transactionnel</x:v>
      </x:c>
      <x:c r="G52" s="18" t="str">
        <x:v>Pas de récompense V133 d'essai</x:v>
      </x:c>
      <x:c r="H52" s="18" t="str">
        <x:v>WarSimulationV85</x:v>
      </x:c>
      <x:c r="I52" s="18" t="str">
        <x:v>P0</x:v>
      </x:c>
      <x:c r="J52" s="18" t="str">
        <x:v>À développer</x:v>
      </x:c>
      <x:c r="K52" s="18" t="str">
        <x:v>Source chronologie séparée</x:v>
      </x:c>
      <x:c r="L52" s="18" t="str">
        <x:v>Migrations/recettes</x:v>
      </x:c>
      <x:c r="M52" s="18" t="str">
        <x:v>QA-CW135-RTS-06</x:v>
      </x:c>
      <x:c r="N52" s="18" t="str">
        <x:v>https://github.com/darknigthmare/yautja-la-longue-chasse/pull/44</x:v>
      </x:c>
    </x:row>
  </x:sheetData>
  <x:mergeCells>
    <x:mergeCell ref="A1:N1"/>
    <x:mergeCell ref="A2:N2"/>
  </x:mergeCells>
  <x:conditionalFormatting sqref="J5:J52">
    <x:cfRule type="expression" dxfId="29" priority="1">
      <x:formula>J5="À développer"</x:formula>
    </x:cfRule>
    <x:cfRule type="expression" dxfId="30" priority="2">
      <x:formula>J5="Implémenté — CI en cours"</x:formula>
    </x:cfRule>
    <x:cfRule type="expression" dxfId="31" priority="3">
      <x:formula>J5="Validé CI ciblée"</x:formula>
    </x:cfRule>
  </x:conditionalFormatting>
  <x:dataValidations count="1">
    <x:dataValidation type="list" sqref="J5:J52">
      <x:formula1>"À développer,Partiel — prototype,Implémenté — CI en cours,Validé CI ciblée,Terminé — QA manuelle"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91e262126e452b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53" hidden="0" customWidth="1"/>
    <x:col min="5" max="5" width="30" hidden="0" customWidth="1"/>
    <x:col min="6" max="6" width="55" hidden="0" customWidth="1"/>
    <x:col min="7" max="7" width="19" hidden="0" customWidth="1"/>
    <x:col min="8" max="8" width="28" hidden="0" customWidth="1"/>
    <x:col min="9" max="9" width="42" hidden="0" customWidth="1"/>
    <x:col min="10" max="10" width="24" hidden="0" customWidth="1"/>
  </x:cols>
  <x:sheetData>
    <x:row r="1" ht="38" customHeight="1">
      <x:c r="A1" s="50" t="str">
        <x:v>QA V135 — ACCEPTATION PAR MODE, TESTS AUTOMATISÉS ET VALIDATIONS MANUELLES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40" customHeight="1">
      <x:c r="A2" s="46" t="str">
        <x:v>44/44 tests automatisés au vert sur branche V135. Seule la QA ciblée du code est validée ; tous les essais manuels visuels, navigateur, manette et serveur restent à réaliser.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 ht="34" customHeight="1">
      <x:c r="A4" s="52" t="str">
        <x:v>ID</x:v>
      </x:c>
      <x:c r="B4" s="52" t="str">
        <x:v>Mode</x:v>
      </x:c>
      <x:c r="C4" s="52" t="str">
        <x:v>Domaine</x:v>
      </x:c>
      <x:c r="D4" s="52" t="str">
        <x:v>Test / procédure</x:v>
      </x:c>
      <x:c r="E4" s="52" t="str">
        <x:v>Préconditions</x:v>
      </x:c>
      <x:c r="F4" s="52" t="str">
        <x:v>Résultat attendu</x:v>
      </x:c>
      <x:c r="G4" s="52" t="str">
        <x:v>Statut</x:v>
      </x:c>
      <x:c r="H4" s="52" t="str">
        <x:v>Preuve CI / code</x:v>
      </x:c>
      <x:c r="I4" s="52" t="str">
        <x:v>QA terrain restante</x:v>
      </x:c>
      <x:c r="J4" s="52" t="str">
        <x:v>Dépendances</x:v>
      </x:c>
    </x:row>
    <x:row r="5" ht="45" customHeight="1">
      <x:c r="A5" s="18" t="str">
        <x:v>QA-CW135-ASS-01</x:v>
      </x:c>
      <x:c r="B5" s="18" t="str">
        <x:v>Assaut latéral</x:v>
      </x:c>
      <x:c r="C5" s="18" t="str">
        <x:v>Fortification cost</x:v>
      </x:c>
      <x:c r="D5" s="18" t="str">
        <x:v>Après déploiement proche du bastion endommagé, ordonner protection</x:v>
      </x:c>
      <x:c r="E5" s="18" t="str">
        <x:v>Bible V6 identique + branche #44</x:v>
      </x:c>
      <x:c r="F5" s="18" t="str">
        <x:v>18 AP consommés, HP + max 8, une utilisation / équipe</x:v>
      </x:c>
      <x:c r="G5" s="18" t="str">
        <x:v>Validé CI ciblée</x:v>
      </x:c>
      <x:c r="H5" s="18" t="str">
        <x:v>reinforceWarAssaultLineV135</x:v>
      </x:c>
      <x:c r="I5" s="18" t="str">
        <x:v>Tests navigateur, manette, sprites et serveur à compléter</x:v>
      </x:c>
      <x:c r="J5" s="18" t="str">
        <x:v>PR #43 → #44</x:v>
      </x:c>
    </x:row>
    <x:row r="6" ht="45" customHeight="1">
      <x:c r="A6" s="18" t="str">
        <x:v>QA-CW135-ASS-02</x:v>
      </x:c>
      <x:c r="B6" s="18" t="str">
        <x:v>Assaut latéral</x:v>
      </x:c>
      <x:c r="C6" s="18" t="str">
        <x:v>Protection denied</x:v>
      </x:c>
      <x:c r="D6" s="18" t="str">
        <x:v>Tester bastion plein, AP insuffisants, acteur KO ou hors zone</x:v>
      </x:c>
      <x:c r="E6" s="18" t="str">
        <x:v>Bible V6 identique + branche #44</x:v>
      </x:c>
      <x:c r="F6" s="18" t="str">
        <x:v>Refus identique sans écriture ni tick</x:v>
      </x:c>
      <x:c r="G6" s="18" t="str">
        <x:v>Validé CI ciblée</x:v>
      </x:c>
      <x:c r="H6" s="18" t="str">
        <x:v>reinforceWarAssaultLineV135</x:v>
      </x:c>
      <x:c r="I6" s="18" t="str">
        <x:v>Tests navigateur, manette, sprites et serveur à compléter</x:v>
      </x:c>
      <x:c r="J6" s="18" t="str">
        <x:v>PR #43 → #44</x:v>
      </x:c>
    </x:row>
    <x:row r="7" ht="45" customHeight="1">
      <x:c r="A7" s="18" t="str">
        <x:v>QA-CW135-ASS-03</x:v>
      </x:c>
      <x:c r="B7" s="18" t="str">
        <x:v>Assaut latéral</x:v>
      </x:c>
      <x:c r="C7" s="18" t="str">
        <x:v>Save integrity</x:v>
      </x:c>
      <x:c r="D7" s="18" t="str">
        <x:v>Sérialiser/recharger puis falsifier fortifiedIds</x:v>
      </x:c>
      <x:c r="E7" s="18" t="str">
        <x:v>Bible V6 identique + branche #44</x:v>
      </x:c>
      <x:c r="F7" s="18" t="str">
        <x:v>Valide accepté, ID inexistant rejeté</x:v>
      </x:c>
      <x:c r="G7" s="18" t="str">
        <x:v>Validé CI ciblée</x:v>
      </x:c>
      <x:c r="H7" s="18" t="str">
        <x:v>readWarOperationsV115</x:v>
      </x:c>
      <x:c r="I7" s="18" t="str">
        <x:v>Tests navigateur, manette, sprites et serveur à compléter</x:v>
      </x:c>
      <x:c r="J7" s="18" t="str">
        <x:v>PR #43 → #44</x:v>
      </x:c>
    </x:row>
    <x:row r="8" ht="45" customHeight="1">
      <x:c r="A8" s="18" t="str">
        <x:v>QA-CW135-ASS-04</x:v>
      </x:c>
      <x:c r="B8" s="18" t="str">
        <x:v>Assaut latéral</x:v>
      </x:c>
      <x:c r="C8" s="18" t="str">
        <x:v>AP deployments</x:v>
      </x:c>
      <x:c r="D8" s="18" t="str">
        <x:v>Lancer / spécial / cadence dans un même assaut</x:v>
      </x:c>
      <x:c r="E8" s="18" t="str">
        <x:v>Bible V6 identique + branche #44</x:v>
      </x:c>
      <x:c r="F8" s="18" t="str">
        <x:v>PC V6 inchangés et aucun renfort fictif</x:v>
      </x:c>
      <x:c r="G8" s="18" t="str">
        <x:v>Validé CI ciblée</x:v>
      </x:c>
      <x:c r="H8" s="18" t="str">
        <x:v>V115/V117 regression</x:v>
      </x:c>
      <x:c r="I8" s="18" t="str">
        <x:v>Tests navigateur, manette, sprites et serveur à compléter</x:v>
      </x:c>
      <x:c r="J8" s="18" t="str">
        <x:v>PR #43 → #44</x:v>
      </x:c>
    </x:row>
    <x:row r="9" ht="45" customHeight="1">
      <x:c r="A9" s="18" t="str">
        <x:v>QA-CW135-ASS-05</x:v>
      </x:c>
      <x:c r="B9" s="18" t="str">
        <x:v>Assaut latéral</x:v>
      </x:c>
      <x:c r="C9" s="18" t="str">
        <x:v>War result</x:v>
      </x:c>
      <x:c r="D9" s="18" t="str">
        <x:v>Clore un assaut puis réouvrir l'archive</x:v>
      </x:c>
      <x:c r="E9" s="18" t="str">
        <x:v>Bible V6 identique + branche #44</x:v>
      </x:c>
      <x:c r="F9" s="18" t="str">
        <x:v>Reçu unique, blessures liées aux combattants</x:v>
      </x:c>
      <x:c r="G9" s="18" t="str">
        <x:v>Validé CI ciblée</x:v>
      </x:c>
      <x:c r="H9" s="18" t="str">
        <x:v>recordOutcome</x:v>
      </x:c>
      <x:c r="I9" s="18" t="str">
        <x:v>Tests navigateur, manette, sprites et serveur à compléter</x:v>
      </x:c>
      <x:c r="J9" s="18" t="str">
        <x:v>PR #43 → #44</x:v>
      </x:c>
    </x:row>
    <x:row r="10" ht="45" customHeight="1">
      <x:c r="A10" s="18" t="str">
        <x:v>QA-CW135-ASS-06</x:v>
      </x:c>
      <x:c r="B10" s="18" t="str">
        <x:v>Assaut latéral</x:v>
      </x:c>
      <x:c r="C10" s="18" t="str">
        <x:v>Gamepad/visual</x:v>
      </x:c>
      <x:c r="D10" s="18" t="str">
        <x:v>Manette, survol, animation projectile et couvert</x:v>
      </x:c>
      <x:c r="E10" s="18" t="str">
        <x:v>Bible V6 identique + branche #44</x:v>
      </x:c>
      <x:c r="F10" s="18" t="str">
        <x:v>Aucun objet flottant ni délai de commandes</x:v>
      </x:c>
      <x:c r="G10" s="18" t="str">
        <x:v>À réaliser</x:v>
      </x:c>
      <x:c r="H10" s="18" t="str">
        <x:v>QA manuel</x:v>
      </x:c>
      <x:c r="I10" s="18" t="str">
        <x:v>Tests navigateur, manette, sprites et serveur à compléter</x:v>
      </x:c>
      <x:c r="J10" s="18" t="str">
        <x:v>PR #43 → #44</x:v>
      </x:c>
    </x:row>
    <x:row r="11" ht="45" customHeight="1">
      <x:c r="A11" s="18" t="str">
        <x:v>QA-CW135-OUT-01</x:v>
      </x:c>
      <x:c r="B11" s="18" t="str">
        <x:v>Outer Ops</x:v>
      </x:c>
      <x:c r="C11" s="18" t="str">
        <x:v>Retask early</x:v>
      </x:c>
      <x:c r="D11" s="18" t="str">
        <x:v>Changer recon→escort avant 50 % de trajet</x:v>
      </x:c>
      <x:c r="E11" s="18" t="str">
        <x:v>Bible V6 identique + branche #44</x:v>
      </x:c>
      <x:c r="F11" s="18" t="str">
        <x:v>Focus modifié, dueAt/RAV/route/équipes inchangés</x:v>
      </x:c>
      <x:c r="G11" s="18" t="str">
        <x:v>Validé CI ciblée</x:v>
      </x:c>
      <x:c r="H11" s="18" t="str">
        <x:v>redirectWarOuterOpsV135</x:v>
      </x:c>
      <x:c r="I11" s="18" t="str">
        <x:v>Tests navigateur, manette, sprites et serveur à compléter</x:v>
      </x:c>
      <x:c r="J11" s="18" t="str">
        <x:v>PR #43 → #44</x:v>
      </x:c>
    </x:row>
    <x:row r="12" ht="45" customHeight="1">
      <x:c r="A12" s="18" t="str">
        <x:v>QA-CW135-OUT-02</x:v>
      </x:c>
      <x:c r="B12" s="18" t="str">
        <x:v>Outer Ops</x:v>
      </x:c>
      <x:c r="C12" s="18" t="str">
        <x:v>Retask denied</x:v>
      </x:c>
      <x:c r="D12" s="18" t="str">
        <x:v>Changer deux fois / après mi-course / pendant rappel</x:v>
      </x:c>
      <x:c r="E12" s="18" t="str">
        <x:v>Bible V6 identique + branche #44</x:v>
      </x:c>
      <x:c r="F12" s="18" t="str">
        <x:v>Refus sans mutation de l'état ni du délai</x:v>
      </x:c>
      <x:c r="G12" s="18" t="str">
        <x:v>Validé CI ciblée</x:v>
      </x:c>
      <x:c r="H12" s="18" t="str">
        <x:v>redirectWarOuterOpsV135</x:v>
      </x:c>
      <x:c r="I12" s="18" t="str">
        <x:v>Tests navigateur, manette, sprites et serveur à compléter</x:v>
      </x:c>
      <x:c r="J12" s="18" t="str">
        <x:v>PR #43 → #44</x:v>
      </x:c>
    </x:row>
    <x:row r="13" ht="45" customHeight="1">
      <x:c r="A13" s="18" t="str">
        <x:v>QA-CW135-OUT-03</x:v>
      </x:c>
      <x:c r="B13" s="18" t="str">
        <x:v>Outer Ops</x:v>
      </x:c>
      <x:c r="C13" s="18" t="str">
        <x:v>Report retask</x:v>
      </x:c>
      <x:c r="D13" s="18" t="str">
        <x:v>Résoudre l'horloge et inspecter la conclusion</x:v>
      </x:c>
      <x:c r="E13" s="18" t="str">
        <x:v>Bible V6 identique + branche #44</x:v>
      </x:c>
      <x:c r="F13" s="18" t="str">
        <x:v>Rapport signale l'ancienne consigne, reçu unique</x:v>
      </x:c>
      <x:c r="G13" s="18" t="str">
        <x:v>Validé CI ciblée</x:v>
      </x:c>
      <x:c r="H13" s="18" t="str">
        <x:v>settleWarOuterOpsV115</x:v>
      </x:c>
      <x:c r="I13" s="18" t="str">
        <x:v>Tests navigateur, manette, sprites et serveur à compléter</x:v>
      </x:c>
      <x:c r="J13" s="18" t="str">
        <x:v>PR #43 → #44</x:v>
      </x:c>
    </x:row>
    <x:row r="14" ht="45" customHeight="1">
      <x:c r="A14" s="18" t="str">
        <x:v>QA-CW135-OUT-04</x:v>
      </x:c>
      <x:c r="B14" s="18" t="str">
        <x:v>Outer Ops</x:v>
      </x:c>
      <x:c r="C14" s="18" t="str">
        <x:v>Recall after retask</x:v>
      </x:c>
      <x:c r="D14" s="18" t="str">
        <x:v>Réorienter puis rappeler et attendre le retour</x:v>
      </x:c>
      <x:c r="E14" s="18" t="str">
        <x:v>Bible V6 identique + branche #44</x:v>
      </x:c>
      <x:c r="F14" s="18" t="str">
        <x:v>Repli différé sans fausse blessure/XP</x:v>
      </x:c>
      <x:c r="G14" s="18" t="str">
        <x:v>Validé CI ciblée</x:v>
      </x:c>
      <x:c r="H14" s="18" t="str">
        <x:v>recallWarOuterMissionV116</x:v>
      </x:c>
      <x:c r="I14" s="18" t="str">
        <x:v>Tests navigateur, manette, sprites et serveur à compléter</x:v>
      </x:c>
      <x:c r="J14" s="18" t="str">
        <x:v>PR #43 → #44</x:v>
      </x:c>
    </x:row>
    <x:row r="15" ht="45" customHeight="1">
      <x:c r="A15" s="18" t="str">
        <x:v>QA-CW135-OUT-05</x:v>
      </x:c>
      <x:c r="B15" s="18" t="str">
        <x:v>Outer Ops</x:v>
      </x:c>
      <x:c r="C15" s="18" t="str">
        <x:v>Archive tamper</x:v>
      </x:c>
      <x:c r="D15" s="18" t="str">
        <x:v>Forger le changedAt hors bornes</x:v>
      </x:c>
      <x:c r="E15" s="18" t="str">
        <x:v>Bible V6 identique + branche #44</x:v>
      </x:c>
      <x:c r="F15" s="18" t="str">
        <x:v>JSON rejeté sans écraser archive saine</x:v>
      </x:c>
      <x:c r="G15" s="18" t="str">
        <x:v>Validé CI ciblée</x:v>
      </x:c>
      <x:c r="H15" s="18" t="str">
        <x:v>readWarOperationsV115</x:v>
      </x:c>
      <x:c r="I15" s="18" t="str">
        <x:v>Tests navigateur, manette, sprites et serveur à compléter</x:v>
      </x:c>
      <x:c r="J15" s="18" t="str">
        <x:v>PR #43 → #44</x:v>
      </x:c>
    </x:row>
    <x:row r="16" ht="45" customHeight="1">
      <x:c r="A16" s="18" t="str">
        <x:v>QA-CW135-OUT-06</x:v>
      </x:c>
      <x:c r="B16" s="18" t="str">
        <x:v>Outer Ops</x:v>
      </x:c>
      <x:c r="C16" s="18" t="str">
        <x:v>Server/notification</x:v>
      </x:c>
      <x:c r="D16" s="18" t="str">
        <x:v>Déconnexion, reprise, multi-onglets</x:v>
      </x:c>
      <x:c r="E16" s="18" t="str">
        <x:v>Bible V6 identique + branche #44</x:v>
      </x:c>
      <x:c r="F16" s="18" t="str">
        <x:v>Seule l'autorité serveur attribue résultat final</x:v>
      </x:c>
      <x:c r="G16" s="18" t="str">
        <x:v>À réaliser</x:v>
      </x:c>
      <x:c r="H16" s="18" t="str">
        <x:v>QA serveur À développer</x:v>
      </x:c>
      <x:c r="I16" s="18" t="str">
        <x:v>Tests navigateur, manette, sprites et serveur à compléter</x:v>
      </x:c>
      <x:c r="J16" s="18" t="str">
        <x:v>PR #43 → #44</x:v>
      </x:c>
    </x:row>
    <x:row r="17" ht="45" customHeight="1">
      <x:c r="A17" s="18" t="str">
        <x:v>QA-CW135-INF-01</x:v>
      </x:c>
      <x:c r="B17" s="18" t="str">
        <x:v>Infiltration / sabotage</x:v>
      </x:c>
      <x:c r="C17" s="18" t="str">
        <x:v>Decoy physical</x:v>
      </x:c>
      <x:c r="D17" s="18" t="str">
        <x:v>Lancer diversion à sa case réelle avec 2 énergie</x:v>
      </x:c>
      <x:c r="E17" s="18" t="str">
        <x:v>Bible V6 identique + branche #44</x:v>
      </x:c>
      <x:c r="F17" s="18" t="str">
        <x:v>Patrouille se déplace d'une case; 3 décisions max</x:v>
      </x:c>
      <x:c r="G17" s="18" t="str">
        <x:v>Validé CI ciblée</x:v>
      </x:c>
      <x:c r="H17" s="18" t="str">
        <x:v>commandStealthV115</x:v>
      </x:c>
      <x:c r="I17" s="18" t="str">
        <x:v>Tests navigateur, manette, sprites et serveur à compléter</x:v>
      </x:c>
      <x:c r="J17" s="18" t="str">
        <x:v>PR #43 → #44</x:v>
      </x:c>
    </x:row>
    <x:row r="18" ht="45" customHeight="1">
      <x:c r="A18" s="18" t="str">
        <x:v>QA-CW135-INF-02</x:v>
      </x:c>
      <x:c r="B18" s="18" t="str">
        <x:v>Infiltration / sabotage</x:v>
      </x:c>
      <x:c r="C18" s="18" t="str">
        <x:v>One-time decoy</x:v>
      </x:c>
      <x:c r="D18" s="18" t="str">
        <x:v>Réutilisation, recharge ou camouflage actif</x:v>
      </x:c>
      <x:c r="E18" s="18" t="str">
        <x:v>Bible V6 identique + branche #44</x:v>
      </x:c>
      <x:c r="F18" s="18" t="str">
        <x:v>Rejet sans modifier alarme/énergie</x:v>
      </x:c>
      <x:c r="G18" s="18" t="str">
        <x:v>Validé CI ciblée</x:v>
      </x:c>
      <x:c r="H18" s="18" t="str">
        <x:v>commandStealthV115</x:v>
      </x:c>
      <x:c r="I18" s="18" t="str">
        <x:v>Tests navigateur, manette, sprites et serveur à compléter</x:v>
      </x:c>
      <x:c r="J18" s="18" t="str">
        <x:v>PR #43 → #44</x:v>
      </x:c>
    </x:row>
    <x:row r="19" ht="45" customHeight="1">
      <x:c r="A19" s="18" t="str">
        <x:v>QA-CW135-INF-03</x:v>
      </x:c>
      <x:c r="B19" s="18" t="str">
        <x:v>Infiltration / sabotage</x:v>
      </x:c>
      <x:c r="C19" s="18" t="str">
        <x:v>Quiet wait</x:v>
      </x:c>
      <x:c r="D19" s="18" t="str">
        <x:v>Attendre hors LOS puis sous garde</x:v>
      </x:c>
      <x:c r="E19" s="18" t="str">
        <x:v>Bible V6 identique + branche #44</x:v>
      </x:c>
      <x:c r="F19" s="18" t="str">
        <x:v>Recharge uniquement hors LOS et non camouflé</x:v>
      </x:c>
      <x:c r="G19" s="18" t="str">
        <x:v>Validé CI ciblée</x:v>
      </x:c>
      <x:c r="H19" s="18" t="str">
        <x:v>commandStealthV115</x:v>
      </x:c>
      <x:c r="I19" s="18" t="str">
        <x:v>Tests navigateur, manette, sprites et serveur à compléter</x:v>
      </x:c>
      <x:c r="J19" s="18" t="str">
        <x:v>PR #43 → #44</x:v>
      </x:c>
    </x:row>
    <x:row r="20" ht="45" customHeight="1">
      <x:c r="A20" s="18" t="str">
        <x:v>QA-CW135-INF-04</x:v>
      </x:c>
      <x:c r="B20" s="18" t="str">
        <x:v>Infiltration / sabotage</x:v>
      </x:c>
      <x:c r="C20" s="18" t="str">
        <x:v>Archive fields</x:v>
      </x:c>
      <x:c r="D20" s="18" t="str">
        <x:v>Injecter decoyTurns=50, position x=9</x:v>
      </x:c>
      <x:c r="E20" s="18" t="str">
        <x:v>Bible V6 identique + branche #44</x:v>
      </x:c>
      <x:c r="F20" s="18" t="str">
        <x:v>Rejet JSON, reprise légale acceptée</x:v>
      </x:c>
      <x:c r="G20" s="18" t="str">
        <x:v>Validé CI ciblée</x:v>
      </x:c>
      <x:c r="H20" s="18" t="str">
        <x:v>readWarOperationsV115</x:v>
      </x:c>
      <x:c r="I20" s="18" t="str">
        <x:v>Tests navigateur, manette, sprites et serveur à compléter</x:v>
      </x:c>
      <x:c r="J20" s="18" t="str">
        <x:v>PR #43 → #44</x:v>
      </x:c>
    </x:row>
    <x:row r="21" ht="45" customHeight="1">
      <x:c r="A21" s="18" t="str">
        <x:v>QA-CW135-INF-05</x:v>
      </x:c>
      <x:c r="B21" s="18" t="str">
        <x:v>Infiltration / sabotage</x:v>
      </x:c>
      <x:c r="C21" s="18" t="str">
        <x:v>Sabotage/extract</x:v>
      </x:c>
      <x:c r="D21" s="18" t="str">
        <x:v>Saboter à proximité puis retourner à la sortie</x:v>
      </x:c>
      <x:c r="E21" s="18" t="str">
        <x:v>Bible V6 identique + branche #44</x:v>
      </x:c>
      <x:c r="F21" s="18" t="str">
        <x:v>Un rapport unique après position physique</x:v>
      </x:c>
      <x:c r="G21" s="18" t="str">
        <x:v>Validé CI ciblée</x:v>
      </x:c>
      <x:c r="H21" s="18" t="str">
        <x:v>commandStealthV115</x:v>
      </x:c>
      <x:c r="I21" s="18" t="str">
        <x:v>Tests navigateur, manette, sprites et serveur à compléter</x:v>
      </x:c>
      <x:c r="J21" s="18" t="str">
        <x:v>PR #43 → #44</x:v>
      </x:c>
    </x:row>
    <x:row r="22" ht="45" customHeight="1">
      <x:c r="A22" s="18" t="str">
        <x:v>QA-CW135-INF-06</x:v>
      </x:c>
      <x:c r="B22" s="18" t="str">
        <x:v>Infiltration / sabotage</x:v>
      </x:c>
      <x:c r="C22" s="18" t="str">
        <x:v>AI acoustic/visual</x:v>
      </x:c>
      <x:c r="D22" s="18" t="str">
        <x:v>Tester son sur plusieurs étages / climats</x:v>
      </x:c>
      <x:c r="E22" s="18" t="str">
        <x:v>Bible V6 identique + branche #44</x:v>
      </x:c>
      <x:c r="F22" s="18" t="str">
        <x:v>Portée audible cohérente; assets validés</x:v>
      </x:c>
      <x:c r="G22" s="18" t="str">
        <x:v>À réaliser</x:v>
      </x:c>
      <x:c r="H22" s="18" t="str">
        <x:v>QA manuel À développer</x:v>
      </x:c>
      <x:c r="I22" s="18" t="str">
        <x:v>Tests navigateur, manette, sprites et serveur à compléter</x:v>
      </x:c>
      <x:c r="J22" s="18" t="str">
        <x:v>PR #43 → #44</x:v>
      </x:c>
    </x:row>
    <x:row r="23" ht="45" customHeight="1">
      <x:c r="A23" s="18" t="str">
        <x:v>QA-CW135-RTS-01</x:v>
      </x:c>
      <x:c r="B23" s="18" t="str">
        <x:v>RTS multi-escouades</x:v>
      </x:c>
      <x:c r="C23" s="18" t="str">
        <x:v>Suppress enemy</x:v>
      </x:c>
      <x:c r="D23" s="18" t="str">
        <x:v>Tirer sur adversaire visible adjacent avec 2 RAV</x:v>
      </x:c>
      <x:c r="E23" s="18" t="str">
        <x:v>Bible V6 identique + branche #44</x:v>
      </x:c>
      <x:c r="F23" s="18" t="str">
        <x:v>Un seul tour adverse supprimé, zéro dégât fictif</x:v>
      </x:c>
      <x:c r="G23" s="18" t="str">
        <x:v>Validé CI ciblée</x:v>
      </x:c>
      <x:c r="H23" s="18" t="str">
        <x:v>commandWarRtsSuppressV135</x:v>
      </x:c>
      <x:c r="I23" s="18" t="str">
        <x:v>Tests navigateur, manette, sprites et serveur à compléter</x:v>
      </x:c>
      <x:c r="J23" s="18" t="str">
        <x:v>PR #43 → #44</x:v>
      </x:c>
    </x:row>
    <x:row r="24" ht="45" customHeight="1">
      <x:c r="A24" s="18" t="str">
        <x:v>QA-CW135-RTS-02</x:v>
      </x:c>
      <x:c r="B24" s="18" t="str">
        <x:v>RTS multi-escouades</x:v>
      </x:c>
      <x:c r="C24" s="18" t="str">
        <x:v>Suppress expiry</x:v>
      </x:c>
      <x:c r="D24" s="18" t="str">
        <x:v>Avancer un tour après tir de couverture</x:v>
      </x:c>
      <x:c r="E24" s="18" t="str">
        <x:v>Bible V6 identique + branche #44</x:v>
      </x:c>
      <x:c r="F24" s="18" t="str">
        <x:v>L'ennemi retrouve sa riposte au tour suivant</x:v>
      </x:c>
      <x:c r="G24" s="18" t="str">
        <x:v>Validé CI ciblée</x:v>
      </x:c>
      <x:c r="H24" s="18" t="str">
        <x:v>advance V133</x:v>
      </x:c>
      <x:c r="I24" s="18" t="str">
        <x:v>Tests navigateur, manette, sprites et serveur à compléter</x:v>
      </x:c>
      <x:c r="J24" s="18" t="str">
        <x:v>PR #43 → #44</x:v>
      </x:c>
    </x:row>
    <x:row r="25" ht="45" customHeight="1">
      <x:c r="A25" s="18" t="str">
        <x:v>QA-CW135-RTS-03</x:v>
      </x:c>
      <x:c r="B25" s="18" t="str">
        <x:v>RTS multi-escouades</x:v>
      </x:c>
      <x:c r="C25" s="18" t="str">
        <x:v>Reject unseen</x:v>
      </x:c>
      <x:c r="D25" s="18" t="str">
        <x:v>Tirer hors LOS, hors portée ou RAV=1</x:v>
      </x:c>
      <x:c r="E25" s="18" t="str">
        <x:v>Bible V6 identique + branche #44</x:v>
      </x:c>
      <x:c r="F25" s="18" t="str">
        <x:v>Refus, aucune fuite fog of war ni consommation</x:v>
      </x:c>
      <x:c r="G25" s="18" t="str">
        <x:v>Validé CI ciblée</x:v>
      </x:c>
      <x:c r="H25" s="18" t="str">
        <x:v>visibleWarRtsEnemiesV133</x:v>
      </x:c>
      <x:c r="I25" s="18" t="str">
        <x:v>Tests navigateur, manette, sprites et serveur à compléter</x:v>
      </x:c>
      <x:c r="J25" s="18" t="str">
        <x:v>PR #43 → #44</x:v>
      </x:c>
    </x:row>
    <x:row r="26" ht="45" customHeight="1">
      <x:c r="A26" s="18" t="str">
        <x:v>QA-CW135-RTS-04</x:v>
      </x:c>
      <x:c r="B26" s="18" t="str">
        <x:v>RTS multi-escouades</x:v>
      </x:c>
      <x:c r="C26" s="18" t="str">
        <x:v>Rally regression</x:v>
      </x:c>
      <x:c r="D26" s="18" t="str">
        <x:v>Deux à quatre escouades se déplacent simultanément</x:v>
      </x:c>
      <x:c r="E26" s="18" t="str">
        <x:v>Bible V6 identique + branche #44</x:v>
      </x:c>
      <x:c r="F26" s="18" t="str">
        <x:v>Un tick IA et destinations distinctes</x:v>
      </x:c>
      <x:c r="G26" s="18" t="str">
        <x:v>Validé CI ciblée</x:v>
      </x:c>
      <x:c r="H26" s="18" t="str">
        <x:v>commandWarRtsRallyV134</x:v>
      </x:c>
      <x:c r="I26" s="18" t="str">
        <x:v>Tests navigateur, manette, sprites et serveur à compléter</x:v>
      </x:c>
      <x:c r="J26" s="18" t="str">
        <x:v>PR #43 → #44</x:v>
      </x:c>
    </x:row>
    <x:row r="27" ht="45" customHeight="1">
      <x:c r="A27" s="18" t="str">
        <x:v>QA-CW135-RTS-05</x:v>
      </x:c>
      <x:c r="B27" s="18" t="str">
        <x:v>RTS multi-escouades</x:v>
      </x:c>
      <x:c r="C27" s="18" t="str">
        <x:v>24 source W3</x:v>
      </x:c>
      <x:c r="D27" s="18" t="str">
        <x:v>Rejouer 72 étapes, escortes, pression, climat</x:v>
      </x:c>
      <x:c r="E27" s="18" t="str">
        <x:v>Bible V6 identique + branche #44</x:v>
      </x:c>
      <x:c r="F27" s="18" t="str">
        <x:v>Reçus uniques et 12 cartes bien attribuées</x:v>
      </x:c>
      <x:c r="G27" s="18" t="str">
        <x:v>Validé CI ciblée</x:v>
      </x:c>
      <x:c r="H27" s="18" t="str">
        <x:v>V129/V133 integration</x:v>
      </x:c>
      <x:c r="I27" s="18" t="str">
        <x:v>Tests navigateur, manette, sprites et serveur à compléter</x:v>
      </x:c>
      <x:c r="J27" s="18" t="str">
        <x:v>PR #43 → #44</x:v>
      </x:c>
    </x:row>
    <x:row r="28" ht="45" customHeight="1">
      <x:c r="A28" s="18" t="str">
        <x:v>QA-CW135-RTS-06</x:v>
      </x:c>
      <x:c r="B28" s="18" t="str">
        <x:v>RTS multi-escouades</x:v>
      </x:c>
      <x:c r="C28" s="18" t="str">
        <x:v>Live network/skills</x:v>
      </x:c>
      <x:c r="D28" s="18" t="str">
        <x:v>PVP réel, FPS, au-delà de 4 escouades</x:v>
      </x:c>
      <x:c r="E28" s="18" t="str">
        <x:v>Bible V6 identique + branche #44</x:v>
      </x:c>
      <x:c r="F28" s="18" t="str">
        <x:v>Sérialisation serveur, équilibrage, manette</x:v>
      </x:c>
      <x:c r="G28" s="18" t="str">
        <x:v>À réaliser</x:v>
      </x:c>
      <x:c r="H28" s="18" t="str">
        <x:v>QA manuel À développer</x:v>
      </x:c>
      <x:c r="I28" s="18" t="str">
        <x:v>Tests navigateur, manette, sprites et serveur à compléter</x:v>
      </x:c>
      <x:c r="J28" s="18" t="str">
        <x:v>PR #43 → #44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9573c6614424456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8" hidden="0" customWidth="1"/>
    <x:col min="5" max="5" width="43" hidden="0" customWidth="1"/>
    <x:col min="6" max="6" width="44" hidden="0" customWidth="1"/>
    <x:col min="7" max="7" width="44" hidden="0" customWidth="1"/>
    <x:col min="8" max="8" width="33" hidden="0" customWidth="1"/>
    <x:col min="9" max="9" width="11" hidden="0" customWidth="1"/>
    <x:col min="10" max="10" width="23" hidden="0" customWidth="1"/>
    <x:col min="11" max="11" width="39" hidden="0" customWidth="1"/>
    <x:col min="12" max="12" width="40" hidden="0" customWidth="1"/>
    <x:col min="13" max="13" width="22" hidden="0" customWidth="1"/>
    <x:col min="14" max="14" width="55" hidden="0" customWidth="1"/>
  </x:cols>
  <x:sheetData>
    <x:row r="1" ht="34" customHeight="1">
      <x:c r="A1" s="66" t="str">
        <x:v>V136 — 4 MODES EN PARALLÈLE · CONTRATS FONCTIONNELS ET BACKLOG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</x:row>
    <x:row r="2" ht="28" customHeight="1">
      <x:c r="A2" s="70" t="str">
        <x:v>31/10/2026 • PR #45 sur #44 • chacune des 48 exigences a des préconditions, une preuve, un rejet, une source et du travail restant. CI ≠ homologation filmique 1:1.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4" ht="34" customHeight="1">
      <x:c r="A4" s="74" t="str">
        <x:v>ID</x:v>
      </x:c>
      <x:c r="B4" s="74" t="str">
        <x:v>Mode</x:v>
      </x:c>
      <x:c r="C4" s="74" t="str">
        <x:v>Axe / système</x:v>
      </x:c>
      <x:c r="D4" s="74" t="str">
        <x:v>Mécanique / exigence</x:v>
      </x:c>
      <x:c r="E4" s="74" t="str">
        <x:v>Préconditions physiques &amp; ressources</x:v>
      </x:c>
      <x:c r="F4" s="74" t="str">
        <x:v>Critère de réussite concret</x:v>
      </x:c>
      <x:c r="G4" s="74" t="str">
        <x:v>Rejet / invariant sauvegarde</x:v>
      </x:c>
      <x:c r="H4" s="74" t="str">
        <x:v>Code / état actuel</x:v>
      </x:c>
      <x:c r="I4" s="74" t="str">
        <x:v>Priorité</x:v>
      </x:c>
      <x:c r="J4" s="74" t="str">
        <x:v>Statut vérifié</x:v>
      </x:c>
      <x:c r="K4" s="74" t="str">
        <x:v>Contrôle de fidélité lore</x:v>
      </x:c>
      <x:c r="L4" s="74" t="str">
        <x:v>Travail restant / UI</x:v>
      </x:c>
      <x:c r="M4" s="74" t="str">
        <x:v>Référence QA</x:v>
      </x:c>
      <x:c r="N4" s="74" t="str">
        <x:v>PR &amp; origine</x:v>
      </x:c>
    </x:row>
    <x:row r="5" ht="43" customHeight="1">
      <x:c r="A5" s="75" t="str">
        <x:v>CW136-ASS-001</x:v>
      </x:c>
      <x:c r="B5" s="76" t="str">
        <x:v>Assaut latéral</x:v>
      </x:c>
      <x:c r="C5" s="75" t="str">
        <x:v>Tenue du bastion</x:v>
      </x:c>
      <x:c r="D5" s="75" t="str">
        <x:v>Ordre tenir la ligne V136</x:v>
      </x:c>
      <x:c r="E5" s="75" t="str">
        <x:v>Équipe V6 engagée vivante, x≤25, 15 AP</x:v>
      </x:c>
      <x:c r="F5" s="75" t="str">
        <x:v>Bloque avance auto exactement 3 tours; tir à portée conservé</x:v>
      </x:c>
      <x:c r="G5" s="75" t="str">
        <x:v>Une fois/équipe, hors zone ou AP&lt;15 : refus sans coût</x:v>
      </x:c>
      <x:c r="H5" s="75" t="str">
        <x:v>orderWarAssaultHoldV136</x:v>
      </x:c>
      <x:c r="I5" s="75" t="str">
        <x:v>P0</x:v>
      </x:c>
      <x:c r="J5" s="75" t="str">
        <x:v>Validé CI ciblée</x:v>
      </x:c>
      <x:c r="K5" s="75" t="str">
        <x:v>Ordre militaire propre au jeu</x:v>
      </x:c>
      <x:c r="L5" s="75" t="str">
        <x:v>Test en conditions de horde; infographie de portée</x:v>
      </x:c>
      <x:c r="M5" s="75" t="str">
        <x:v>QA-CW136-ASS-01</x:v>
      </x:c>
      <x:c r="N5" s="75" t="str">
        <x:v>https://github.com/darknigthmare/yautja-la-longue-chasse/pull/45</x:v>
      </x:c>
    </x:row>
    <x:row r="6" ht="43" customHeight="1">
      <x:c r="A6" s="75" t="str">
        <x:v>CW136-ASS-002</x:v>
      </x:c>
      <x:c r="B6" s="76" t="str">
        <x:v>Assaut latéral</x:v>
      </x:c>
      <x:c r="C6" s="75" t="str">
        <x:v>Protection de base</x:v>
      </x:c>
      <x:c r="D6" s="75" t="str">
        <x:v>Fortification V135</x:v>
      </x:c>
      <x:c r="E6" s="75" t="str">
        <x:v>Équipe déployée x≤18, bastion endommagé, 18 AP</x:v>
      </x:c>
      <x:c r="F6" s="75" t="str">
        <x:v>DEF V6 restaure ≤8 PV; une seule action par détachement</x:v>
      </x:c>
      <x:c r="G6" s="75" t="str">
        <x:v>Bastion intact, équipe perdue ou AP insuffisants refusés</x:v>
      </x:c>
      <x:c r="H6" s="75" t="str">
        <x:v>reinforceWarAssaultLineV135</x:v>
      </x:c>
      <x:c r="I6" s="75" t="str">
        <x:v>P0</x:v>
      </x:c>
      <x:c r="J6" s="75" t="str">
        <x:v>Validé CI ciblée</x:v>
      </x:c>
      <x:c r="K6" s="75" t="str">
        <x:v>Sans technologie filmique inventée</x:v>
      </x:c>
      <x:c r="L6" s="75" t="str">
        <x:v>Animation visible et rétroaction manette</x:v>
      </x:c>
      <x:c r="M6" s="75" t="str">
        <x:v>QA-CW136-ASS-02</x:v>
      </x:c>
      <x:c r="N6" s="75" t="str">
        <x:v>https://github.com/darknigthmare/yautja-la-longue-chasse/pull/44</x:v>
      </x:c>
    </x:row>
    <x:row r="7" ht="43" customHeight="1">
      <x:c r="A7" s="75" t="str">
        <x:v>CW136-ASS-003</x:v>
      </x:c>
      <x:c r="B7" s="76" t="str">
        <x:v>Assaut latéral</x:v>
      </x:c>
      <x:c r="C7" s="75" t="str">
        <x:v>Déploiement AP</x:v>
      </x:c>
      <x:c r="D7" s="75" t="str">
        <x:v>Renforts payés</x:v>
      </x:c>
      <x:c r="E7" s="75" t="str">
        <x:v>Équipe réservée en V6, assez AP</x:v>
      </x:c>
      <x:c r="F7" s="75" t="str">
        <x:v>Coût AP corrélé PC; arrivée unique; aucun duplicata</x:v>
      </x:c>
      <x:c r="G7" s="75" t="str">
        <x:v>Pas de recrutement fantôme ni débit RAV double</x:v>
      </x:c>
      <x:c r="H7" s="75" t="str">
        <x:v>deployAssaultUnitV115</x:v>
      </x:c>
      <x:c r="I7" s="75" t="str">
        <x:v>P0</x:v>
      </x:c>
      <x:c r="J7" s="75" t="str">
        <x:v>Validé CI ciblée</x:v>
      </x:c>
      <x:c r="K7" s="75" t="str">
        <x:v>Roster source W3-U, scénario original</x:v>
      </x:c>
      <x:c r="L7" s="75" t="str">
        <x:v>Visibilité point d'apparition, formation</x:v>
      </x:c>
      <x:c r="M7" s="75" t="str">
        <x:v>QA-CW136-ASS-03</x:v>
      </x:c>
      <x:c r="N7" s="75" t="str">
        <x:v>https://github.com/darknigthmare/yautja-la-longue-chasse/pull/44</x:v>
      </x:c>
    </x:row>
    <x:row r="8" ht="43" customHeight="1">
      <x:c r="A8" s="75" t="str">
        <x:v>CW136-ASS-004</x:v>
      </x:c>
      <x:c r="B8" s="76" t="str">
        <x:v>Assaut latéral</x:v>
      </x:c>
      <x:c r="C8" s="75" t="str">
        <x:v>Feu concentré</x:v>
      </x:c>
      <x:c r="D8" s="75" t="str">
        <x:v>Manœuvre V117</x:v>
      </x:c>
      <x:c r="E8" s="75" t="str">
        <x:v>Équipe engagée, cible vivante à distance V6, 20 AP</x:v>
      </x:c>
      <x:c r="F8" s="75" t="str">
        <x:v>Dégâts source ciblés, consommation unique</x:v>
      </x:c>
      <x:c r="G8" s="75" t="str">
        <x:v>Tir hors portée interdit; no ammo exploitable</x:v>
      </x:c>
      <x:c r="H8" s="75" t="str">
        <x:v>issueWarAssaultSpecialV117</x:v>
      </x:c>
      <x:c r="I8" s="75" t="str">
        <x:v>P0</x:v>
      </x:c>
      <x:c r="J8" s="75" t="str">
        <x:v>Validé CI ciblée</x:v>
      </x:c>
      <x:c r="K8" s="75" t="str">
        <x:v>Armes et silhouettes finales à sourcer</x:v>
      </x:c>
      <x:c r="L8" s="75" t="str">
        <x:v>Choix manuel de cible et LOS horizontale</x:v>
      </x:c>
      <x:c r="M8" s="75" t="str">
        <x:v>QA-CW136-ASS-04</x:v>
      </x:c>
      <x:c r="N8" s="75" t="str">
        <x:v>https://github.com/darknigthmare/yautja-la-longue-chasse/pull/44</x:v>
      </x:c>
    </x:row>
    <x:row r="9" ht="43" customHeight="1">
      <x:c r="A9" s="75" t="str">
        <x:v>CW136-ASS-005</x:v>
      </x:c>
      <x:c r="B9" s="76" t="str">
        <x:v>Assaut latéral</x:v>
      </x:c>
      <x:c r="C9" s="75" t="str">
        <x:v>Front auto</x:v>
      </x:c>
      <x:c r="D9" s="75" t="str">
        <x:v>Progression et riposte</x:v>
      </x:c>
      <x:c r="E9" s="75" t="str">
        <x:v>Bataille ouverte, ticks limités</x:v>
      </x:c>
      <x:c r="F9" s="75" t="str">
        <x:v>Unité monte en pression, base subit dégâts; rapport unique</x:v>
      </x:c>
      <x:c r="G9" s="75" t="str">
        <x:v>Pas de téléportation d'allié ni d'XP de reset</x:v>
      </x:c>
      <x:c r="H9" s="75" t="str">
        <x:v>stepAssaultV115</x:v>
      </x:c>
      <x:c r="I9" s="75" t="str">
        <x:v>P0</x:v>
      </x:c>
      <x:c r="J9" s="75" t="str">
        <x:v>Partiel — prototype</x:v>
      </x:c>
      <x:c r="K9" s="75" t="str">
        <x:v>Mouvement de guerre non tiré des films</x:v>
      </x:c>
      <x:c r="L9" s="75" t="str">
        <x:v>Équilibrer le nombre de vagues et pertes</x:v>
      </x:c>
      <x:c r="M9" s="75" t="str">
        <x:v>QA-CW136-ASS-05</x:v>
      </x:c>
      <x:c r="N9" s="75" t="str">
        <x:v>https://github.com/darknigthmare/yautja-la-longue-chasse/pull/44</x:v>
      </x:c>
    </x:row>
    <x:row r="10" ht="43" customHeight="1">
      <x:c r="A10" s="75" t="str">
        <x:v>CW136-ASS-006</x:v>
      </x:c>
      <x:c r="B10" s="76" t="str">
        <x:v>Assaut latéral</x:v>
      </x:c>
      <x:c r="C10" s="75" t="str">
        <x:v>Terrain fidèle</x:v>
      </x:c>
      <x:c r="D10" s="75" t="str">
        <x:v>Obstacles latéraux réels</x:v>
      </x:c>
      <x:c r="E10" s="75" t="str">
        <x:v>Biome planète/source W3 associé à la mission</x:v>
      </x:c>
      <x:c r="F10" s="75" t="str">
        <x:v>Collision, relief, plateforme et couvert distincts</x:v>
      </x:c>
      <x:c r="G10" s="75" t="str">
        <x:v>Refuser neige aléatoire sur désert et milieu spatial au sol</x:v>
      </x:c>
      <x:c r="H10" s="75" t="str">
        <x:v>terrain_assault_v136_TODO</x:v>
      </x:c>
      <x:c r="I10" s="75" t="str">
        <x:v>P0</x:v>
      </x:c>
      <x:c r="J10" s="75" t="str">
        <x:v>À développer</x:v>
      </x:c>
      <x:c r="K10" s="75" t="str">
        <x:v>Biome/plans W3, pas de décors de film prouvés</x:v>
      </x:c>
      <x:c r="L10" s="75" t="str">
        <x:v>Tilesets régionaux et collisions progressives</x:v>
      </x:c>
      <x:c r="M10" s="75" t="str">
        <x:v>QA-CW136-ASS-06</x:v>
      </x:c>
      <x:c r="N10" s="75" t="str">
        <x:v>https://github.com/darknigthmare/yautja-la-longue-chasse/pull/45</x:v>
      </x:c>
    </x:row>
    <x:row r="11" ht="43" customHeight="1">
      <x:c r="A11" s="75" t="str">
        <x:v>CW136-ASS-007</x:v>
      </x:c>
      <x:c r="B11" s="76" t="str">
        <x:v>Assaut latéral</x:v>
      </x:c>
      <x:c r="C11" s="75" t="str">
        <x:v>Vagues ordonnées</x:v>
      </x:c>
      <x:c r="D11" s="75" t="str">
        <x:v>Spawn par type d'ennemi</x:v>
      </x:c>
      <x:c r="E11" s="75" t="str">
        <x:v>Faction adverse, budget PC/RAV, climat</x:v>
      </x:c>
      <x:c r="F11" s="75" t="str">
        <x:v>Patrouilles, flanqueurs et renforts chronométrés</x:v>
      </x:c>
      <x:c r="G11" s="75" t="str">
        <x:v>Ne pas créer soldats gratuits tous les ticks</x:v>
      </x:c>
      <x:c r="H11" s="75" t="str">
        <x:v>waves_assault_v136_TODO</x:v>
      </x:c>
      <x:c r="I11" s="75" t="str">
        <x:v>P0</x:v>
      </x:c>
      <x:c r="J11" s="75" t="str">
        <x:v>À développer</x:v>
      </x:c>
      <x:c r="K11" s="75" t="str">
        <x:v>Races par continuité et territoire réel</x:v>
      </x:c>
      <x:c r="L11" s="75" t="str">
        <x:v>Tables 24 scripts W3 et quotas IA</x:v>
      </x:c>
      <x:c r="M11" s="75" t="str">
        <x:v>QA-CW136-ASS-07</x:v>
      </x:c>
      <x:c r="N11" s="75" t="str">
        <x:v>https://github.com/darknigthmare/yautja-la-longue-chasse/pull/45</x:v>
      </x:c>
    </x:row>
    <x:row r="12" ht="43" customHeight="1">
      <x:c r="A12" s="75" t="str">
        <x:v>CW136-ASS-008</x:v>
      </x:c>
      <x:c r="B12" s="76" t="str">
        <x:v>Assaut latéral</x:v>
      </x:c>
      <x:c r="C12" s="75" t="str">
        <x:v>Voies tactiques</x:v>
      </x:c>
      <x:c r="D12" s="75" t="str">
        <x:v>Plusieurs hauteurs</x:v>
      </x:c>
      <x:c r="E12" s="75" t="str">
        <x:v>Trame de relief W3 sans téléportation</x:v>
      </x:c>
      <x:c r="F12" s="75" t="str">
        <x:v>Voie haute, basse et passages physiques</x:v>
      </x:c>
      <x:c r="G12" s="75" t="str">
        <x:v>Blocage mur, liquide dangereux et saut incohérent</x:v>
      </x:c>
      <x:c r="H12" s="75" t="str">
        <x:v>lanes_assault_v136_TODO</x:v>
      </x:c>
      <x:c r="I12" s="75" t="str">
        <x:v>P1</x:v>
      </x:c>
      <x:c r="J12" s="75" t="str">
        <x:v>À développer</x:v>
      </x:c>
      <x:c r="K12" s="75" t="str">
        <x:v>Conserver dimensions et accès de la carte</x:v>
      </x:c>
      <x:c r="L12" s="75" t="str">
        <x:v>Pathfinding 2D et passerelles</x:v>
      </x:c>
      <x:c r="M12" s="75" t="str">
        <x:v>QA-CW136-ASS-08</x:v>
      </x:c>
      <x:c r="N12" s="75" t="str">
        <x:v>https://github.com/darknigthmare/yautja-la-longue-chasse/pull/45</x:v>
      </x:c>
    </x:row>
    <x:row r="13" ht="43" customHeight="1">
      <x:c r="A13" s="75" t="str">
        <x:v>CW136-ASS-009</x:v>
      </x:c>
      <x:c r="B13" s="76" t="str">
        <x:v>Assaut latéral</x:v>
      </x:c>
      <x:c r="C13" s="75" t="str">
        <x:v>Cibles prioritaires</x:v>
      </x:c>
      <x:c r="D13" s="75" t="str">
        <x:v>Ordres défense/attaque</x:v>
      </x:c>
      <x:c r="E13" s="75" t="str">
        <x:v>Renseignement réellement acquis, équipe disponible</x:v>
      </x:c>
      <x:c r="F13" s="75" t="str">
        <x:v>Ordre défense ou focus exécuté sur unité identifiée</x:v>
      </x:c>
      <x:c r="G13" s="75" t="str">
        <x:v>Pas d'omniscience sur troupe cachée</x:v>
      </x:c>
      <x:c r="H13" s="75" t="str">
        <x:v>target_priority_assault_TODO</x:v>
      </x:c>
      <x:c r="I13" s="75" t="str">
        <x:v>P0</x:v>
      </x:c>
      <x:c r="J13" s="75" t="str">
        <x:v>Partiel — prototype</x:v>
      </x:c>
      <x:c r="K13" s="75" t="str">
        <x:v>Honneur de chasse séparé des règles gameplay</x:v>
      </x:c>
      <x:c r="L13" s="75" t="str">
        <x:v>Sélection en temps réel, portée et LOS</x:v>
      </x:c>
      <x:c r="M13" s="75" t="str">
        <x:v>QA-CW136-ASS-01</x:v>
      </x:c>
      <x:c r="N13" s="75" t="str">
        <x:v>https://github.com/darknigthmare/yautja-la-longue-chasse/pull/45</x:v>
      </x:c>
    </x:row>
    <x:row r="14" ht="43" customHeight="1">
      <x:c r="A14" s="75" t="str">
        <x:v>CW136-ASS-010</x:v>
      </x:c>
      <x:c r="B14" s="76" t="str">
        <x:v>Assaut latéral</x:v>
      </x:c>
      <x:c r="C14" s="75" t="str">
        <x:v>Montures</x:v>
      </x:c>
      <x:c r="D14" s="75" t="str">
        <x:v>Déploiement de bêtes</x:v>
      </x:c>
      <x:c r="E14" s="75" t="str">
        <x:v>Race et équipement compatibles, accès gabarit</x:v>
      </x:c>
      <x:c r="F14" s="75" t="str">
        <x:v>Monture possède identité et collision, possibilité repli</x:v>
      </x:c>
      <x:c r="G14" s="75" t="str">
        <x:v>Aucune monture de biome contradictoire</x:v>
      </x:c>
      <x:c r="H14" s="75" t="str">
        <x:v>mounted_assault_TODO</x:v>
      </x:c>
      <x:c r="I14" s="75" t="str">
        <x:v>P1</x:v>
      </x:c>
      <x:c r="J14" s="75" t="str">
        <x:v>À développer</x:v>
      </x:c>
      <x:c r="K14" s="75" t="str">
        <x:v>Sources montures par film/comic/source</x:v>
      </x:c>
      <x:c r="L14" s="75" t="str">
        <x:v>Sprites indépendants, animation et IA</x:v>
      </x:c>
      <x:c r="M14" s="75" t="str">
        <x:v>QA-CW136-ASS-02</x:v>
      </x:c>
      <x:c r="N14" s="75" t="str">
        <x:v>https://github.com/darknigthmare/yautja-la-longue-chasse/pull/45</x:v>
      </x:c>
    </x:row>
    <x:row r="15" ht="43" customHeight="1">
      <x:c r="A15" s="75" t="str">
        <x:v>CW136-ASS-011</x:v>
      </x:c>
      <x:c r="B15" s="76" t="str">
        <x:v>Assaut latéral</x:v>
      </x:c>
      <x:c r="C15" s="75" t="str">
        <x:v>Gros adversaires</x:v>
      </x:c>
      <x:c r="D15" s="75" t="str">
        <x:v>Sièges et boss</x:v>
      </x:c>
      <x:c r="E15" s="75" t="str">
        <x:v>Scénario avec présence canon/documentée</x:v>
      </x:c>
      <x:c r="F15" s="75" t="str">
        <x:v>Bastion boss en plusieurs étapes, ciblage de points</x:v>
      </x:c>
      <x:c r="G15" s="75" t="str">
        <x:v>Ne pas injecter monstre sans justification lore</x:v>
      </x:c>
      <x:c r="H15" s="75" t="str">
        <x:v>boss_assault_TODO</x:v>
      </x:c>
      <x:c r="I15" s="75" t="str">
        <x:v>P1</x:v>
      </x:c>
      <x:c r="J15" s="75" t="str">
        <x:v>À développer</x:v>
      </x:c>
      <x:c r="K15" s="75" t="str">
        <x:v>Séparer canonicalité et création originale</x:v>
      </x:c>
      <x:c r="L15" s="75" t="str">
        <x:v>Scripts destructibles/variantes</x:v>
      </x:c>
      <x:c r="M15" s="75" t="str">
        <x:v>QA-CW136-ASS-03</x:v>
      </x:c>
      <x:c r="N15" s="75" t="str">
        <x:v>https://github.com/darknigthmare/yautja-la-longue-chasse/pull/45</x:v>
      </x:c>
    </x:row>
    <x:row r="16" ht="43" customHeight="1">
      <x:c r="A16" s="75" t="str">
        <x:v>CW136-ASS-012</x:v>
      </x:c>
      <x:c r="B16" s="76" t="str">
        <x:v>Assaut latéral</x:v>
      </x:c>
      <x:c r="C16" s="75" t="str">
        <x:v>Mode réseau</x:v>
      </x:c>
      <x:c r="D16" s="75" t="str">
        <x:v>Coopérations et résultats</x:v>
      </x:c>
      <x:c r="E16" s="75" t="str">
        <x:v>Hôte autoritaire et équipes liées à compte</x:v>
      </x:c>
      <x:c r="F16" s="75" t="str">
        <x:v>Deux joueurs, absence double XP et reçu idempotent</x:v>
      </x:c>
      <x:c r="G16" s="75" t="str">
        <x:v>Client ne peut s'attribuer armée ou ressources</x:v>
      </x:c>
      <x:c r="H16" s="75" t="str">
        <x:v>net_assault_TODO</x:v>
      </x:c>
      <x:c r="I16" s="75" t="str">
        <x:v>P0</x:v>
      </x:c>
      <x:c r="J16" s="75" t="str">
        <x:v>À développer</x:v>
      </x:c>
      <x:c r="K16" s="75" t="str">
        <x:v>Multijoueur original, aucune norme filmique</x:v>
      </x:c>
      <x:c r="L16" s="75" t="str">
        <x:v>Serveur, matchmaking et anti-triche</x:v>
      </x:c>
      <x:c r="M16" s="75" t="str">
        <x:v>QA-CW136-ASS-04</x:v>
      </x:c>
      <x:c r="N16" s="75" t="str">
        <x:v>https://github.com/darknigthmare/yautja-la-longue-chasse/pull/45</x:v>
      </x:c>
    </x:row>
    <x:row r="17" ht="43" customHeight="1">
      <x:c r="A17" s="77" t="str">
        <x:v>CW136-OUT-001</x:v>
      </x:c>
      <x:c r="B17" s="78" t="str">
        <x:v>Outer Ops</x:v>
      </x:c>
      <x:c r="C17" s="77" t="str">
        <x:v>Soutien en route</x:v>
      </x:c>
      <x:c r="D17" s="77" t="str">
        <x:v>Ravitaillement V136 (2 RAV)</x:v>
      </x:c>
      <x:c r="E17" s="77" t="str">
        <x:v>Mandat actif, équipes réellement engagées, avant mi-temps</x:v>
      </x:c>
      <x:c r="F17" s="77" t="str">
        <x:v>+4 puissance d'exercice à résolution; même route/ETA</x:v>
      </x:c>
      <x:c r="G17" s="77" t="str">
        <x:v>Un seul achat; RAV insuffisant, rappel ou délai expiré rejetés</x:v>
      </x:c>
      <x:c r="H17" s="77" t="str">
        <x:v>supplyWarOuterMissionV136</x:v>
      </x:c>
      <x:c r="I17" s="77" t="str">
        <x:v>P0</x:v>
      </x:c>
      <x:c r="J17" s="77" t="str">
        <x:v>Validé CI ciblée</x:v>
      </x:c>
      <x:c r="K17" s="77" t="str">
        <x:v>Pas de ravitaillement magique; statut fiction</x:v>
      </x:c>
      <x:c r="L17" s="77" t="str">
        <x:v>Transport à simuler et matériel visible</x:v>
      </x:c>
      <x:c r="M17" s="77" t="str">
        <x:v>QA-CW136-OUT-01</x:v>
      </x:c>
      <x:c r="N17" s="77" t="str">
        <x:v>https://github.com/darknigthmare/yautja-la-longue-chasse/pull/45</x:v>
      </x:c>
    </x:row>
    <x:row r="18" ht="43" customHeight="1">
      <x:c r="A18" s="77" t="str">
        <x:v>CW136-OUT-002</x:v>
      </x:c>
      <x:c r="B18" s="78" t="str">
        <x:v>Outer Ops</x:v>
      </x:c>
      <x:c r="C18" s="77" t="str">
        <x:v>Réorientation</x:v>
      </x:c>
      <x:c r="D18" s="77" t="str">
        <x:v>Changer objectif V135</x:v>
      </x:c>
      <x:c r="E18" s="77" t="str">
        <x:v>Départ effectué, première moitié du mandat</x:v>
      </x:c>
      <x:c r="F18" s="77" t="str">
        <x:v>Recon/interception/escorte réorientées sans nouveau débit</x:v>
      </x:c>
      <x:c r="G18" s="77" t="str">
        <x:v>Double retask et rappel en cours rejetés</x:v>
      </x:c>
      <x:c r="H18" s="77" t="str">
        <x:v>redirectWarOuterOpsV135</x:v>
      </x:c>
      <x:c r="I18" s="77" t="str">
        <x:v>P0</x:v>
      </x:c>
      <x:c r="J18" s="77" t="str">
        <x:v>Validé CI ciblée</x:v>
      </x:c>
      <x:c r="K18" s="77" t="str">
        <x:v>Mandat auteur W3/V6 original</x:v>
      </x:c>
      <x:c r="L18" s="77" t="str">
        <x:v>Rapports narratifs par choix</x:v>
      </x:c>
      <x:c r="M18" s="77" t="str">
        <x:v>QA-CW136-OUT-02</x:v>
      </x:c>
      <x:c r="N18" s="77" t="str">
        <x:v>https://github.com/darknigthmare/yautja-la-longue-chasse/pull/44</x:v>
      </x:c>
    </x:row>
    <x:row r="19" ht="43" customHeight="1">
      <x:c r="A19" s="77" t="str">
        <x:v>CW136-OUT-003</x:v>
      </x:c>
      <x:c r="B19" s="78" t="str">
        <x:v>Outer Ops</x:v>
      </x:c>
      <x:c r="C19" s="77" t="str">
        <x:v>Retour différé</x:v>
      </x:c>
      <x:c r="D19" s="77" t="str">
        <x:v>Rappel avec temps de trajet</x:v>
      </x:c>
      <x:c r="E19" s="77" t="str">
        <x:v>Mandat existant et non réglé</x:v>
      </x:c>
      <x:c r="F19" s="77" t="str">
        <x:v>Repli réellement retardé, revenu une seule fois</x:v>
      </x:c>
      <x:c r="G19" s="77" t="str">
        <x:v>Pas d'extraction instantanée/XP de retraite</x:v>
      </x:c>
      <x:c r="H19" s="77" t="str">
        <x:v>recallWarOuterMissionV116</x:v>
      </x:c>
      <x:c r="I19" s="77" t="str">
        <x:v>P0</x:v>
      </x:c>
      <x:c r="J19" s="77" t="str">
        <x:v>Validé CI ciblée</x:v>
      </x:c>
      <x:c r="K19" s="77" t="str">
        <x:v>Aucun téléporteur inventé</x:v>
      </x:c>
      <x:c r="L19" s="77" t="str">
        <x:v>Retraits en cours affichés dans atlas</x:v>
      </x:c>
      <x:c r="M19" s="77" t="str">
        <x:v>QA-CW136-OUT-03</x:v>
      </x:c>
      <x:c r="N19" s="77" t="str">
        <x:v>https://github.com/darknigthmare/yautja-la-longue-chasse/pull/44</x:v>
      </x:c>
    </x:row>
    <x:row r="20" ht="43" customHeight="1">
      <x:c r="A20" s="77" t="str">
        <x:v>CW136-OUT-004</x:v>
      </x:c>
      <x:c r="B20" s="78" t="str">
        <x:v>Outer Ops</x:v>
      </x:c>
      <x:c r="C20" s="77" t="str">
        <x:v>Résolution déterministe</x:v>
      </x:c>
      <x:c r="D20" s="77" t="str">
        <x:v>Trois échanges simulés</x:v>
      </x:c>
      <x:c r="E20" s="77" t="str">
        <x:v>V6 équipes, terrain, itinéraire connu</x:v>
      </x:c>
      <x:c r="F20" s="77" t="str">
        <x:v>3 phases déterministes et une issue unique</x:v>
      </x:c>
      <x:c r="G20" s="77" t="str">
        <x:v>Pas de hasard non reproductible ou de butin caché</x:v>
      </x:c>
      <x:c r="H20" s="77" t="str">
        <x:v>simulateWarOuterMissionV115</x:v>
      </x:c>
      <x:c r="I20" s="77" t="str">
        <x:v>P0</x:v>
      </x:c>
      <x:c r="J20" s="77" t="str">
        <x:v>Validé CI ciblée</x:v>
      </x:c>
      <x:c r="K20" s="77" t="str">
        <x:v>Règles de score de jeu, non canon</x:v>
      </x:c>
      <x:c r="L20" s="77" t="str">
        <x:v>Log détaillé de chaque étape</x:v>
      </x:c>
      <x:c r="M20" s="77" t="str">
        <x:v>QA-CW136-OUT-04</x:v>
      </x:c>
      <x:c r="N20" s="77" t="str">
        <x:v>https://github.com/darknigthmare/yautja-la-longue-chasse/pull/44</x:v>
      </x:c>
    </x:row>
    <x:row r="21" ht="43" customHeight="1">
      <x:c r="A21" s="77" t="str">
        <x:v>CW136-OUT-005</x:v>
      </x:c>
      <x:c r="B21" s="78" t="str">
        <x:v>Outer Ops</x:v>
      </x:c>
      <x:c r="C21" s="77" t="str">
        <x:v>Mobilisation</x:v>
      </x:c>
      <x:c r="D21" s="77" t="str">
        <x:v>PC et entretien RAV</x:v>
      </x:c>
      <x:c r="E21" s="77" t="str">
        <x:v>1–4 équipes libres, route réelle et budget</x:v>
      </x:c>
      <x:c r="F21" s="77" t="str">
        <x:v>Affectations uniques; entretien déduit au départ</x:v>
      </x:c>
      <x:c r="G21" s="77" t="str">
        <x:v>Aucune double affectation ni double coût</x:v>
      </x:c>
      <x:c r="H21" s="77" t="str">
        <x:v>beginWarOperationV115</x:v>
      </x:c>
      <x:c r="I21" s="77" t="str">
        <x:v>P0</x:v>
      </x:c>
      <x:c r="J21" s="77" t="str">
        <x:v>Validé CI ciblée</x:v>
      </x:c>
      <x:c r="K21" s="77" t="str">
        <x:v>Unités V6 vérifiées</x:v>
      </x:c>
      <x:c r="L21" s="77" t="str">
        <x:v>Types missions nation/clan et UI</x:v>
      </x:c>
      <x:c r="M21" s="77" t="str">
        <x:v>QA-CW136-OUT-05</x:v>
      </x:c>
      <x:c r="N21" s="77" t="str">
        <x:v>https://github.com/darknigthmare/yautja-la-longue-chasse/pull/44</x:v>
      </x:c>
    </x:row>
    <x:row r="22" ht="43" customHeight="1">
      <x:c r="A22" s="77" t="str">
        <x:v>CW136-OUT-006</x:v>
      </x:c>
      <x:c r="B22" s="78" t="str">
        <x:v>Outer Ops</x:v>
      </x:c>
      <x:c r="C22" s="77" t="str">
        <x:v>Conditions de passage</x:v>
      </x:c>
      <x:c r="D22" s="77" t="str">
        <x:v>Carte des routes V6</x:v>
      </x:c>
      <x:c r="E22" s="77" t="str">
        <x:v>Territoires et passages avec capacités</x:v>
      </x:c>
      <x:c r="F22" s="77" t="str">
        <x:v>Ordre seulement si route parcourable avec PC</x:v>
      </x:c>
      <x:c r="G22" s="77" t="str">
        <x:v>Passage fermé/étranger ou charge interdite rejeté</x:v>
      </x:c>
      <x:c r="H22" s="77" t="str">
        <x:v>warMissionEligibleV115</x:v>
      </x:c>
      <x:c r="I22" s="77" t="str">
        <x:v>P0</x:v>
      </x:c>
      <x:c r="J22" s="77" t="str">
        <x:v>Partiel — prototype</x:v>
      </x:c>
      <x:c r="K22" s="77" t="str">
        <x:v>Korthas fictive, ne pas confondre Terre</x:v>
      </x:c>
      <x:c r="L22" s="77" t="str">
        <x:v>Pannes réseaux, ponts, saisons</x:v>
      </x:c>
      <x:c r="M22" s="77" t="str">
        <x:v>QA-CW136-OUT-06</x:v>
      </x:c>
      <x:c r="N22" s="77" t="str">
        <x:v>https://github.com/darknigthmare/yautja-la-longue-chasse/pull/44</x:v>
      </x:c>
    </x:row>
    <x:row r="23" ht="43" customHeight="1">
      <x:c r="A23" s="77" t="str">
        <x:v>CW136-OUT-007</x:v>
      </x:c>
      <x:c r="B23" s="78" t="str">
        <x:v>Outer Ops</x:v>
      </x:c>
      <x:c r="C23" s="77" t="str">
        <x:v>Aléas de trajet</x:v>
      </x:c>
      <x:c r="D23" s="77" t="str">
        <x:v>Événements locaux étagés</x:v>
      </x:c>
      <x:c r="E23" s="77" t="str">
        <x:v>Biome, zone, fenêtre climatique documentés</x:v>
      </x:c>
      <x:c r="F23" s="77" t="str">
        <x:v>Incident physique, alternative réelle et délais mis à jour</x:v>
      </x:c>
      <x:c r="G23" s="77" t="str">
        <x:v>Pas de blizzard sur sol brûlant</x:v>
      </x:c>
      <x:c r="H23" s="77" t="str">
        <x:v>outer_incidents_TODO</x:v>
      </x:c>
      <x:c r="I23" s="77" t="str">
        <x:v>P1</x:v>
      </x:c>
      <x:c r="J23" s="77" t="str">
        <x:v>À développer</x:v>
      </x:c>
      <x:c r="K23" s="77" t="str">
        <x:v>Phénomènes cohérents avec planet ID</x:v>
      </x:c>
      <x:c r="L23" s="77" t="str">
        <x:v>Table événements 6 mondes W3</x:v>
      </x:c>
      <x:c r="M23" s="77" t="str">
        <x:v>QA-CW136-OUT-07</x:v>
      </x:c>
      <x:c r="N23" s="77" t="str">
        <x:v>https://github.com/darknigthmare/yautja-la-longue-chasse/pull/45</x:v>
      </x:c>
    </x:row>
    <x:row r="24" ht="43" customHeight="1">
      <x:c r="A24" s="77" t="str">
        <x:v>CW136-OUT-008</x:v>
      </x:c>
      <x:c r="B24" s="78" t="str">
        <x:v>Outer Ops</x:v>
      </x:c>
      <x:c r="C24" s="77" t="str">
        <x:v>Évacuation blessés</x:v>
      </x:c>
      <x:c r="D24" s="77" t="str">
        <x:v>Extraction médicale multi-cases</x:v>
      </x:c>
      <x:c r="E24" s="77" t="str">
        <x:v>Médic W3-U18 et patiente active</x:v>
      </x:c>
      <x:c r="F24" s="77" t="str">
        <x:v>Retour du même membre avec statut wound, pas clone</x:v>
      </x:c>
      <x:c r="G24" s="77" t="str">
        <x:v>Médic absent ou blessé → soins indisponibles</x:v>
      </x:c>
      <x:c r="H24" s="77" t="str">
        <x:v>outer_medevac_TODO</x:v>
      </x:c>
      <x:c r="I24" s="77" t="str">
        <x:v>P1</x:v>
      </x:c>
      <x:c r="J24" s="77" t="str">
        <x:v>Partiel — prototype</x:v>
      </x:c>
      <x:c r="K24" s="77" t="str">
        <x:v>Dépendance système médical V116</x:v>
      </x:c>
      <x:c r="L24" s="77" t="str">
        <x:v>Transport et temps d'intervention</x:v>
      </x:c>
      <x:c r="M24" s="77" t="str">
        <x:v>QA-CW136-OUT-08</x:v>
      </x:c>
      <x:c r="N24" s="77" t="str">
        <x:v>https://github.com/darknigthmare/yautja-la-longue-chasse/pull/45</x:v>
      </x:c>
    </x:row>
    <x:row r="25" ht="43" customHeight="1">
      <x:c r="A25" s="77" t="str">
        <x:v>CW136-OUT-009</x:v>
      </x:c>
      <x:c r="B25" s="78" t="str">
        <x:v>Outer Ops</x:v>
      </x:c>
      <x:c r="C25" s="77" t="str">
        <x:v>Spécialités</x:v>
      </x:c>
      <x:c r="D25" s="77" t="str">
        <x:v>Rôles de détachement</x:v>
      </x:c>
      <x:c r="E25" s="77" t="str">
        <x:v>Unité réelle W3-U et expérience</x:v>
      </x:c>
      <x:c r="F25" s="77" t="str">
        <x:v>Différents coefficients selon recon/escorte/interception</x:v>
      </x:c>
      <x:c r="G25" s="77" t="str">
        <x:v>Pas de capacités de race non vérifiées</x:v>
      </x:c>
      <x:c r="H25" s="77" t="str">
        <x:v>outer_role_effects_TODO</x:v>
      </x:c>
      <x:c r="I25" s="77" t="str">
        <x:v>P1</x:v>
      </x:c>
      <x:c r="J25" s="77" t="str">
        <x:v>Partiel — prototype</x:v>
      </x:c>
      <x:c r="K25" s="77" t="str">
        <x:v>Seuils XP V6, non rang Blooded fictif</x:v>
      </x:c>
      <x:c r="L25" s="77" t="str">
        <x:v>Interactions membres, spécialités A/B</x:v>
      </x:c>
      <x:c r="M25" s="77" t="str">
        <x:v>QA-CW136-OUT-01</x:v>
      </x:c>
      <x:c r="N25" s="77" t="str">
        <x:v>https://github.com/darknigthmare/yautja-la-longue-chasse/pull/45</x:v>
      </x:c>
    </x:row>
    <x:row r="26" ht="43" customHeight="1">
      <x:c r="A26" s="77" t="str">
        <x:v>CW136-OUT-010</x:v>
      </x:c>
      <x:c r="B26" s="78" t="str">
        <x:v>Outer Ops</x:v>
      </x:c>
      <x:c r="C26" s="77" t="str">
        <x:v>Missions W5</x:v>
      </x:c>
      <x:c r="D26" s="77" t="str">
        <x:v>Contrats source W5</x:v>
      </x:c>
      <x:c r="E26" s="77" t="str">
        <x:v>Monde/lore/zone réellement compatibles</x:v>
      </x:c>
      <x:c r="F26" s="77" t="str">
        <x:v>36 dossiers W5 associés à leurs accès et factions</x:v>
      </x:c>
      <x:c r="G26" s="77" t="str">
        <x:v>Pas de mission humaine sur planète étrangère</x:v>
      </x:c>
      <x:c r="H26" s="77" t="str">
        <x:v>outer_w5_bridge_TODO</x:v>
      </x:c>
      <x:c r="I26" s="77" t="str">
        <x:v>P1</x:v>
      </x:c>
      <x:c r="J26" s="77" t="str">
        <x:v>À développer</x:v>
      </x:c>
      <x:c r="K26" s="77" t="str">
        <x:v>Source W5 auteur ≠ canon film</x:v>
      </x:c>
      <x:c r="L26" s="77" t="str">
        <x:v>Écriture 36 scripts uniques</x:v>
      </x:c>
      <x:c r="M26" s="77" t="str">
        <x:v>QA-CW136-OUT-02</x:v>
      </x:c>
      <x:c r="N26" s="77" t="str">
        <x:v>https://github.com/darknigthmare/yautja-la-longue-chasse/pull/45</x:v>
      </x:c>
    </x:row>
    <x:row r="27" ht="43" customHeight="1">
      <x:c r="A27" s="77" t="str">
        <x:v>CW136-OUT-011</x:v>
      </x:c>
      <x:c r="B27" s="78" t="str">
        <x:v>Outer Ops</x:v>
      </x:c>
      <x:c r="C27" s="77" t="str">
        <x:v>Garnisons</x:v>
      </x:c>
      <x:c r="D27" s="77" t="str">
        <x:v>Rapport stratégique autorisé</x:v>
      </x:c>
      <x:c r="E27" s="77" t="str">
        <x:v>Moteur V85 décide défense et droits</x:v>
      </x:c>
      <x:c r="F27" s="77" t="str">
        <x:v>Mutation serveur idempotente après retour final</x:v>
      </x:c>
      <x:c r="G27" s="77" t="str">
        <x:v>Aucun gain territorial par simple rapport local</x:v>
      </x:c>
      <x:c r="H27" s="77" t="str">
        <x:v>outer_v85_authority_TODO</x:v>
      </x:c>
      <x:c r="I27" s="77" t="str">
        <x:v>P0</x:v>
      </x:c>
      <x:c r="J27" s="77" t="str">
        <x:v>À développer</x:v>
      </x:c>
      <x:c r="K27" s="77" t="str">
        <x:v>Conflit original, traçabilité Bible V6</x:v>
      </x:c>
      <x:c r="L27" s="77" t="str">
        <x:v>Conquête, RAV, fatigue et contrôle</x:v>
      </x:c>
      <x:c r="M27" s="77" t="str">
        <x:v>QA-CW136-OUT-03</x:v>
      </x:c>
      <x:c r="N27" s="77" t="str">
        <x:v>https://github.com/darknigthmare/yautja-la-longue-chasse/pull/45</x:v>
      </x:c>
    </x:row>
    <x:row r="28" ht="43" customHeight="1">
      <x:c r="A28" s="77" t="str">
        <x:v>CW136-OUT-012</x:v>
      </x:c>
      <x:c r="B28" s="78" t="str">
        <x:v>Outer Ops</x:v>
      </x:c>
      <x:c r="C28" s="77" t="str">
        <x:v>PvP différé</x:v>
      </x:c>
      <x:c r="D28" s="77" t="str">
        <x:v>Conflits simultanés en ligne</x:v>
      </x:c>
      <x:c r="E28" s="77" t="str">
        <x:v>Serveur fixe ordre des tours et temps</x:v>
      </x:c>
      <x:c r="F28" s="77" t="str">
        <x:v>Missions asynchrones avec replay signé</x:v>
      </x:c>
      <x:c r="G28" s="77" t="str">
        <x:v>Client ne choisit pas la défaite adverse</x:v>
      </x:c>
      <x:c r="H28" s="77" t="str">
        <x:v>outer_network_TODO</x:v>
      </x:c>
      <x:c r="I28" s="77" t="str">
        <x:v>P0</x:v>
      </x:c>
      <x:c r="J28" s="77" t="str">
        <x:v>À développer</x:v>
      </x:c>
      <x:c r="K28" s="77" t="str">
        <x:v>Mode réseau auteur</x:v>
      </x:c>
      <x:c r="L28" s="77" t="str">
        <x:v>Serveur, anticheat et synchronisation</x:v>
      </x:c>
      <x:c r="M28" s="77" t="str">
        <x:v>QA-CW136-OUT-04</x:v>
      </x:c>
      <x:c r="N28" s="77" t="str">
        <x:v>https://github.com/darknigthmare/yautja-la-longue-chasse/pull/45</x:v>
      </x:c>
    </x:row>
    <x:row r="29" ht="43" customHeight="1">
      <x:c r="A29" s="75" t="str">
        <x:v>CW136-INF-001</x:v>
      </x:c>
      <x:c r="B29" s="76" t="str">
        <x:v>Infiltration</x:v>
      </x:c>
      <x:c r="C29" s="75" t="str">
        <x:v>Couvert physique</x:v>
      </x:c>
      <x:c r="D29" s="75" t="str">
        <x:v>Se dissimuler V136</x:v>
      </x:c>
      <x:c r="E29" s="75" t="str">
        <x:v>Case de couvert W3, non utilisée; joueur hors vision proche</x:v>
      </x:c>
      <x:c r="F29" s="75" t="str">
        <x:v>Réduit alerte de 1 et regagne ≤1 énergie sur 1 tour</x:v>
      </x:c>
      <x:c r="G29" s="75" t="str">
        <x:v>Garde adjacent peut voir; pas de couverture fictive/illimitée</x:v>
      </x:c>
      <x:c r="H29" s="75" t="str">
        <x:v>commandStealthV115:hide</x:v>
      </x:c>
      <x:c r="I29" s="75" t="str">
        <x:v>P0</x:v>
      </x:c>
      <x:c r="J29" s="75" t="str">
        <x:v>Validé CI ciblée</x:v>
      </x:c>
      <x:c r="K29" s="75" t="str">
        <x:v>Geste original, pas de scène canon inventée</x:v>
      </x:c>
      <x:c r="L29" s="75" t="str">
        <x:v>Animation, occlusion et retour visuel</x:v>
      </x:c>
      <x:c r="M29" s="75" t="str">
        <x:v>QA-CW136-INF-01</x:v>
      </x:c>
      <x:c r="N29" s="75" t="str">
        <x:v>https://github.com/darknigthmare/yautja-la-longue-chasse/pull/45</x:v>
      </x:c>
    </x:row>
    <x:row r="30" ht="43" customHeight="1">
      <x:c r="A30" s="75" t="str">
        <x:v>CW136-INF-002</x:v>
      </x:c>
      <x:c r="B30" s="76" t="str">
        <x:v>Infiltration</x:v>
      </x:c>
      <x:c r="C30" s="75" t="str">
        <x:v>Diversion sonore</x:v>
      </x:c>
      <x:c r="D30" s="75" t="str">
        <x:v>Détourner patrouille V135</x:v>
      </x:c>
      <x:c r="E30" s="75" t="str">
        <x:v>Pisteur découvert, 2 énergie, une fois</x:v>
      </x:c>
      <x:c r="F30" s="75" t="str">
        <x:v>Garde réagit physiquement pendant 3 décisions</x:v>
      </x:c>
      <x:c r="G30" s="75" t="str">
        <x:v>Pas de leurre téléporté ni sonore infini</x:v>
      </x:c>
      <x:c r="H30" s="75" t="str">
        <x:v>commandStealthV115:decoy</x:v>
      </x:c>
      <x:c r="I30" s="75" t="str">
        <x:v>P0</x:v>
      </x:c>
      <x:c r="J30" s="75" t="str">
        <x:v>Validé CI ciblée</x:v>
      </x:c>
      <x:c r="K30" s="75" t="str">
        <x:v>Gadget abstrait du prototype</x:v>
      </x:c>
      <x:c r="L30" s="75" t="str">
        <x:v>Son spatialisé, rayons d'écoute</x:v>
      </x:c>
      <x:c r="M30" s="75" t="str">
        <x:v>QA-CW136-INF-02</x:v>
      </x:c>
      <x:c r="N30" s="75" t="str">
        <x:v>https://github.com/darknigthmare/yautja-la-longue-chasse/pull/44</x:v>
      </x:c>
    </x:row>
    <x:row r="31" ht="43" customHeight="1">
      <x:c r="A31" s="75" t="str">
        <x:v>CW136-INF-003</x:v>
      </x:c>
      <x:c r="B31" s="76" t="str">
        <x:v>Infiltration</x:v>
      </x:c>
      <x:c r="C31" s="75" t="str">
        <x:v>Énergie</x:v>
      </x:c>
      <x:c r="D31" s="75" t="str">
        <x:v>Camouflage optique V115</x:v>
      </x:c>
      <x:c r="E31" s="75" t="str">
        <x:v>Batterie disponible, statut du joueur</x:v>
      </x:c>
      <x:c r="F31" s="75" t="str">
        <x:v>Consommation de batterie et retour en visibilité</x:v>
      </x:c>
      <x:c r="G31" s="75" t="str">
        <x:v>Pas de cloak à énergie négative</x:v>
      </x:c>
      <x:c r="H31" s="75" t="str">
        <x:v>commandStealthV115:cloak</x:v>
      </x:c>
      <x:c r="I31" s="75" t="str">
        <x:v>P0</x:v>
      </x:c>
      <x:c r="J31" s="75" t="str">
        <x:v>Validé CI ciblée</x:v>
      </x:c>
      <x:c r="K31" s="75" t="str">
        <x:v>Séparer rendu PHG et stat W3</x:v>
      </x:c>
      <x:c r="L31" s="75" t="str">
        <x:v>Modes de vision et variations capteurs</x:v>
      </x:c>
      <x:c r="M31" s="75" t="str">
        <x:v>QA-CW136-INF-03</x:v>
      </x:c>
      <x:c r="N31" s="75" t="str">
        <x:v>https://github.com/darknigthmare/yautja-la-longue-chasse/pull/44</x:v>
      </x:c>
    </x:row>
    <x:row r="32" ht="43" customHeight="1">
      <x:c r="A32" s="75" t="str">
        <x:v>CW136-INF-004</x:v>
      </x:c>
      <x:c r="B32" s="76" t="str">
        <x:v>Infiltration</x:v>
      </x:c>
      <x:c r="C32" s="75" t="str">
        <x:v>Détection</x:v>
      </x:c>
      <x:c r="D32" s="75" t="str">
        <x:v>Garde, raycast et alerte</x:v>
      </x:c>
      <x:c r="E32" s="75" t="str">
        <x:v>Ligne de vue réelle et parois régionales</x:v>
      </x:c>
      <x:c r="F32" s="75" t="str">
        <x:v>Alerte progressive, échec à 3</x:v>
      </x:c>
      <x:c r="G32" s="75" t="str">
        <x:v>Aucune vision à travers murs</x:v>
      </x:c>
      <x:c r="H32" s="75" t="str">
        <x:v>warTerrainLineOfSightV116</x:v>
      </x:c>
      <x:c r="I32" s="75" t="str">
        <x:v>P0</x:v>
      </x:c>
      <x:c r="J32" s="75" t="str">
        <x:v>Validé CI ciblée</x:v>
      </x:c>
      <x:c r="K32" s="75" t="str">
        <x:v>Comportement garde jeu original</x:v>
      </x:c>
      <x:c r="L32" s="75" t="str">
        <x:v>Cones de vision et champs dynamiques</x:v>
      </x:c>
      <x:c r="M32" s="75" t="str">
        <x:v>QA-CW136-INF-04</x:v>
      </x:c>
      <x:c r="N32" s="75" t="str">
        <x:v>https://github.com/darknigthmare/yautja-la-longue-chasse/pull/44</x:v>
      </x:c>
    </x:row>
    <x:row r="33" ht="43" customHeight="1">
      <x:c r="A33" s="75" t="str">
        <x:v>CW136-INF-005</x:v>
      </x:c>
      <x:c r="B33" s="76" t="str">
        <x:v>Infiltration</x:v>
      </x:c>
      <x:c r="C33" s="75" t="str">
        <x:v>Sabotage</x:v>
      </x:c>
      <x:c r="D33" s="75" t="str">
        <x:v>Désactiver relais physique</x:v>
      </x:c>
      <x:c r="E33" s="75" t="str">
        <x:v>A une case du relais, une seule fois</x:v>
      </x:c>
      <x:c r="F33" s="75" t="str">
        <x:v>Relais saboté et retour exigé</x:v>
      </x:c>
      <x:c r="G33" s="75" t="str">
        <x:v>Aucun sabotage à distance</x:v>
      </x:c>
      <x:c r="H33" s="75" t="str">
        <x:v>commandStealthV115:interact</x:v>
      </x:c>
      <x:c r="I33" s="75" t="str">
        <x:v>P0</x:v>
      </x:c>
      <x:c r="J33" s="75" t="str">
        <x:v>Validé CI ciblée</x:v>
      </x:c>
      <x:c r="K33" s="75" t="str">
        <x:v>Référence mission V6 correctement localisée</x:v>
      </x:c>
      <x:c r="L33" s="75" t="str">
        <x:v>Câbles animés, état alimentation, traces</x:v>
      </x:c>
      <x:c r="M33" s="75" t="str">
        <x:v>QA-CW136-INF-05</x:v>
      </x:c>
      <x:c r="N33" s="75" t="str">
        <x:v>https://github.com/darknigthmare/yautja-la-longue-chasse/pull/44</x:v>
      </x:c>
    </x:row>
    <x:row r="34" ht="43" customHeight="1">
      <x:c r="A34" s="75" t="str">
        <x:v>CW136-INF-006</x:v>
      </x:c>
      <x:c r="B34" s="76" t="str">
        <x:v>Infiltration</x:v>
      </x:c>
      <x:c r="C34" s="75" t="str">
        <x:v>Extraction</x:v>
      </x:c>
      <x:c r="D34" s="75" t="str">
        <x:v>Retour physique</x:v>
      </x:c>
      <x:c r="E34" s="75" t="str">
        <x:v>Relais saboté, départ y4/x1</x:v>
      </x:c>
      <x:c r="F34" s="75" t="str">
        <x:v>Seule la présence à l'extraction déclenche victoire</x:v>
      </x:c>
      <x:c r="G34" s="75" t="str">
        <x:v>Pas de victoire en éliminant un garde</x:v>
      </x:c>
      <x:c r="H34" s="75" t="str">
        <x:v>commandStealthV115</x:v>
      </x:c>
      <x:c r="I34" s="75" t="str">
        <x:v>P0</x:v>
      </x:c>
      <x:c r="J34" s="75" t="str">
        <x:v>Validé CI ciblée</x:v>
      </x:c>
      <x:c r="K34" s="75" t="str">
        <x:v>Mission de chasse fictive</x:v>
      </x:c>
      <x:c r="L34" s="75" t="str">
        <x:v>Navigation alternative et contre-patrouilles</x:v>
      </x:c>
      <x:c r="M34" s="75" t="str">
        <x:v>QA-CW136-INF-06</x:v>
      </x:c>
      <x:c r="N34" s="75" t="str">
        <x:v>https://github.com/darknigthmare/yautja-la-longue-chasse/pull/44</x:v>
      </x:c>
    </x:row>
    <x:row r="35" ht="43" customHeight="1">
      <x:c r="A35" s="75" t="str">
        <x:v>CW136-INF-007</x:v>
      </x:c>
      <x:c r="B35" s="76" t="str">
        <x:v>Infiltration</x:v>
      </x:c>
      <x:c r="C35" s="75" t="str">
        <x:v>Courant réel</x:v>
      </x:c>
      <x:c r="D35" s="75" t="str">
        <x:v>Panne capteur/porte</x:v>
      </x:c>
      <x:c r="E35" s="75" t="str">
        <x:v>Dispositif alimenté présent sur vraie carte</x:v>
      </x:c>
      <x:c r="F35" s="75" t="str">
        <x:v>Lumière/garde/porte changent suivant panne</x:v>
      </x:c>
      <x:c r="G35" s="75" t="str">
        <x:v>Panne sans générateur ne crée pas effets</x:v>
      </x:c>
      <x:c r="H35" s="75" t="str">
        <x:v>stealth_power_TODO</x:v>
      </x:c>
      <x:c r="I35" s="75" t="str">
        <x:v>P0</x:v>
      </x:c>
      <x:c r="J35" s="75" t="str">
        <x:v>À développer</x:v>
      </x:c>
      <x:c r="K35" s="75" t="str">
        <x:v>Milieux orbitaux/thermiques cohérents</x:v>
      </x:c>
      <x:c r="L35" s="75" t="str">
        <x:v>Circuits, état et restitution</x:v>
      </x:c>
      <x:c r="M35" s="75" t="str">
        <x:v>QA-CW136-INF-07</x:v>
      </x:c>
      <x:c r="N35" s="75" t="str">
        <x:v>https://github.com/darknigthmare/yautja-la-longue-chasse/pull/45</x:v>
      </x:c>
    </x:row>
    <x:row r="36" ht="43" customHeight="1">
      <x:c r="A36" s="75" t="str">
        <x:v>CW136-INF-008</x:v>
      </x:c>
      <x:c r="B36" s="76" t="str">
        <x:v>Infiltration</x:v>
      </x:c>
      <x:c r="C36" s="75" t="str">
        <x:v>Sabotage multi-étapes</x:v>
      </x:c>
      <x:c r="D36" s="75" t="str">
        <x:v>Réglages et preuves</x:v>
      </x:c>
      <x:c r="E36" s="75" t="str">
        <x:v>Objectifs physiquement distincts</x:v>
      </x:c>
      <x:c r="F36" s="75" t="str">
        <x:v>Approche, dérivation et retour sans téléport</x:v>
      </x:c>
      <x:c r="G36" s="75" t="str">
        <x:v>Rejet si geste/valve hors portée</x:v>
      </x:c>
      <x:c r="H36" s="75" t="str">
        <x:v>stealth_steps_TODO</x:v>
      </x:c>
      <x:c r="I36" s="75" t="str">
        <x:v>P0</x:v>
      </x:c>
      <x:c r="J36" s="75" t="str">
        <x:v>Partiel — prototype</x:v>
      </x:c>
      <x:c r="K36" s="75" t="str">
        <x:v>24 tâches W3 existantes mais autre moteur</x:v>
      </x:c>
      <x:c r="L36" s="75" t="str">
        <x:v>Raccorder V129 à infiltration</x:v>
      </x:c>
      <x:c r="M36" s="75" t="str">
        <x:v>QA-CW136-INF-08</x:v>
      </x:c>
      <x:c r="N36" s="75" t="str">
        <x:v>https://github.com/darknigthmare/yautja-la-longue-chasse/pull/45</x:v>
      </x:c>
    </x:row>
    <x:row r="37" ht="43" customHeight="1">
      <x:c r="A37" s="75" t="str">
        <x:v>CW136-INF-009</x:v>
      </x:c>
      <x:c r="B37" s="76" t="str">
        <x:v>Infiltration</x:v>
      </x:c>
      <x:c r="C37" s="75" t="str">
        <x:v>Patrouilles locales</x:v>
      </x:c>
      <x:c r="D37" s="75" t="str">
        <x:v>Plusieurs ennemis</x:v>
      </x:c>
      <x:c r="E37" s="75" t="str">
        <x:v>Roster logique d'ennemis par monde</x:v>
      </x:c>
      <x:c r="F37" s="75" t="str">
        <x:v>Perception bruit/thermique/vision et recherche</x:v>
      </x:c>
      <x:c r="G37" s="75" t="str">
        <x:v>Aucun garde humain par défaut sur monde alien</x:v>
      </x:c>
      <x:c r="H37" s="75" t="str">
        <x:v>stealth_ai_TODO</x:v>
      </x:c>
      <x:c r="I37" s="75" t="str">
        <x:v>P1</x:v>
      </x:c>
      <x:c r="J37" s="75" t="str">
        <x:v>À développer</x:v>
      </x:c>
      <x:c r="K37" s="75" t="str">
        <x:v>Types de senseurs sourcés par œuvre</x:v>
      </x:c>
      <x:c r="L37" s="75" t="str">
        <x:v>Trajectoires et investigateurs</x:v>
      </x:c>
      <x:c r="M37" s="75" t="str">
        <x:v>QA-CW136-INF-01</x:v>
      </x:c>
      <x:c r="N37" s="75" t="str">
        <x:v>https://github.com/darknigthmare/yautja-la-longue-chasse/pull/45</x:v>
      </x:c>
    </x:row>
    <x:row r="38" ht="43" customHeight="1">
      <x:c r="A38" s="75" t="str">
        <x:v>CW136-INF-010</x:v>
      </x:c>
      <x:c r="B38" s="76" t="str">
        <x:v>Infiltration</x:v>
      </x:c>
      <x:c r="C38" s="75" t="str">
        <x:v>Danger climatique</x:v>
      </x:c>
      <x:c r="D38" s="75" t="str">
        <x:v>Biomes et horaires</x:v>
      </x:c>
      <x:c r="E38" s="75" t="str">
        <x:v>Lieux chauds/froids/liquides cohérents</x:v>
      </x:c>
      <x:c r="F38" s="75" t="str">
        <x:v>Vitesse visibilité selon conditions de zone</x:v>
      </x:c>
      <x:c r="G38" s="75" t="str">
        <x:v>Pas d'effet glace pour désert chaud</x:v>
      </x:c>
      <x:c r="H38" s="75" t="str">
        <x:v>stealth_biome_TODO</x:v>
      </x:c>
      <x:c r="I38" s="75" t="str">
        <x:v>P1</x:v>
      </x:c>
      <x:c r="J38" s="75" t="str">
        <x:v>À développer</x:v>
      </x:c>
      <x:c r="K38" s="75" t="str">
        <x:v>Traçabilité worldCode et géographie</x:v>
      </x:c>
      <x:c r="L38" s="75" t="str">
        <x:v>Étude des six mondes</x:v>
      </x:c>
      <x:c r="M38" s="75" t="str">
        <x:v>QA-CW136-INF-02</x:v>
      </x:c>
      <x:c r="N38" s="75" t="str">
        <x:v>https://github.com/darknigthmare/yautja-la-longue-chasse/pull/45</x:v>
      </x:c>
    </x:row>
    <x:row r="39" ht="43" customHeight="1">
      <x:c r="A39" s="75" t="str">
        <x:v>CW136-INF-011</x:v>
      </x:c>
      <x:c r="B39" s="76" t="str">
        <x:v>Infiltration</x:v>
      </x:c>
      <x:c r="C39" s="75" t="str">
        <x:v>Règles de chasse</x:v>
      </x:c>
      <x:c r="D39" s="75" t="str">
        <x:v>Objectif honorable</x:v>
      </x:c>
      <x:c r="E39" s="75" t="str">
        <x:v>Contexte, cibles, âge/armes source</x:v>
      </x:c>
      <x:c r="F39" s="75" t="str">
        <x:v>Évaluation dépend du mandat, non punition globale</x:v>
      </x:c>
      <x:c r="G39" s="75" t="str">
        <x:v>Pas de règle canon inventée pour tous clans</x:v>
      </x:c>
      <x:c r="H39" s="75" t="str">
        <x:v>stealth_honor_TODO</x:v>
      </x:c>
      <x:c r="I39" s="75" t="str">
        <x:v>P1</x:v>
      </x:c>
      <x:c r="J39" s="75" t="str">
        <x:v>À développer</x:v>
      </x:c>
      <x:c r="K39" s="75" t="str">
        <x:v>Sources films/comics/jeux séparées</x:v>
      </x:c>
      <x:c r="L39" s="75" t="str">
        <x:v>Références et dialogues</x:v>
      </x:c>
      <x:c r="M39" s="75" t="str">
        <x:v>QA-CW136-INF-03</x:v>
      </x:c>
      <x:c r="N39" s="75" t="str">
        <x:v>https://github.com/darknigthmare/yautja-la-longue-chasse/pull/45</x:v>
      </x:c>
    </x:row>
    <x:row r="40" ht="43" customHeight="1">
      <x:c r="A40" s="75" t="str">
        <x:v>CW136-INF-012</x:v>
      </x:c>
      <x:c r="B40" s="76" t="str">
        <x:v>Infiltration</x:v>
      </x:c>
      <x:c r="C40" s="75" t="str">
        <x:v>Coop sabotage</x:v>
      </x:c>
      <x:c r="D40" s="75" t="str">
        <x:v>Réseau et IA partenaire</x:v>
      </x:c>
      <x:c r="E40" s="75" t="str">
        <x:v>Serveur + deux acteurs physiques</x:v>
      </x:c>
      <x:c r="F40" s="75" t="str">
        <x:v>Séparation de tâches, extraction groupée, reçu unique</x:v>
      </x:c>
      <x:c r="G40" s="75" t="str">
        <x:v>Aucune caisse clonée entre joueurs</x:v>
      </x:c>
      <x:c r="H40" s="75" t="str">
        <x:v>stealth_network_TODO</x:v>
      </x:c>
      <x:c r="I40" s="75" t="str">
        <x:v>P0</x:v>
      </x:c>
      <x:c r="J40" s="75" t="str">
        <x:v>À développer</x:v>
      </x:c>
      <x:c r="K40" s="75" t="str">
        <x:v>Original coop distinct de lore</x:v>
      </x:c>
      <x:c r="L40" s="75" t="str">
        <x:v>Latence, PvP, spectateur</x:v>
      </x:c>
      <x:c r="M40" s="75" t="str">
        <x:v>QA-CW136-INF-04</x:v>
      </x:c>
      <x:c r="N40" s="75" t="str">
        <x:v>https://github.com/darknigthmare/yautja-la-longue-chasse/pull/45</x:v>
      </x:c>
    </x:row>
    <x:row r="41" ht="43" customHeight="1">
      <x:c r="A41" s="77" t="str">
        <x:v>CW136-RTS-001</x:v>
      </x:c>
      <x:c r="B41" s="78" t="str">
        <x:v>RTS multi-escouades</x:v>
      </x:c>
      <x:c r="C41" s="77" t="str">
        <x:v>Veille de secteur</x:v>
      </x:c>
      <x:c r="D41" s="77" t="str">
        <x:v>Réaction V136</x:v>
      </x:c>
      <x:c r="E41" s="77" t="str">
        <x:v>Escouade active, LOS réelle, RAV disponible</x:v>
      </x:c>
      <x:c r="F41" s="77" t="str">
        <x:v>Un tir après action adverse si cible à portée, 1 RAV si tir</x:v>
      </x:c>
      <x:c r="G41" s="77" t="str">
        <x:v>Aucune cible invisible; expire en 2 tours; mouvement annule</x:v>
      </x:c>
      <x:c r="H41" s="77" t="str">
        <x:v>commandWarRtsOverwatchV136</x:v>
      </x:c>
      <x:c r="I41" s="77" t="str">
        <x:v>P0</x:v>
      </x:c>
      <x:c r="J41" s="77" t="str">
        <x:v>Validé CI ciblée</x:v>
      </x:c>
      <x:c r="K41" s="77" t="str">
        <x:v>Ordre de jeu original, pas nouvelle arme canon</x:v>
      </x:c>
      <x:c r="L41" s="77" t="str">
        <x:v>Animation portée/effets et manette</x:v>
      </x:c>
      <x:c r="M41" s="77" t="str">
        <x:v>QA-CW136-RTS-01</x:v>
      </x:c>
      <x:c r="N41" s="77" t="str">
        <x:v>https://github.com/darknigthmare/yautja-la-longue-chasse/pull/45</x:v>
      </x:c>
    </x:row>
    <x:row r="42" ht="43" customHeight="1">
      <x:c r="A42" s="77" t="str">
        <x:v>CW136-RTS-002</x:v>
      </x:c>
      <x:c r="B42" s="78" t="str">
        <x:v>RTS multi-escouades</x:v>
      </x:c>
      <x:c r="C42" s="77" t="str">
        <x:v>Suppression</x:v>
      </x:c>
      <x:c r="D42" s="77" t="str">
        <x:v>Tir de contrôle V135</x:v>
      </x:c>
      <x:c r="E42" s="77" t="str">
        <x:v>Adversaire vu, à portée, 2 RAV</x:v>
      </x:c>
      <x:c r="F42" s="77" t="str">
        <x:v>Bloque exactement une riposte sans dégâts fictifs</x:v>
      </x:c>
      <x:c r="G42" s="77" t="str">
        <x:v>Cible invisible/armée vide → refus</x:v>
      </x:c>
      <x:c r="H42" s="77" t="str">
        <x:v>commandWarRtsSuppressV135</x:v>
      </x:c>
      <x:c r="I42" s="77" t="str">
        <x:v>P0</x:v>
      </x:c>
      <x:c r="J42" s="77" t="str">
        <x:v>Validé CI ciblée</x:v>
      </x:c>
      <x:c r="K42" s="77" t="str">
        <x:v>Distinguer tir et équipement PHG authentiques</x:v>
      </x:c>
      <x:c r="L42" s="77" t="str">
        <x:v>Corps, projectiles et collisions</x:v>
      </x:c>
      <x:c r="M42" s="77" t="str">
        <x:v>QA-CW136-RTS-02</x:v>
      </x:c>
      <x:c r="N42" s="77" t="str">
        <x:v>https://github.com/darknigthmare/yautja-la-longue-chasse/pull/44</x:v>
      </x:c>
    </x:row>
    <x:row r="43" ht="43" customHeight="1">
      <x:c r="A43" s="77" t="str">
        <x:v>CW136-RTS-003</x:v>
      </x:c>
      <x:c r="B43" s="78" t="str">
        <x:v>RTS multi-escouades</x:v>
      </x:c>
      <x:c r="C43" s="77" t="str">
        <x:v>Ralliement</x:v>
      </x:c>
      <x:c r="D43" s="77" t="str">
        <x:v>Ordres collectifs V134</x:v>
      </x:c>
      <x:c r="E43" s="77" t="str">
        <x:v>1–4 équipes, point walkable non réservé</x:v>
      </x:c>
      <x:c r="F43" s="77" t="str">
        <x:v>Un tick adverse pour groupe, chaque unité ≤1 case</x:v>
      </x:c>
      <x:c r="G43" s="77" t="str">
        <x:v>Pas de collision, traversée mur ou teleport</x:v>
      </x:c>
      <x:c r="H43" s="77" t="str">
        <x:v>commandWarRtsRallyV134</x:v>
      </x:c>
      <x:c r="I43" s="77" t="str">
        <x:v>P0</x:v>
      </x:c>
      <x:c r="J43" s="77" t="str">
        <x:v>Validé CI ciblée</x:v>
      </x:c>
      <x:c r="K43" s="77" t="str">
        <x:v>Mécanique tactique du jeu</x:v>
      </x:c>
      <x:c r="L43" s="77" t="str">
        <x:v>Formations et encombrement lourd</x:v>
      </x:c>
      <x:c r="M43" s="77" t="str">
        <x:v>QA-CW136-RTS-03</x:v>
      </x:c>
      <x:c r="N43" s="77" t="str">
        <x:v>https://github.com/darknigthmare/yautja-la-longue-chasse/pull/43</x:v>
      </x:c>
    </x:row>
    <x:row r="44" ht="43" customHeight="1">
      <x:c r="A44" s="77" t="str">
        <x:v>CW136-RTS-004</x:v>
      </x:c>
      <x:c r="B44" s="78" t="str">
        <x:v>RTS multi-escouades</x:v>
      </x:c>
      <x:c r="C44" s="77" t="str">
        <x:v>Détachements W3</x:v>
      </x:c>
      <x:c r="D44" s="77" t="str">
        <x:v>Composition V133</x:v>
      </x:c>
      <x:c r="E44" s="77" t="str">
        <x:v>Unité source W3-U et PC mission</x:v>
      </x:c>
      <x:c r="F44" s="77" t="str">
        <x:v>2–4 formations, caps PC contrôlés</x:v>
      </x:c>
      <x:c r="G44" s="77" t="str">
        <x:v>Ne crée pas les soldats de campagne V85</x:v>
      </x:c>
      <x:c r="H44" s="77" t="str">
        <x:v>createWarRtsSquadsV133</x:v>
      </x:c>
      <x:c r="I44" s="77" t="str">
        <x:v>P0</x:v>
      </x:c>
      <x:c r="J44" s="77" t="str">
        <x:v>Validé CI ciblée</x:v>
      </x:c>
      <x:c r="K44" s="77" t="str">
        <x:v>Nom/roster de Bible V6</x:v>
      </x:c>
      <x:c r="L44" s="77" t="str">
        <x:v>Lien armurerie/modèles</x:v>
      </x:c>
      <x:c r="M44" s="77" t="str">
        <x:v>QA-CW136-RTS-04</x:v>
      </x:c>
      <x:c r="N44" s="77" t="str">
        <x:v>https://github.com/darknigthmare/yautja-la-longue-chasse/pull/43</x:v>
      </x:c>
    </x:row>
    <x:row r="45" ht="43" customHeight="1">
      <x:c r="A45" s="77" t="str">
        <x:v>CW136-RTS-005</x:v>
      </x:c>
      <x:c r="B45" s="78" t="str">
        <x:v>RTS multi-escouades</x:v>
      </x:c>
      <x:c r="C45" s="77" t="str">
        <x:v>Chaîne 72 preuves</x:v>
      </x:c>
      <x:c r="D45" s="77" t="str">
        <x:v>24 scripts W3</x:v>
      </x:c>
      <x:c r="E45" s="77" t="str">
        <x:v>Carte/planète/missions source W3-RTS01..24</x:v>
      </x:c>
      <x:c r="F45" s="77" t="str">
        <x:v>72 tâches, escortes et extraction en mission test</x:v>
      </x:c>
      <x:c r="G45" s="77" t="str">
        <x:v>Aucun gain sans retour et trois preuves</x:v>
      </x:c>
      <x:c r="H45" s="77" t="str">
        <x:v>clanWarRtsSourceMissionsV129</x:v>
      </x:c>
      <x:c r="I45" s="77" t="str">
        <x:v>P0</x:v>
      </x:c>
      <x:c r="J45" s="77" t="str">
        <x:v>Validé CI ciblée</x:v>
      </x:c>
      <x:c r="K45" s="77" t="str">
        <x:v>Source auteur W3, pas scènes filmées</x:v>
      </x:c>
      <x:c r="L45" s="77" t="str">
        <x:v>Jouabilité complète en opposition IA</x:v>
      </x:c>
      <x:c r="M45" s="77" t="str">
        <x:v>QA-CW136-RTS-05</x:v>
      </x:c>
      <x:c r="N45" s="77" t="str">
        <x:v>https://github.com/darknigthmare/yautja-la-longue-chasse/pull/43</x:v>
      </x:c>
    </x:row>
    <x:row r="46" ht="43" customHeight="1">
      <x:c r="A46" s="77" t="str">
        <x:v>CW136-RTS-006</x:v>
      </x:c>
      <x:c r="B46" s="78" t="str">
        <x:v>RTS multi-escouades</x:v>
      </x:c>
      <x:c r="C46" s="77" t="str">
        <x:v>Brouillard de guerre</x:v>
      </x:c>
      <x:c r="D46" s="77" t="str">
        <x:v>Info réellement vue</x:v>
      </x:c>
      <x:c r="E46" s="77" t="str">
        <x:v>Portée de ligne de vue et cache positions</x:v>
      </x:c>
      <x:c r="F46" s="77" t="str">
        <x:v>Carte ne montre pas ennemis cachés</x:v>
      </x:c>
      <x:c r="G46" s="77" t="str">
        <x:v>Planificateur ne révèle pas patrouille éloignée</x:v>
      </x:c>
      <x:c r="H46" s="77" t="str">
        <x:v>visibleWarRtsEnemiesV133</x:v>
      </x:c>
      <x:c r="I46" s="77" t="str">
        <x:v>P0</x:v>
      </x:c>
      <x:c r="J46" s="77" t="str">
        <x:v>Validé CI ciblée</x:v>
      </x:c>
      <x:c r="K46" s="77" t="str">
        <x:v>Éviter omniscience IA et joueur</x:v>
      </x:c>
      <x:c r="L46" s="77" t="str">
        <x:v>Exploration FOV et indicateurs derniers vus</x:v>
      </x:c>
      <x:c r="M46" s="77" t="str">
        <x:v>QA-CW136-RTS-06</x:v>
      </x:c>
      <x:c r="N46" s="77" t="str">
        <x:v>https://github.com/darknigthmare/yautja-la-longue-chasse/pull/43</x:v>
      </x:c>
    </x:row>
    <x:row r="47" ht="43" customHeight="1">
      <x:c r="A47" s="77" t="str">
        <x:v>CW136-RTS-007</x:v>
      </x:c>
      <x:c r="B47" s="78" t="str">
        <x:v>RTS multi-escouades</x:v>
      </x:c>
      <x:c r="C47" s="77" t="str">
        <x:v>Énergie/portes</x:v>
      </x:c>
      <x:c r="D47" s="77" t="str">
        <x:v>Pannes physiques W3</x:v>
      </x:c>
      <x:c r="E47" s="77" t="str">
        <x:v>Carte avec mécanisme motorisé réel</x:v>
      </x:c>
      <x:c r="F47" s="77" t="str">
        <x:v>Sas/porte/réacteur influencent objectif et accès</x:v>
      </x:c>
      <x:c r="G47" s="77" t="str">
        <x:v>Pas de porte flottante ou système sans courant</x:v>
      </x:c>
      <x:c r="H47" s="77" t="str">
        <x:v>commandWarRtsSquadsV133</x:v>
      </x:c>
      <x:c r="I47" s="77" t="str">
        <x:v>P0</x:v>
      </x:c>
      <x:c r="J47" s="77" t="str">
        <x:v>Partiel — prototype</x:v>
      </x:c>
      <x:c r="K47" s="77" t="str">
        <x:v>MAP12 orbital, MAP10 souterrain</x:v>
      </x:c>
      <x:c r="L47" s="77" t="str">
        <x:v>Réparation, alimentation secondaire</x:v>
      </x:c>
      <x:c r="M47" s="77" t="str">
        <x:v>QA-CW136-RTS-07</x:v>
      </x:c>
      <x:c r="N47" s="77" t="str">
        <x:v>https://github.com/darknigthmare/yautja-la-longue-chasse/pull/43</x:v>
      </x:c>
    </x:row>
    <x:row r="48" ht="43" customHeight="1">
      <x:c r="A48" s="77" t="str">
        <x:v>CW136-RTS-008</x:v>
      </x:c>
      <x:c r="B48" s="78" t="str">
        <x:v>RTS multi-escouades</x:v>
      </x:c>
      <x:c r="C48" s="77" t="str">
        <x:v>Escorte</x:v>
      </x:c>
      <x:c r="D48" s="77" t="str">
        <x:v>Charge et neutres</x:v>
      </x:c>
      <x:c r="E48" s="77" t="str">
        <x:v>Personne ou bien préexistant</x:v>
      </x:c>
      <x:c r="F48" s="77" t="str">
        <x:v>Suit par cases; relève possible; sortie ensemble</x:v>
      </x:c>
      <x:c r="G48" s="77" t="str">
        <x:v>Pas de téléportation, statut neutre conservé</x:v>
      </x:c>
      <x:c r="H48" s="77" t="str">
        <x:v>commandWarRtsSquadsV133:pickup</x:v>
      </x:c>
      <x:c r="I48" s="77" t="str">
        <x:v>P0</x:v>
      </x:c>
      <x:c r="J48" s="77" t="str">
        <x:v>Validé CI ciblée</x:v>
      </x:c>
      <x:c r="K48" s="77" t="str">
        <x:v>Différencier humain neutre/ennemi</x:v>
      </x:c>
      <x:c r="L48" s="77" t="str">
        <x:v>Animations PNJ et itinéraires avancés</x:v>
      </x:c>
      <x:c r="M48" s="77" t="str">
        <x:v>QA-CW136-RTS-08</x:v>
      </x:c>
      <x:c r="N48" s="77" t="str">
        <x:v>https://github.com/darknigthmare/yautja-la-longue-chasse/pull/43</x:v>
      </x:c>
    </x:row>
    <x:row r="49" ht="43" customHeight="1">
      <x:c r="A49" s="77" t="str">
        <x:v>CW136-RTS-009</x:v>
      </x:c>
      <x:c r="B49" s="78" t="str">
        <x:v>RTS multi-escouades</x:v>
      </x:c>
      <x:c r="C49" s="77" t="str">
        <x:v>A* de groupe</x:v>
      </x:c>
      <x:c r="D49" s="77" t="str">
        <x:v>Gestion embouteillages</x:v>
      </x:c>
      <x:c r="E49" s="77" t="str">
        <x:v>Taille case, volume unité/monture</x:v>
      </x:c>
      <x:c r="F49" s="77" t="str">
        <x:v>Replanification autour obstruction</x:v>
      </x:c>
      <x:c r="G49" s="77" t="str">
        <x:v>Aucune superposition d'escouades</x:v>
      </x:c>
      <x:c r="H49" s="77" t="str">
        <x:v>rts_pathfinding_TODO</x:v>
      </x:c>
      <x:c r="I49" s="77" t="str">
        <x:v>P0</x:v>
      </x:c>
      <x:c r="J49" s="77" t="str">
        <x:v>Partiel — prototype</x:v>
      </x:c>
      <x:c r="K49" s="77" t="str">
        <x:v>Topologie V128 étude non canon</x:v>
      </x:c>
      <x:c r="L49" s="77" t="str">
        <x:v>Congestion, pentes et portes dynamiques</x:v>
      </x:c>
      <x:c r="M49" s="77" t="str">
        <x:v>QA-CW136-RTS-01</x:v>
      </x:c>
      <x:c r="N49" s="77" t="str">
        <x:v>https://github.com/darknigthmare/yautja-la-longue-chasse/pull/45</x:v>
      </x:c>
    </x:row>
    <x:row r="50" ht="43" customHeight="1">
      <x:c r="A50" s="77" t="str">
        <x:v>CW136-RTS-010</x:v>
      </x:c>
      <x:c r="B50" s="78" t="str">
        <x:v>RTS multi-escouades</x:v>
      </x:c>
      <x:c r="C50" s="77" t="str">
        <x:v>Fortifications</x:v>
      </x:c>
      <x:c r="D50" s="77" t="str">
        <x:v>Bâtiments et batteries</x:v>
      </x:c>
      <x:c r="E50" s="77" t="str">
        <x:v>Région, ressources, production source</x:v>
      </x:c>
      <x:c r="F50" s="77" t="str">
        <x:v>Construction/destruction, défense et capture</x:v>
      </x:c>
      <x:c r="G50" s="77" t="str">
        <x:v>Aucun bâtiment sans coordonnées ni cout</x:v>
      </x:c>
      <x:c r="H50" s="77" t="str">
        <x:v>rts_structures_TODO</x:v>
      </x:c>
      <x:c r="I50" s="77" t="str">
        <x:v>P1</x:v>
      </x:c>
      <x:c r="J50" s="77" t="str">
        <x:v>À développer</x:v>
      </x:c>
      <x:c r="K50" s="77" t="str">
        <x:v>Architecture Homeworld par source</x:v>
      </x:c>
      <x:c r="L50" s="77" t="str">
        <x:v>Destructibles, textures, stores</x:v>
      </x:c>
      <x:c r="M50" s="77" t="str">
        <x:v>QA-CW136-RTS-02</x:v>
      </x:c>
      <x:c r="N50" s="77" t="str">
        <x:v>https://github.com/darknigthmare/yautja-la-longue-chasse/pull/45</x:v>
      </x:c>
    </x:row>
    <x:row r="51" ht="43" customHeight="1">
      <x:c r="A51" s="77" t="str">
        <x:v>CW136-RTS-011</x:v>
      </x:c>
      <x:c r="B51" s="78" t="str">
        <x:v>RTS multi-escouades</x:v>
      </x:c>
      <x:c r="C51" s="77" t="str">
        <x:v>Armées/montures</x:v>
      </x:c>
      <x:c r="D51" s="77" t="str">
        <x:v>Gros combats multi-PC</x:v>
      </x:c>
      <x:c r="E51" s="77" t="str">
        <x:v>Limitations selon races et unités</x:v>
      </x:c>
      <x:c r="F51" s="77" t="str">
        <x:v>Chevaucheurs, véhicules et renforts visibles</x:v>
      </x:c>
      <x:c r="G51" s="77" t="str">
        <x:v>Aucun gabarit de monture non compatible</x:v>
      </x:c>
      <x:c r="H51" s="77" t="str">
        <x:v>rts_mass_troops_TODO</x:v>
      </x:c>
      <x:c r="I51" s="77" t="str">
        <x:v>P1</x:v>
      </x:c>
      <x:c r="J51" s="77" t="str">
        <x:v>À développer</x:v>
      </x:c>
      <x:c r="K51" s="77" t="str">
        <x:v>Races et armures par oeuvre</x:v>
      </x:c>
      <x:c r="L51" s="77" t="str">
        <x:v>Animation unique et IA de formation</x:v>
      </x:c>
      <x:c r="M51" s="77" t="str">
        <x:v>QA-CW136-RTS-03</x:v>
      </x:c>
      <x:c r="N51" s="77" t="str">
        <x:v>https://github.com/darknigthmare/yautja-la-longue-chasse/pull/45</x:v>
      </x:c>
    </x:row>
    <x:row r="52" ht="43" customHeight="1">
      <x:c r="A52" s="77" t="str">
        <x:v>CW136-RTS-012</x:v>
      </x:c>
      <x:c r="B52" s="78" t="str">
        <x:v>RTS multi-escouades</x:v>
      </x:c>
      <x:c r="C52" s="77" t="str">
        <x:v>Réseau PvP</x:v>
      </x:c>
      <x:c r="D52" s="77" t="str">
        <x:v>Résolution serveur</x:v>
      </x:c>
      <x:c r="E52" s="77" t="str">
        <x:v>Autorité bataille, snapshots masqués</x:v>
      </x:c>
      <x:c r="F52" s="77" t="str">
        <x:v>Coop et adversaires humains sans triche</x:v>
      </x:c>
      <x:c r="G52" s="77" t="str">
        <x:v>Client ne révèle V85/cases cachées</x:v>
      </x:c>
      <x:c r="H52" s="77" t="str">
        <x:v>rts_server_TODO</x:v>
      </x:c>
      <x:c r="I52" s="77" t="str">
        <x:v>P0</x:v>
      </x:c>
      <x:c r="J52" s="77" t="str">
        <x:v>À développer</x:v>
      </x:c>
      <x:c r="K52" s="77" t="str">
        <x:v>Gameplay unique, pas clone AVP Extinction</x:v>
      </x:c>
      <x:c r="L52" s="77" t="str">
        <x:v>Serveur, rollback et persistance</x:v>
      </x:c>
      <x:c r="M52" s="77" t="str">
        <x:v>QA-CW136-RTS-04</x:v>
      </x:c>
      <x:c r="N52" s="77" t="str">
        <x:v>https://github.com/darknigthmare/yautja-la-longue-chasse/pull/45</x:v>
      </x:c>
    </x:row>
  </x:sheetData>
  <x:mergeCells>
    <x:mergeCell ref="A1:N1"/>
    <x:mergeCell ref="A2:N2"/>
  </x:mergeCells>
  <x:conditionalFormatting sqref="J5:J52">
    <x:cfRule type="expression" dxfId="32" priority="1">
      <x:formula>$J5="Validé CI ciblée"</x:formula>
    </x:cfRule>
    <x:cfRule type="expression" dxfId="33" priority="2">
      <x:formula>$J5="Implémenté — CI en cours"</x:formula>
    </x:cfRule>
    <x:cfRule type="expression" dxfId="34" priority="3">
      <x:formula>$J5="À développer"</x:formula>
    </x:cfRule>
    <x:cfRule type="expression" dxfId="35" priority="4">
      <x:formula>$J5="Partiel — prototype"</x:formula>
    </x:cfRule>
    <x:cfRule type="expression" dxfId="36" priority="5">
      <x:formula>$J5="À exécuter manuellement"</x:formula>
    </x:cfRule>
  </x:conditionalFormatting>
  <x:dataValidations count="2">
    <x:dataValidation type="list" sqref="I5:I52">
      <x:formula1>"P0,P1,P2"</x:formula1>
    </x:dataValidation>
    <x:dataValidation type="list" sqref="J5:J52">
      <x:formula1>"Implémenté — CI en cours,Validé CI ciblée,Partiel — prototype,À développer"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33" hidden="0" customWidth="1"/>
    <x:col min="5" max="5" width="45" hidden="0" customWidth="1"/>
    <x:col min="6" max="6" width="45" hidden="0" customWidth="1"/>
    <x:col min="7" max="7" width="25" hidden="0" customWidth="1"/>
    <x:col min="8" max="8" width="35" hidden="0" customWidth="1"/>
    <x:col min="9" max="9" width="42" hidden="0" customWidth="1"/>
    <x:col min="10" max="10" width="49" hidden="0" customWidth="1"/>
  </x:cols>
  <x:sheetData>
    <x:row r="1" ht="34" customHeight="1">
      <x:c r="A1" s="66" t="str">
        <x:v>V136 — 32 CONTRÔLES QUALITÉ SUR LES QUATRE MODES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28" customHeight="1">
      <x:c r="A2" s="70" t="str">
        <x:v>8 contrôles par game mode : mécanique, refus, persistance, régression, ergonomie, gameplay réel, lore et réseau. Une CI verte ne remplace pas les validations manuelles.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4" ht="34" customHeight="1">
      <x:c r="A4" s="74" t="str">
        <x:v>ID QA</x:v>
      </x:c>
      <x:c r="B4" s="74" t="str">
        <x:v>Mode</x:v>
      </x:c>
      <x:c r="C4" s="74" t="str">
        <x:v>Catégorie</x:v>
      </x:c>
      <x:c r="D4" s="74" t="str">
        <x:v>Contrôle / scénario</x:v>
      </x:c>
      <x:c r="E4" s="74" t="str">
        <x:v>Préconditions exactes</x:v>
      </x:c>
      <x:c r="F4" s="74" t="str">
        <x:v>Résultat vérifiable</x:v>
      </x:c>
      <x:c r="G4" s="74" t="str">
        <x:v>Statut</x:v>
      </x:c>
      <x:c r="H4" s="74" t="str">
        <x:v>Preuve (CI/code)</x:v>
      </x:c>
      <x:c r="I4" s="74" t="str">
        <x:v>QA manuelle encore attendue</x:v>
      </x:c>
      <x:c r="J4" s="74" t="str">
        <x:v>Chaîne de PR</x:v>
      </x:c>
    </x:row>
    <x:row r="5" ht="43" customHeight="1">
      <x:c r="A5" s="79" t="str">
        <x:v>QA-CW136-ASS-01</x:v>
      </x:c>
      <x:c r="B5" s="80" t="str">
        <x:v>Assaut latéral</x:v>
      </x:c>
      <x:c r="C5" s="79" t="str">
        <x:v>CI auto</x:v>
      </x:c>
      <x:c r="D5" s="79" t="str">
        <x:v>Tenue de 3 tours</x:v>
      </x:c>
      <x:c r="E5" s="79" t="str">
        <x:v>Équipe engagée x≤25 et 15 AP</x:v>
      </x:c>
      <x:c r="F5" s="79" t="str">
        <x:v>Ne bouge pas 3 ticks; repart au 4e; RAV V6 constants</x:v>
      </x:c>
      <x:c r="G5" s="79" t="str">
        <x:v>Validé CI ciblée</x:v>
      </x:c>
      <x:c r="H5" s="79" t="str">
        <x:v>orderWarAssaultHoldV136</x:v>
      </x:c>
      <x:c r="I5" s="79" t="str">
        <x:v>Navigateur, manette et charge réelle restent nécessaires</x:v>
      </x:c>
      <x:c r="J5" s="79" t="str">
        <x:v>#29→#34→#36→#37→#38→#40→#41→#43→#44→#45</x:v>
      </x:c>
    </x:row>
    <x:row r="6" ht="43" customHeight="1">
      <x:c r="A6" s="79" t="str">
        <x:v>QA-CW136-ASS-02</x:v>
      </x:c>
      <x:c r="B6" s="80" t="str">
        <x:v>Assaut latéral</x:v>
      </x:c>
      <x:c r="C6" s="79" t="str">
        <x:v>CI auto</x:v>
      </x:c>
      <x:c r="D6" s="79" t="str">
        <x:v>Rejets position et AP</x:v>
      </x:c>
      <x:c r="E6" s="79" t="str">
        <x:v>Acteur hors base, équipe non déployée, 14 AP</x:v>
      </x:c>
      <x:c r="F6" s="79" t="str">
        <x:v>Refus sans tick ni réécriture</x:v>
      </x:c>
      <x:c r="G6" s="79" t="str">
        <x:v>Validé CI ciblée</x:v>
      </x:c>
      <x:c r="H6" s="79" t="str">
        <x:v>orderWarAssaultHoldV136</x:v>
      </x:c>
      <x:c r="I6" s="79" t="str">
        <x:v>Navigateur, manette et charge réelle restent nécessaires</x:v>
      </x:c>
      <x:c r="J6" s="79" t="str">
        <x:v>#29→#34→#36→#37→#38→#40→#41→#43→#44→#45</x:v>
      </x:c>
    </x:row>
    <x:row r="7" ht="43" customHeight="1">
      <x:c r="A7" s="79" t="str">
        <x:v>QA-CW136-ASS-03</x:v>
      </x:c>
      <x:c r="B7" s="80" t="str">
        <x:v>Assaut latéral</x:v>
      </x:c>
      <x:c r="C7" s="79" t="str">
        <x:v>CI auto</x:v>
      </x:c>
      <x:c r="D7" s="79" t="str">
        <x:v>Archive forgée</x:v>
      </x:c>
      <x:c r="E7" s="79" t="str">
        <x:v>heldUntil &gt; mission.tick+4 ou fausse équipe</x:v>
      </x:c>
      <x:c r="F7" s="79" t="str">
        <x:v>Archive V115 refusée</x:v>
      </x:c>
      <x:c r="G7" s="79" t="str">
        <x:v>Validé CI ciblée</x:v>
      </x:c>
      <x:c r="H7" s="79" t="str">
        <x:v>readWarOperationsV115</x:v>
      </x:c>
      <x:c r="I7" s="79" t="str">
        <x:v>Navigateur, manette et charge réelle restent nécessaires</x:v>
      </x:c>
      <x:c r="J7" s="79" t="str">
        <x:v>#29→#34→#36→#37→#38→#40→#41→#43→#44→#45</x:v>
      </x:c>
    </x:row>
    <x:row r="8" ht="43" customHeight="1">
      <x:c r="A8" s="79" t="str">
        <x:v>QA-CW136-ASS-04</x:v>
      </x:c>
      <x:c r="B8" s="80" t="str">
        <x:v>Assaut latéral</x:v>
      </x:c>
      <x:c r="C8" s="79" t="str">
        <x:v>Régression CI</x:v>
      </x:c>
      <x:c r="D8" s="79" t="str">
        <x:v>Protection et AP V135</x:v>
      </x:c>
      <x:c r="E8" s="79" t="str">
        <x:v>Déploiement existant, bastion endommagé</x:v>
      </x:c>
      <x:c r="F8" s="79" t="str">
        <x:v>Anciennes dépenses et manœuvres sans doublons</x:v>
      </x:c>
      <x:c r="G8" s="79" t="str">
        <x:v>Validé CI ciblée</x:v>
      </x:c>
      <x:c r="H8" s="79" t="str">
        <x:v>reinforceWarAssaultLineV135</x:v>
      </x:c>
      <x:c r="I8" s="79" t="str">
        <x:v>Navigateur, manette et charge réelle restent nécessaires</x:v>
      </x:c>
      <x:c r="J8" s="79" t="str">
        <x:v>#29→#34→#36→#37→#38→#40→#41→#43→#44→#45</x:v>
      </x:c>
    </x:row>
    <x:row r="9" ht="43" customHeight="1">
      <x:c r="A9" s="79" t="str">
        <x:v>QA-CW136-ASS-05</x:v>
      </x:c>
      <x:c r="B9" s="80" t="str">
        <x:v>Assaut latéral</x:v>
      </x:c>
      <x:c r="C9" s="79" t="str">
        <x:v>QA manuelle</x:v>
      </x:c>
      <x:c r="D9" s="79" t="str">
        <x:v>Ergonomie des ordres</x:v>
      </x:c>
      <x:c r="E9" s="79" t="str">
        <x:v>Vue active, 2–4 équipes, manette</x:v>
      </x:c>
      <x:c r="F9" s="79" t="str">
        <x:v>Libellés, boutons et état de tenue non équivoques</x:v>
      </x:c>
      <x:c r="G9" s="79" t="str">
        <x:v>À exécuter manuellement</x:v>
      </x:c>
      <x:c r="H9" s="79" t="str">
        <x:v>ClanWarOperationsV115.tsx</x:v>
      </x:c>
      <x:c r="I9" s="79" t="str">
        <x:v>Aucune preuve visuelle/serveur fournie</x:v>
      </x:c>
      <x:c r="J9" s="79" t="str">
        <x:v>#29→#34→#36→#37→#38→#40→#41→#43→#44→#45</x:v>
      </x:c>
    </x:row>
    <x:row r="10" ht="43" customHeight="1">
      <x:c r="A10" s="79" t="str">
        <x:v>QA-CW136-ASS-06</x:v>
      </x:c>
      <x:c r="B10" s="80" t="str">
        <x:v>Assaut latéral</x:v>
      </x:c>
      <x:c r="C10" s="79" t="str">
        <x:v>QA manuelle</x:v>
      </x:c>
      <x:c r="D10" s="79" t="str">
        <x:v>Hordes IA et FPS</x:v>
      </x:c>
      <x:c r="E10" s="79" t="str">
        <x:v>Scénarios W3 long terme et dommages</x:v>
      </x:c>
      <x:c r="F10" s="79" t="str">
        <x:v>Aucun softlock ni vague gratuite ni chute de FPS</x:v>
      </x:c>
      <x:c r="G10" s="79" t="str">
        <x:v>À exécuter manuellement</x:v>
      </x:c>
      <x:c r="H10" s="79" t="str">
        <x:v>stepAssaultV115</x:v>
      </x:c>
      <x:c r="I10" s="79" t="str">
        <x:v>Aucune preuve visuelle/serveur fournie</x:v>
      </x:c>
      <x:c r="J10" s="79" t="str">
        <x:v>#29→#34→#36→#37→#38→#40→#41→#43→#44→#45</x:v>
      </x:c>
    </x:row>
    <x:row r="11" ht="43" customHeight="1">
      <x:c r="A11" s="79" t="str">
        <x:v>QA-CW136-ASS-07</x:v>
      </x:c>
      <x:c r="B11" s="80" t="str">
        <x:v>Assaut latéral</x:v>
      </x:c>
      <x:c r="C11" s="79" t="str">
        <x:v>Lore manuel</x:v>
      </x:c>
      <x:c r="D11" s="79" t="str">
        <x:v>Architecture et planète</x:v>
      </x:c>
      <x:c r="E11" s="79" t="str">
        <x:v>Biome/atmosphère W3 par mission</x:v>
      </x:c>
      <x:c r="F11" s="79" t="str">
        <x:v>Aucun élément Terre déplacé sur monde alien</x:v>
      </x:c>
      <x:c r="G11" s="79" t="str">
        <x:v>À exécuter manuellement</x:v>
      </x:c>
      <x:c r="H11" s="79" t="str">
        <x:v>terrain_assault_v136_TODO</x:v>
      </x:c>
      <x:c r="I11" s="79" t="str">
        <x:v>Aucune preuve visuelle/serveur fournie</x:v>
      </x:c>
      <x:c r="J11" s="79" t="str">
        <x:v>#29→#34→#36→#37→#38→#40→#41→#43→#44→#45</x:v>
      </x:c>
    </x:row>
    <x:row r="12" ht="43" customHeight="1">
      <x:c r="A12" s="79" t="str">
        <x:v>QA-CW136-ASS-08</x:v>
      </x:c>
      <x:c r="B12" s="80" t="str">
        <x:v>Assaut latéral</x:v>
      </x:c>
      <x:c r="C12" s="79" t="str">
        <x:v>QA réseau</x:v>
      </x:c>
      <x:c r="D12" s="79" t="str">
        <x:v>Résultat en coopération</x:v>
      </x:c>
      <x:c r="E12" s="79" t="str">
        <x:v>Reconnexion serveur + reçus signés</x:v>
      </x:c>
      <x:c r="F12" s="79" t="str">
        <x:v>Pas de gain V85 non autorisé ou clone</x:v>
      </x:c>
      <x:c r="G12" s="79" t="str">
        <x:v>À exécuter manuellement</x:v>
      </x:c>
      <x:c r="H12" s="79" t="str">
        <x:v>net_assault_TODO</x:v>
      </x:c>
      <x:c r="I12" s="79" t="str">
        <x:v>Aucune preuve visuelle/serveur fournie</x:v>
      </x:c>
      <x:c r="J12" s="79" t="str">
        <x:v>#29→#34→#36→#37→#38→#40→#41→#43→#44→#45</x:v>
      </x:c>
    </x:row>
    <x:row r="13" ht="43" customHeight="1">
      <x:c r="A13" s="81" t="str">
        <x:v>QA-CW136-OUT-01</x:v>
      </x:c>
      <x:c r="B13" s="82" t="str">
        <x:v>Outer Ops</x:v>
      </x:c>
      <x:c r="C13" s="81" t="str">
        <x:v>CI auto</x:v>
      </x:c>
      <x:c r="D13" s="81" t="str">
        <x:v>RAV d'approvisionnement</x:v>
      </x:c>
      <x:c r="E13" s="81" t="str">
        <x:v>Mission réelle avant mi-trajet, RAV ≥2</x:v>
      </x:c>
      <x:c r="F13" s="81" t="str">
        <x:v>Débit 2 RAV unique et bonus +4 calculé en résolution</x:v>
      </x:c>
      <x:c r="G13" s="81" t="str">
        <x:v>Validé CI ciblée</x:v>
      </x:c>
      <x:c r="H13" s="81" t="str">
        <x:v>supplyWarOuterMissionV136</x:v>
      </x:c>
      <x:c r="I13" s="81" t="str">
        <x:v>Navigateur, manette et charge réelle restent nécessaires</x:v>
      </x:c>
      <x:c r="J13" s="81" t="str">
        <x:v>#29→#34→#36→#37→#38→#40→#41→#43→#44→#45</x:v>
      </x:c>
    </x:row>
    <x:row r="14" ht="43" customHeight="1">
      <x:c r="A14" s="81" t="str">
        <x:v>QA-CW136-OUT-02</x:v>
      </x:c>
      <x:c r="B14" s="82" t="str">
        <x:v>Outer Ops</x:v>
      </x:c>
      <x:c r="C14" s="81" t="str">
        <x:v>CI auto</x:v>
      </x:c>
      <x:c r="D14" s="81" t="str">
        <x:v>Aucune livraison tardive</x:v>
      </x:c>
      <x:c r="E14" s="81" t="str">
        <x:v>Rappel, seconde tentative, date hors fenêtre</x:v>
      </x:c>
      <x:c r="F14" s="81" t="str">
        <x:v>Refus sans débit ni accélération d'ETA</x:v>
      </x:c>
      <x:c r="G14" s="81" t="str">
        <x:v>Validé CI ciblée</x:v>
      </x:c>
      <x:c r="H14" s="81" t="str">
        <x:v>supplyWarOuterMissionV136</x:v>
      </x:c>
      <x:c r="I14" s="81" t="str">
        <x:v>Navigateur, manette et charge réelle restent nécessaires</x:v>
      </x:c>
      <x:c r="J14" s="81" t="str">
        <x:v>#29→#34→#36→#37→#38→#40→#41→#43→#44→#45</x:v>
      </x:c>
    </x:row>
    <x:row r="15" ht="43" customHeight="1">
      <x:c r="A15" s="81" t="str">
        <x:v>QA-CW136-OUT-03</x:v>
      </x:c>
      <x:c r="B15" s="82" t="str">
        <x:v>Outer Ops</x:v>
      </x:c>
      <x:c r="C15" s="81" t="str">
        <x:v>CI auto</x:v>
      </x:c>
      <x:c r="D15" s="81" t="str">
        <x:v>Contrôle des reçus</x:v>
      </x:c>
      <x:c r="E15" s="81" t="str">
        <x:v>Ordre supporté et rapport arrivé à dueAt</x:v>
      </x:c>
      <x:c r="F15" s="81" t="str">
        <x:v>Un rapport final, log des fournitures, pas de gain anticipé</x:v>
      </x:c>
      <x:c r="G15" s="81" t="str">
        <x:v>Validé CI ciblée</x:v>
      </x:c>
      <x:c r="H15" s="81" t="str">
        <x:v>settleWarOuterOpsV115</x:v>
      </x:c>
      <x:c r="I15" s="81" t="str">
        <x:v>Navigateur, manette et charge réelle restent nécessaires</x:v>
      </x:c>
      <x:c r="J15" s="81" t="str">
        <x:v>#29→#34→#36→#37→#38→#40→#41→#43→#44→#45</x:v>
      </x:c>
    </x:row>
    <x:row r="16" ht="43" customHeight="1">
      <x:c r="A16" s="81" t="str">
        <x:v>QA-CW136-OUT-04</x:v>
      </x:c>
      <x:c r="B16" s="82" t="str">
        <x:v>Outer Ops</x:v>
      </x:c>
      <x:c r="C16" s="81" t="str">
        <x:v>Régression CI</x:v>
      </x:c>
      <x:c r="D16" s="81" t="str">
        <x:v>Réorientation + rappel</x:v>
      </x:c>
      <x:c r="E16" s="81" t="str">
        <x:v>Mandat réorienté puis rappel physique</x:v>
      </x:c>
      <x:c r="F16" s="81" t="str">
        <x:v>Date/route/membres cohérents, retraite sans XP gratuit</x:v>
      </x:c>
      <x:c r="G16" s="81" t="str">
        <x:v>Validé CI ciblée</x:v>
      </x:c>
      <x:c r="H16" s="81" t="str">
        <x:v>redirectWarOuterOpsV135</x:v>
      </x:c>
      <x:c r="I16" s="81" t="str">
        <x:v>Navigateur, manette et charge réelle restent nécessaires</x:v>
      </x:c>
      <x:c r="J16" s="81" t="str">
        <x:v>#29→#34→#36→#37→#38→#40→#41→#43→#44→#45</x:v>
      </x:c>
    </x:row>
    <x:row r="17" ht="43" customHeight="1">
      <x:c r="A17" s="81" t="str">
        <x:v>QA-CW136-OUT-05</x:v>
      </x:c>
      <x:c r="B17" s="82" t="str">
        <x:v>Outer Ops</x:v>
      </x:c>
      <x:c r="C17" s="81" t="str">
        <x:v>QA manuelle</x:v>
      </x:c>
      <x:c r="D17" s="81" t="str">
        <x:v>Chronomètre en arrière-plan</x:v>
      </x:c>
      <x:c r="E17" s="81" t="str">
        <x:v>Navigateur fermé / puis réouvert</x:v>
      </x:c>
      <x:c r="F17" s="81" t="str">
        <x:v>Rapports arrivent seulement à l'échéance</x:v>
      </x:c>
      <x:c r="G17" s="81" t="str">
        <x:v>À exécuter manuellement</x:v>
      </x:c>
      <x:c r="H17" s="81" t="str">
        <x:v>ClanWarOperationsV115.tsx</x:v>
      </x:c>
      <x:c r="I17" s="81" t="str">
        <x:v>Aucune preuve visuelle/serveur fournie</x:v>
      </x:c>
      <x:c r="J17" s="81" t="str">
        <x:v>#29→#34→#36→#37→#38→#40→#41→#43→#44→#45</x:v>
      </x:c>
    </x:row>
    <x:row r="18" ht="43" customHeight="1">
      <x:c r="A18" s="81" t="str">
        <x:v>QA-CW136-OUT-06</x:v>
      </x:c>
      <x:c r="B18" s="82" t="str">
        <x:v>Outer Ops</x:v>
      </x:c>
      <x:c r="C18" s="81" t="str">
        <x:v>QA manuelle</x:v>
      </x:c>
      <x:c r="D18" s="81" t="str">
        <x:v>Contrôle de ressource</x:v>
      </x:c>
      <x:c r="E18" s="81" t="str">
        <x:v>0/1/2/3 RAV en réserve et 3 Outer Ops</x:v>
      </x:c>
      <x:c r="F18" s="81" t="str">
        <x:v>Aucun achat impossible ni double assignation</x:v>
      </x:c>
      <x:c r="G18" s="81" t="str">
        <x:v>À exécuter manuellement</x:v>
      </x:c>
      <x:c r="H18" s="81" t="str">
        <x:v>supplyWarOuterMissionV136</x:v>
      </x:c>
      <x:c r="I18" s="81" t="str">
        <x:v>Aucune preuve visuelle/serveur fournie</x:v>
      </x:c>
      <x:c r="J18" s="81" t="str">
        <x:v>#29→#34→#36→#37→#38→#40→#41→#43→#44→#45</x:v>
      </x:c>
    </x:row>
    <x:row r="19" ht="43" customHeight="1">
      <x:c r="A19" s="81" t="str">
        <x:v>QA-CW136-OUT-07</x:v>
      </x:c>
      <x:c r="B19" s="82" t="str">
        <x:v>Outer Ops</x:v>
      </x:c>
      <x:c r="C19" s="81" t="str">
        <x:v>Lore manuel</x:v>
      </x:c>
      <x:c r="D19" s="81" t="str">
        <x:v>Incidents locaux</x:v>
      </x:c>
      <x:c r="E19" s="81" t="str">
        <x:v>Six biomes de W3, terre vs alien</x:v>
      </x:c>
      <x:c r="F19" s="81" t="str">
        <x:v>Météo et passages compatibles géographie</x:v>
      </x:c>
      <x:c r="G19" s="81" t="str">
        <x:v>À exécuter manuellement</x:v>
      </x:c>
      <x:c r="H19" s="81" t="str">
        <x:v>outer_incidents_TODO</x:v>
      </x:c>
      <x:c r="I19" s="81" t="str">
        <x:v>Aucune preuve visuelle/serveur fournie</x:v>
      </x:c>
      <x:c r="J19" s="81" t="str">
        <x:v>#29→#34→#36→#37→#38→#40→#41→#43→#44→#45</x:v>
      </x:c>
    </x:row>
    <x:row r="20" ht="43" customHeight="1">
      <x:c r="A20" s="81" t="str">
        <x:v>QA-CW136-OUT-08</x:v>
      </x:c>
      <x:c r="B20" s="82" t="str">
        <x:v>Outer Ops</x:v>
      </x:c>
      <x:c r="C20" s="81" t="str">
        <x:v>QA réseau</x:v>
      </x:c>
      <x:c r="D20" s="81" t="str">
        <x:v>Ordres concurrents</x:v>
      </x:c>
      <x:c r="E20" s="81" t="str">
        <x:v>Deux sessions sur même mandat</x:v>
      </x:c>
      <x:c r="F20" s="81" t="str">
        <x:v>Un seul ravitaillement et un seul résultat</x:v>
      </x:c>
      <x:c r="G20" s="81" t="str">
        <x:v>À exécuter manuellement</x:v>
      </x:c>
      <x:c r="H20" s="81" t="str">
        <x:v>outer_network_TODO</x:v>
      </x:c>
      <x:c r="I20" s="81" t="str">
        <x:v>Aucune preuve visuelle/serveur fournie</x:v>
      </x:c>
      <x:c r="J20" s="81" t="str">
        <x:v>#29→#34→#36→#37→#38→#40→#41→#43→#44→#45</x:v>
      </x:c>
    </x:row>
    <x:row r="21" ht="43" customHeight="1">
      <x:c r="A21" s="79" t="str">
        <x:v>QA-CW136-INF-01</x:v>
      </x:c>
      <x:c r="B21" s="80" t="str">
        <x:v>Infiltration</x:v>
      </x:c>
      <x:c r="C21" s="79" t="str">
        <x:v>CI auto</x:v>
      </x:c>
      <x:c r="D21" s="79" t="str">
        <x:v>Couvert physique</x:v>
      </x:c>
      <x:c r="E21" s="79" t="str">
        <x:v>Case réelle terrain.cover, alarm2, energie2</x:v>
      </x:c>
      <x:c r="F21" s="79" t="str">
        <x:v>Alerte-1, énergie+1, tick+1</x:v>
      </x:c>
      <x:c r="G21" s="79" t="str">
        <x:v>Validé CI ciblée</x:v>
      </x:c>
      <x:c r="H21" s="79" t="str">
        <x:v>commandStealthV115:hide</x:v>
      </x:c>
      <x:c r="I21" s="79" t="str">
        <x:v>Navigateur, manette et charge réelle restent nécessaires</x:v>
      </x:c>
      <x:c r="J21" s="79" t="str">
        <x:v>#29→#34→#36→#37→#38→#40→#41→#43→#44→#45</x:v>
      </x:c>
    </x:row>
    <x:row r="22" ht="43" customHeight="1">
      <x:c r="A22" s="79" t="str">
        <x:v>QA-CW136-INF-02</x:v>
      </x:c>
      <x:c r="B22" s="80" t="str">
        <x:v>Infiltration</x:v>
      </x:c>
      <x:c r="C22" s="79" t="str">
        <x:v>CI auto</x:v>
      </x:c>
      <x:c r="D22" s="79" t="str">
        <x:v>Refus et anti-exploit</x:v>
      </x:c>
      <x:c r="E22" s="79" t="str">
        <x:v>Départ hors couvert, même couvert deux fois</x:v>
      </x:c>
      <x:c r="F22" s="79" t="str">
        <x:v>Ordre refusé sans effet; archive malformée refusée</x:v>
      </x:c>
      <x:c r="G22" s="79" t="str">
        <x:v>Validé CI ciblée</x:v>
      </x:c>
      <x:c r="H22" s="79" t="str">
        <x:v>readWarOperationsV115</x:v>
      </x:c>
      <x:c r="I22" s="79" t="str">
        <x:v>Navigateur, manette et charge réelle restent nécessaires</x:v>
      </x:c>
      <x:c r="J22" s="79" t="str">
        <x:v>#29→#34→#36→#37→#38→#40→#41→#43→#44→#45</x:v>
      </x:c>
    </x:row>
    <x:row r="23" ht="43" customHeight="1">
      <x:c r="A23" s="79" t="str">
        <x:v>QA-CW136-INF-03</x:v>
      </x:c>
      <x:c r="B23" s="80" t="str">
        <x:v>Infiltration</x:v>
      </x:c>
      <x:c r="C23" s="79" t="str">
        <x:v>CI auto</x:v>
      </x:c>
      <x:c r="D23" s="79" t="str">
        <x:v>Patrouille adjacente</x:v>
      </x:c>
      <x:c r="E23" s="79" t="str">
        <x:v>Garde à une case de la couverture</x:v>
      </x:c>
      <x:c r="F23" s="79" t="str">
        <x:v>Le couvert ne rend pas invisible au contact</x:v>
      </x:c>
      <x:c r="G23" s="79" t="str">
        <x:v>Validé CI ciblée</x:v>
      </x:c>
      <x:c r="H23" s="79" t="str">
        <x:v>commandStealthV115:hide</x:v>
      </x:c>
      <x:c r="I23" s="79" t="str">
        <x:v>Navigateur, manette et charge réelle restent nécessaires</x:v>
      </x:c>
      <x:c r="J23" s="79" t="str">
        <x:v>#29→#34→#36→#37→#38→#40→#41→#43→#44→#45</x:v>
      </x:c>
    </x:row>
    <x:row r="24" ht="43" customHeight="1">
      <x:c r="A24" s="79" t="str">
        <x:v>QA-CW136-INF-04</x:v>
      </x:c>
      <x:c r="B24" s="80" t="str">
        <x:v>Infiltration</x:v>
      </x:c>
      <x:c r="C24" s="79" t="str">
        <x:v>Régression CI</x:v>
      </x:c>
      <x:c r="D24" s="79" t="str">
        <x:v>Cloak/diversion/relai</x:v>
      </x:c>
      <x:c r="E24" s="79" t="str">
        <x:v>Trajet W3 source, énergie et relais</x:v>
      </x:c>
      <x:c r="F24" s="79" t="str">
        <x:v>Extraction et reconnaissance restent physiques</x:v>
      </x:c>
      <x:c r="G24" s="79" t="str">
        <x:v>Validé CI ciblée</x:v>
      </x:c>
      <x:c r="H24" s="79" t="str">
        <x:v>commandStealthV115</x:v>
      </x:c>
      <x:c r="I24" s="79" t="str">
        <x:v>Navigateur, manette et charge réelle restent nécessaires</x:v>
      </x:c>
      <x:c r="J24" s="79" t="str">
        <x:v>#29→#34→#36→#37→#38→#40→#41→#43→#44→#45</x:v>
      </x:c>
    </x:row>
    <x:row r="25" ht="43" customHeight="1">
      <x:c r="A25" s="79" t="str">
        <x:v>QA-CW136-INF-05</x:v>
      </x:c>
      <x:c r="B25" s="80" t="str">
        <x:v>Infiltration</x:v>
      </x:c>
      <x:c r="C25" s="79" t="str">
        <x:v>QA manuelle</x:v>
      </x:c>
      <x:c r="D25" s="79" t="str">
        <x:v>Lisibilité des couverts</x:v>
      </x:c>
      <x:c r="E25" s="79" t="str">
        <x:v>Vue grille et différentes couleurs de terrain</x:v>
      </x:c>
      <x:c r="F25" s="79" t="str">
        <x:v>▤ visible, info réaliste et contrôles adaptés</x:v>
      </x:c>
      <x:c r="G25" s="79" t="str">
        <x:v>À exécuter manuellement</x:v>
      </x:c>
      <x:c r="H25" s="79" t="str">
        <x:v>ClanWarOperationsV115.tsx</x:v>
      </x:c>
      <x:c r="I25" s="79" t="str">
        <x:v>Aucune preuve visuelle/serveur fournie</x:v>
      </x:c>
      <x:c r="J25" s="79" t="str">
        <x:v>#29→#34→#36→#37→#38→#40→#41→#43→#44→#45</x:v>
      </x:c>
    </x:row>
    <x:row r="26" ht="43" customHeight="1">
      <x:c r="A26" s="79" t="str">
        <x:v>QA-CW136-INF-06</x:v>
      </x:c>
      <x:c r="B26" s="80" t="str">
        <x:v>Infiltration</x:v>
      </x:c>
      <x:c r="C26" s="79" t="str">
        <x:v>QA manuelle</x:v>
      </x:c>
      <x:c r="D26" s="79" t="str">
        <x:v>Camouflage/alarme</x:v>
      </x:c>
      <x:c r="E26" s="79" t="str">
        <x:v>Patrouilles 2D et son, faible batterie</x:v>
      </x:c>
      <x:c r="F26" s="79" t="str">
        <x:v>Pas de vision magique ni de position bloquée</x:v>
      </x:c>
      <x:c r="G26" s="79" t="str">
        <x:v>À exécuter manuellement</x:v>
      </x:c>
      <x:c r="H26" s="79" t="str">
        <x:v>commandStealthV115</x:v>
      </x:c>
      <x:c r="I26" s="79" t="str">
        <x:v>Aucune preuve visuelle/serveur fournie</x:v>
      </x:c>
      <x:c r="J26" s="79" t="str">
        <x:v>#29→#34→#36→#37→#38→#40→#41→#43→#44→#45</x:v>
      </x:c>
    </x:row>
    <x:row r="27" ht="43" customHeight="1">
      <x:c r="A27" s="79" t="str">
        <x:v>QA-CW136-INF-07</x:v>
      </x:c>
      <x:c r="B27" s="80" t="str">
        <x:v>Infiltration</x:v>
      </x:c>
      <x:c r="C27" s="79" t="str">
        <x:v>Lore manuel</x:v>
      </x:c>
      <x:c r="D27" s="79" t="str">
        <x:v>Cibles et honneur</x:v>
      </x:c>
      <x:c r="E27" s="79" t="str">
        <x:v>Œuvre, continuité et nature de la cible</x:v>
      </x:c>
      <x:c r="F27" s="79" t="str">
        <x:v>Aucune règle canon inventée pour tous clans</x:v>
      </x:c>
      <x:c r="G27" s="79" t="str">
        <x:v>À exécuter manuellement</x:v>
      </x:c>
      <x:c r="H27" s="79" t="str">
        <x:v>stealth_honor_TODO</x:v>
      </x:c>
      <x:c r="I27" s="79" t="str">
        <x:v>Aucune preuve visuelle/serveur fournie</x:v>
      </x:c>
      <x:c r="J27" s="79" t="str">
        <x:v>#29→#34→#36→#37→#38→#40→#41→#43→#44→#45</x:v>
      </x:c>
    </x:row>
    <x:row r="28" ht="43" customHeight="1">
      <x:c r="A28" s="79" t="str">
        <x:v>QA-CW136-INF-08</x:v>
      </x:c>
      <x:c r="B28" s="80" t="str">
        <x:v>Infiltration</x:v>
      </x:c>
      <x:c r="C28" s="79" t="str">
        <x:v>QA réseau</x:v>
      </x:c>
      <x:c r="D28" s="79" t="str">
        <x:v>Extraction coop</x:v>
      </x:c>
      <x:c r="E28" s="79" t="str">
        <x:v>Deux agents/escortes sur carte multi-étapes</x:v>
      </x:c>
      <x:c r="F28" s="79" t="str">
        <x:v>Aucun compagnon téléporté ni double preuve</x:v>
      </x:c>
      <x:c r="G28" s="79" t="str">
        <x:v>À exécuter manuellement</x:v>
      </x:c>
      <x:c r="H28" s="79" t="str">
        <x:v>stealth_network_TODO</x:v>
      </x:c>
      <x:c r="I28" s="79" t="str">
        <x:v>Aucune preuve visuelle/serveur fournie</x:v>
      </x:c>
      <x:c r="J28" s="79" t="str">
        <x:v>#29→#34→#36→#37→#38→#40→#41→#43→#44→#45</x:v>
      </x:c>
    </x:row>
    <x:row r="29" ht="43" customHeight="1">
      <x:c r="A29" s="81" t="str">
        <x:v>QA-CW136-RTS-01</x:v>
      </x:c>
      <x:c r="B29" s="82" t="str">
        <x:v>RTS multi-escouades</x:v>
      </x:c>
      <x:c r="C29" s="81" t="str">
        <x:v>CI auto</x:v>
      </x:c>
      <x:c r="D29" s="81" t="str">
        <x:v>Veille avec cible visible</x:v>
      </x:c>
      <x:c r="E29" s="81" t="str">
        <x:v>Escouade apte, RAV≥1, cible à portée</x:v>
      </x:c>
      <x:c r="F29" s="81" t="str">
        <x:v>Un tir après réaction, 1 RAV et jamais deux</x:v>
      </x:c>
      <x:c r="G29" s="81" t="str">
        <x:v>Validé CI ciblée</x:v>
      </x:c>
      <x:c r="H29" s="81" t="str">
        <x:v>commandWarRtsOverwatchV136</x:v>
      </x:c>
      <x:c r="I29" s="81" t="str">
        <x:v>Navigateur, manette et charge réelle restent nécessaires</x:v>
      </x:c>
      <x:c r="J29" s="81" t="str">
        <x:v>#29→#34→#36→#37→#38→#40→#41→#43→#44→#45</x:v>
      </x:c>
    </x:row>
    <x:row r="30" ht="43" customHeight="1">
      <x:c r="A30" s="81" t="str">
        <x:v>QA-CW136-RTS-02</x:v>
      </x:c>
      <x:c r="B30" s="82" t="str">
        <x:v>RTS multi-escouades</x:v>
      </x:c>
      <x:c r="C30" s="81" t="str">
        <x:v>CI auto</x:v>
      </x:c>
      <x:c r="D30" s="81" t="str">
        <x:v>Veille sans cible</x:v>
      </x:c>
      <x:c r="E30" s="81" t="str">
        <x:v>Ennemi hors portée ou caché</x:v>
      </x:c>
      <x:c r="F30" s="81" t="str">
        <x:v>Aucune munition consommée; expiration après 2 ticks</x:v>
      </x:c>
      <x:c r="G30" s="81" t="str">
        <x:v>Validé CI ciblée</x:v>
      </x:c>
      <x:c r="H30" s="81" t="str">
        <x:v>commandWarRtsOverwatchV136</x:v>
      </x:c>
      <x:c r="I30" s="81" t="str">
        <x:v>Navigateur, manette et charge réelle restent nécessaires</x:v>
      </x:c>
      <x:c r="J30" s="81" t="str">
        <x:v>#29→#34→#36→#37→#38→#40→#41→#43→#44→#45</x:v>
      </x:c>
    </x:row>
    <x:row r="31" ht="43" customHeight="1">
      <x:c r="A31" s="81" t="str">
        <x:v>QA-CW136-RTS-03</x:v>
      </x:c>
      <x:c r="B31" s="82" t="str">
        <x:v>RTS multi-escouades</x:v>
      </x:c>
      <x:c r="C31" s="81" t="str">
        <x:v>CI auto</x:v>
      </x:c>
      <x:c r="D31" s="81" t="str">
        <x:v>Annulation déplacement</x:v>
      </x:c>
      <x:c r="E31" s="81" t="str">
        <x:v>Déplacement physique, groupe en rassemblement</x:v>
      </x:c>
      <x:c r="F31" s="81" t="str">
        <x:v>Veille supprimée, aucun tir en mouvement</x:v>
      </x:c>
      <x:c r="G31" s="81" t="str">
        <x:v>Validé CI ciblée</x:v>
      </x:c>
      <x:c r="H31" s="81" t="str">
        <x:v>commandWarRtsRallyV134</x:v>
      </x:c>
      <x:c r="I31" s="81" t="str">
        <x:v>Navigateur, manette et charge réelle restent nécessaires</x:v>
      </x:c>
      <x:c r="J31" s="81" t="str">
        <x:v>#29→#34→#36→#37→#38→#40→#41→#43→#44→#45</x:v>
      </x:c>
    </x:row>
    <x:row r="32" ht="43" customHeight="1">
      <x:c r="A32" s="81" t="str">
        <x:v>QA-CW136-RTS-04</x:v>
      </x:c>
      <x:c r="B32" s="82" t="str">
        <x:v>RTS multi-escouades</x:v>
      </x:c>
      <x:c r="C32" s="81" t="str">
        <x:v>Régression CI</x:v>
      </x:c>
      <x:c r="D32" s="81" t="str">
        <x:v>24 contrats W3</x:v>
      </x:c>
      <x:c r="E32" s="81" t="str">
        <x:v>24 ID/12 maps, budgets, 72 objectifs</x:v>
      </x:c>
      <x:c r="F32" s="81" t="str">
        <x:v>Ralliement, suppression, escortes encore possibles</x:v>
      </x:c>
      <x:c r="G32" s="81" t="str">
        <x:v>Validé CI ciblée</x:v>
      </x:c>
      <x:c r="H32" s="81" t="str">
        <x:v>auditWarRtsSquadsV133</x:v>
      </x:c>
      <x:c r="I32" s="81" t="str">
        <x:v>Navigateur, manette et charge réelle restent nécessaires</x:v>
      </x:c>
      <x:c r="J32" s="81" t="str">
        <x:v>#29→#34→#36→#37→#38→#40→#41→#43→#44→#45</x:v>
      </x:c>
    </x:row>
    <x:row r="33" ht="43" customHeight="1">
      <x:c r="A33" s="81" t="str">
        <x:v>QA-CW136-RTS-05</x:v>
      </x:c>
      <x:c r="B33" s="82" t="str">
        <x:v>RTS multi-escouades</x:v>
      </x:c>
      <x:c r="C33" s="81" t="str">
        <x:v>QA manuelle</x:v>
      </x:c>
      <x:c r="D33" s="81" t="str">
        <x:v>Ordres sur carte</x:v>
      </x:c>
      <x:c r="E33" s="81" t="str">
        <x:v>Menu veille/suppression/attente + manette</x:v>
      </x:c>
      <x:c r="F33" s="81" t="str">
        <x:v>Bon bouton et représentation tirs/couvert</x:v>
      </x:c>
      <x:c r="G33" s="81" t="str">
        <x:v>À exécuter manuellement</x:v>
      </x:c>
      <x:c r="H33" s="81" t="str">
        <x:v>ClanWarRtsSquadsV133.tsx</x:v>
      </x:c>
      <x:c r="I33" s="81" t="str">
        <x:v>Aucune preuve visuelle/serveur fournie</x:v>
      </x:c>
      <x:c r="J33" s="81" t="str">
        <x:v>#29→#34→#36→#37→#38→#40→#41→#43→#44→#45</x:v>
      </x:c>
    </x:row>
    <x:row r="34" ht="43" customHeight="1">
      <x:c r="A34" s="81" t="str">
        <x:v>QA-CW136-RTS-06</x:v>
      </x:c>
      <x:c r="B34" s="82" t="str">
        <x:v>RTS multi-escouades</x:v>
      </x:c>
      <x:c r="C34" s="81" t="str">
        <x:v>QA manuelle</x:v>
      </x:c>
      <x:c r="D34" s="81" t="str">
        <x:v>Congestion des formations</x:v>
      </x:c>
      <x:c r="E34" s="81" t="str">
        <x:v>4 escouades, portes sans courant, grille W3</x:v>
      </x:c>
      <x:c r="F34" s="81" t="str">
        <x:v>Aucune superposition ni téléportation</x:v>
      </x:c>
      <x:c r="G34" s="81" t="str">
        <x:v>À exécuter manuellement</x:v>
      </x:c>
      <x:c r="H34" s="81" t="str">
        <x:v>planWarRtsRallyV134</x:v>
      </x:c>
      <x:c r="I34" s="81" t="str">
        <x:v>Aucune preuve visuelle/serveur fournie</x:v>
      </x:c>
      <x:c r="J34" s="81" t="str">
        <x:v>#29→#34→#36→#37→#38→#40→#41→#43→#44→#45</x:v>
      </x:c>
    </x:row>
    <x:row r="35" ht="43" customHeight="1">
      <x:c r="A35" s="81" t="str">
        <x:v>QA-CW136-RTS-07</x:v>
      </x:c>
      <x:c r="B35" s="82" t="str">
        <x:v>RTS multi-escouades</x:v>
      </x:c>
      <x:c r="C35" s="81" t="str">
        <x:v>Lore manuel</x:v>
      </x:c>
      <x:c r="D35" s="81" t="str">
        <x:v>Planètes et lieux</x:v>
      </x:c>
      <x:c r="E35" s="81" t="str">
        <x:v>MAP12 orbital, MAP10 souterrain, Earth WGS84</x:v>
      </x:c>
      <x:c r="F35" s="81" t="str">
        <x:v>Pas de ville Terre sur mondes alien</x:v>
      </x:c>
      <x:c r="G35" s="81" t="str">
        <x:v>À exécuter manuellement</x:v>
      </x:c>
      <x:c r="H35" s="81" t="str">
        <x:v>auditWarSourceMapsV128</x:v>
      </x:c>
      <x:c r="I35" s="81" t="str">
        <x:v>Aucune preuve visuelle/serveur fournie</x:v>
      </x:c>
      <x:c r="J35" s="81" t="str">
        <x:v>#29→#34→#36→#37→#38→#40→#41→#43→#44→#45</x:v>
      </x:c>
    </x:row>
    <x:row r="36" ht="43" customHeight="1">
      <x:c r="A36" s="81" t="str">
        <x:v>QA-CW136-RTS-08</x:v>
      </x:c>
      <x:c r="B36" s="82" t="str">
        <x:v>RTS multi-escouades</x:v>
      </x:c>
      <x:c r="C36" s="81" t="str">
        <x:v>QA réseau</x:v>
      </x:c>
      <x:c r="D36" s="81" t="str">
        <x:v>Fog of war PvP</x:v>
      </x:c>
      <x:c r="E36" s="81" t="str">
        <x:v>Deux clients et serveur autoritaire</x:v>
      </x:c>
      <x:c r="F36" s="81" t="str">
        <x:v>Aucun ID invisible dans snapshot de client</x:v>
      </x:c>
      <x:c r="G36" s="81" t="str">
        <x:v>À exécuter manuellement</x:v>
      </x:c>
      <x:c r="H36" s="81" t="str">
        <x:v>rts_server_TODO</x:v>
      </x:c>
      <x:c r="I36" s="81" t="str">
        <x:v>Aucune preuve visuelle/serveur fournie</x:v>
      </x:c>
      <x:c r="J36" s="81" t="str">
        <x:v>#29→#34→#36→#37→#38→#40→#41→#43→#44→#45</x:v>
      </x:c>
    </x:row>
  </x:sheetData>
  <x:mergeCells>
    <x:mergeCell ref="A1:J1"/>
    <x:mergeCell ref="A2:J2"/>
  </x:mergeCells>
  <x:conditionalFormatting sqref="G5:G36">
    <x:cfRule type="expression" dxfId="37" priority="1">
      <x:formula>$G5="Validé CI ciblée"</x:formula>
    </x:cfRule>
    <x:cfRule type="expression" dxfId="38" priority="2">
      <x:formula>$G5="Implémenté — CI en cours"</x:formula>
    </x:cfRule>
    <x:cfRule type="expression" dxfId="39" priority="3">
      <x:formula>$G5="À développer"</x:formula>
    </x:cfRule>
    <x:cfRule type="expression" dxfId="40" priority="4">
      <x:formula>$G5="Partiel — prototype"</x:formula>
    </x:cfRule>
    <x:cfRule type="expression" dxfId="41" priority="5">
      <x:formula>$G5="À exécuter manuellement"</x:formula>
    </x:cfRule>
  </x:conditionalFormatting>
  <x:dataValidations count="1">
    <x:dataValidation type="list" sqref="G5:G36">
      <x:formula1>"CI en cours,Validé CI ciblée,À exécuter manuellement"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42" hidden="0" customWidth="1"/>
    <x:col min="5" max="5" width="44" hidden="0" customWidth="1"/>
    <x:col min="6" max="6" width="46" hidden="0" customWidth="1"/>
    <x:col min="7" max="7" width="23" hidden="0" customWidth="1"/>
    <x:col min="8" max="8" width="42" hidden="0" customWidth="1"/>
  </x:cols>
  <x:sheetData>
    <x:row r="1" ht="34" customHeight="1">
      <x:c r="A1" s="66" t="str">
        <x:v>V136 — INTERACTIONS RÉELLES ENTRE LES 4 MODES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Matrice source → destination ; seuls les effets V115 attestés par les tests sont indiqués comme actifs. V133 reste un sandbox sans conquête V85.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Source</x:v>
      </x:c>
      <x:c r="B4" s="74" t="str">
        <x:v>Destination</x:v>
      </x:c>
      <x:c r="C4" s="74" t="str">
        <x:v>Donnée échangée</x:v>
      </x:c>
      <x:c r="D4" s="74" t="str">
        <x:v>Contrat / intention</x:v>
      </x:c>
      <x:c r="E4" s="74" t="str">
        <x:v>Acceptation vérifiable</x:v>
      </x:c>
      <x:c r="F4" s="74" t="str">
        <x:v>Invariant de sécurité</x:v>
      </x:c>
      <x:c r="G4" s="74" t="str">
        <x:v>État</x:v>
      </x:c>
      <x:c r="H4" s="74" t="str">
        <x:v>Source du code</x:v>
      </x:c>
    </x:row>
    <x:row r="5" ht="43" customHeight="1">
      <x:c r="A5" s="75" t="str">
        <x:v>Assaut latéral</x:v>
      </x:c>
      <x:c r="B5" s="75" t="str">
        <x:v>Assaut latéral</x:v>
      </x:c>
      <x:c r="C5" s="75" t="str">
        <x:v>AP et unités</x:v>
      </x:c>
      <x:c r="D5" s="75" t="str">
        <x:v>Tenue V136 puis protection V135</x:v>
      </x:c>
      <x:c r="E5" s="75" t="str">
        <x:v>Deux commandes distinctes, chacune payée en AP, même équipe déjà déployée</x:v>
      </x:c>
      <x:c r="F5" s="75" t="str">
        <x:v>Aucun double mouvement ou gratuité</x:v>
      </x:c>
      <x:c r="G5" s="75" t="str">
        <x:v>Partiel — prototype</x:v>
      </x:c>
      <x:c r="H5" s="75" t="str">
        <x:v>orderWarAssaultHoldV136 / reinforceWarAssaultLineV135</x:v>
      </x:c>
    </x:row>
    <x:row r="6" ht="43" customHeight="1">
      <x:c r="A6" s="75" t="str">
        <x:v>Assaut latéral</x:v>
      </x:c>
      <x:c r="B6" s="75" t="str">
        <x:v>Outer Ops</x:v>
      </x:c>
      <x:c r="C6" s="75" t="str">
        <x:v>Pression territoriale V115</x:v>
      </x:c>
      <x:c r="D6" s="75" t="str">
        <x:v>Victoire d'assaut → pressure[target]</x:v>
      </x:c>
      <x:c r="E6" s="75" t="str">
        <x:v>L'Outer Ops lit ensuite ce compteur sans annexion</x:v>
      </x:c>
      <x:c r="F6" s="75" t="str">
        <x:v>Ne pas traiter la pression comme capture V85</x:v>
      </x:c>
      <x:c r="G6" s="75" t="str">
        <x:v>Validé CI ciblée</x:v>
      </x:c>
      <x:c r="H6" s="75" t="str">
        <x:v>recordOutcome / simulateWarOuterMissionV115</x:v>
      </x:c>
    </x:row>
    <x:row r="7" ht="43" customHeight="1">
      <x:c r="A7" s="75" t="str">
        <x:v>Assaut latéral</x:v>
      </x:c>
      <x:c r="B7" s="75" t="str">
        <x:v>Infiltration</x:v>
      </x:c>
      <x:c r="C7" s="75" t="str">
        <x:v>État du bastion</x:v>
      </x:c>
      <x:c r="D7" s="75" t="str">
        <x:v>Pression ennemie → infiltration du site</x:v>
      </x:c>
      <x:c r="E7" s="75" t="str">
        <x:v>Planifier vigilance/alarme et contrôle réel</x:v>
      </x:c>
      <x:c r="F7" s="75" t="str">
        <x:v>Aucun effet de simulation V115 non testé sur patrouille</x:v>
      </x:c>
      <x:c r="G7" s="75" t="str">
        <x:v>À développer</x:v>
      </x:c>
      <x:c r="H7" s="75" t="str">
        <x:v>stealth_pressure_TODO</x:v>
      </x:c>
    </x:row>
    <x:row r="8" ht="43" customHeight="1">
      <x:c r="A8" s="75" t="str">
        <x:v>Assaut latéral</x:v>
      </x:c>
      <x:c r="B8" s="75" t="str">
        <x:v>RTS multi-escouades</x:v>
      </x:c>
      <x:c r="C8" s="75" t="str">
        <x:v>Moral / garnison</x:v>
      </x:c>
      <x:c r="D8" s="75" t="str">
        <x:v>Assaut et RTS partagent détachements de source V6</x:v>
      </x:c>
      <x:c r="E8" s="75" t="str">
        <x:v>Réservation des mêmes membres, coûts uniques selon mission</x:v>
      </x:c>
      <x:c r="F8" s="75" t="str">
        <x:v>Ne jamais transférer acteur V133 local dans sauvegarde V115</x:v>
      </x:c>
      <x:c r="G8" s="75" t="str">
        <x:v>Partiel — prototype</x:v>
      </x:c>
      <x:c r="H8" s="75" t="str">
        <x:v>warMissionEligibleV115</x:v>
      </x:c>
    </x:row>
    <x:row r="9" ht="43" customHeight="1">
      <x:c r="A9" s="81" t="str">
        <x:v>Outer Ops</x:v>
      </x:c>
      <x:c r="B9" s="81" t="str">
        <x:v>Assaut latéral</x:v>
      </x:c>
      <x:c r="C9" s="81" t="str">
        <x:v>Renseignement V115</x:v>
      </x:c>
      <x:c r="D9" s="81" t="str">
        <x:v>Recon Outer Ops → AP d'assaut</x:v>
      </x:c>
      <x:c r="E9" s="81" t="str">
        <x:v>Après rapport réel de recon, les AP de départ peuvent augmenter</x:v>
      </x:c>
      <x:c r="F9" s="81" t="str">
        <x:v>Aucun intel sans report arrivé à échéance</x:v>
      </x:c>
      <x:c r="G9" s="81" t="str">
        <x:v>Validé CI ciblée</x:v>
      </x:c>
      <x:c r="H9" s="81" t="str">
        <x:v>recordOutcome / beginWarOperationV115</x:v>
      </x:c>
    </x:row>
    <x:row r="10" ht="43" customHeight="1">
      <x:c r="A10" s="81" t="str">
        <x:v>Outer Ops</x:v>
      </x:c>
      <x:c r="B10" s="81" t="str">
        <x:v>Outer Ops</x:v>
      </x:c>
      <x:c r="C10" s="81" t="str">
        <x:v>Affectations et délais</x:v>
      </x:c>
      <x:c r="D10" s="81" t="str">
        <x:v>Trois mandats délégués simultanés</x:v>
      </x:c>
      <x:c r="E10" s="81" t="str">
        <x:v>Aucun membre ne peut être dans deux mandats</x:v>
      </x:c>
      <x:c r="F10" s="81" t="str">
        <x:v>Pas de rémunération du rappel prématuré</x:v>
      </x:c>
      <x:c r="G10" s="81" t="str">
        <x:v>Validé CI ciblée</x:v>
      </x:c>
      <x:c r="H10" s="81" t="str">
        <x:v>beginWarOperationV115 / settleWarOuterOpsV115</x:v>
      </x:c>
    </x:row>
    <x:row r="11" ht="43" customHeight="1">
      <x:c r="A11" s="81" t="str">
        <x:v>Outer Ops</x:v>
      </x:c>
      <x:c r="B11" s="81" t="str">
        <x:v>Infiltration</x:v>
      </x:c>
      <x:c r="C11" s="81" t="str">
        <x:v>Recon du terrain</x:v>
      </x:c>
      <x:c r="D11" s="81" t="str">
        <x:v>Rapport de recon → passages d'infiltration mieux visibles</x:v>
      </x:c>
      <x:c r="E11" s="81" t="str">
        <x:v>Prévoir relevés réels après retour</x:v>
      </x:c>
      <x:c r="F11" s="81" t="str">
        <x:v>Pas de révélation automatique d'une IA cachée</x:v>
      </x:c>
      <x:c r="G11" s="81" t="str">
        <x:v>À développer</x:v>
      </x:c>
      <x:c r="H11" s="81" t="str">
        <x:v>stealth_intel_bridge_TODO</x:v>
      </x:c>
    </x:row>
    <x:row r="12" ht="43" customHeight="1">
      <x:c r="A12" s="81" t="str">
        <x:v>Outer Ops</x:v>
      </x:c>
      <x:c r="B12" s="81" t="str">
        <x:v>RTS multi-escouades</x:v>
      </x:c>
      <x:c r="C12" s="81" t="str">
        <x:v>RAV et logistique</x:v>
      </x:c>
      <x:c r="D12" s="81" t="str">
        <x:v>Ravitaillement Outer Ops → défense RTS par chaîne signée</x:v>
      </x:c>
      <x:c r="E12" s="81" t="str">
        <x:v>Une route et un report validés affectent le front</x:v>
      </x:c>
      <x:c r="F12" s="81" t="str">
        <x:v>Ne jamais créditer V133 sans autorité V85</x:v>
      </x:c>
      <x:c r="G12" s="81" t="str">
        <x:v>À développer</x:v>
      </x:c>
      <x:c r="H12" s="81" t="str">
        <x:v>outer_rts_supplies_TODO</x:v>
      </x:c>
    </x:row>
    <x:row r="13" ht="43" customHeight="1">
      <x:c r="A13" s="75" t="str">
        <x:v>Infiltration</x:v>
      </x:c>
      <x:c r="B13" s="75" t="str">
        <x:v>Assaut latéral</x:v>
      </x:c>
      <x:c r="C13" s="75" t="str">
        <x:v>Relais affaibli</x:v>
      </x:c>
      <x:c r="D13" s="75" t="str">
        <x:v>Sabotage V115 → bastion rival moins résistant</x:v>
      </x:c>
      <x:c r="E13" s="75" t="str">
        <x:v>Même territoire V6, weakenedIds lors d'une victoire réelle</x:v>
      </x:c>
      <x:c r="F13" s="75" t="str">
        <x:v>Pas de malus sur un autre monde/territoire</x:v>
      </x:c>
      <x:c r="G13" s="75" t="str">
        <x:v>Validé CI ciblée</x:v>
      </x:c>
      <x:c r="H13" s="75" t="str">
        <x:v>recordOutcome / beginWarOperationV115</x:v>
      </x:c>
    </x:row>
    <x:row r="14" ht="43" customHeight="1">
      <x:c r="A14" s="75" t="str">
        <x:v>Infiltration</x:v>
      </x:c>
      <x:c r="B14" s="75" t="str">
        <x:v>Outer Ops</x:v>
      </x:c>
      <x:c r="C14" s="75" t="str">
        <x:v>Affaiblissement du relais</x:v>
      </x:c>
      <x:c r="D14" s="75" t="str">
        <x:v>Sabotage V115 → bonus de simulation Outer Ops</x:v>
      </x:c>
      <x:c r="E14" s="75" t="str">
        <x:v>Seulement même site après preuve et extraction</x:v>
      </x:c>
      <x:c r="F14" s="75" t="str">
        <x:v>Ne pas activer avant le rapport unique</x:v>
      </x:c>
      <x:c r="G14" s="75" t="str">
        <x:v>Validé CI ciblée</x:v>
      </x:c>
      <x:c r="H14" s="75" t="str">
        <x:v>simulateWarOuterMissionV115</x:v>
      </x:c>
    </x:row>
    <x:row r="15" ht="43" customHeight="1">
      <x:c r="A15" s="75" t="str">
        <x:v>Infiltration</x:v>
      </x:c>
      <x:c r="B15" s="75" t="str">
        <x:v>Infiltration</x:v>
      </x:c>
      <x:c r="C15" s="75" t="str">
        <x:v>Camouflage, cover et alarmes</x:v>
      </x:c>
      <x:c r="D15" s="75" t="str">
        <x:v>Alerte/couvert persistent dans mission V115</x:v>
      </x:c>
      <x:c r="E15" s="75" t="str">
        <x:v>Un couvert physique utilisé ne peut l'être deux fois</x:v>
      </x:c>
      <x:c r="F15" s="75" t="str">
        <x:v>Aucun camouflage infini et sauvegarde source mismatch</x:v>
      </x:c>
      <x:c r="G15" s="75" t="str">
        <x:v>Validé CI ciblée</x:v>
      </x:c>
      <x:c r="H15" s="75" t="str">
        <x:v>commandStealthV115:hide</x:v>
      </x:c>
    </x:row>
    <x:row r="16" ht="43" customHeight="1">
      <x:c r="A16" s="75" t="str">
        <x:v>Infiltration</x:v>
      </x:c>
      <x:c r="B16" s="75" t="str">
        <x:v>RTS multi-escouades</x:v>
      </x:c>
      <x:c r="C16" s="75" t="str">
        <x:v>Information relais</x:v>
      </x:c>
      <x:c r="D16" s="75" t="str">
        <x:v>Sabotage V115 → faiblesse d'ennemis en RTS V115</x:v>
      </x:c>
      <x:c r="E16" s="75" t="str">
        <x:v>La reconstitution 9×6 existante peut lire weakenedIds</x:v>
      </x:c>
      <x:c r="F16" s="75" t="str">
        <x:v>Pas d'effet magique sur les 24 W3 du sandbox V133</x:v>
      </x:c>
      <x:c r="G16" s="75" t="str">
        <x:v>Partiel — prototype</x:v>
      </x:c>
      <x:c r="H16" s="75" t="str">
        <x:v>beginWarOperationV115 / V133 isolation</x:v>
      </x:c>
    </x:row>
    <x:row r="17" ht="43" customHeight="1">
      <x:c r="A17" s="81" t="str">
        <x:v>RTS multi-escouades</x:v>
      </x:c>
      <x:c r="B17" s="81" t="str">
        <x:v>Assaut latéral</x:v>
      </x:c>
      <x:c r="C17" s="81" t="str">
        <x:v>Pression V115</x:v>
      </x:c>
      <x:c r="D17" s="81" t="str">
        <x:v>Victoire RTS libre → pression d'exercice</x:v>
      </x:c>
      <x:c r="E17" s="81" t="str">
        <x:v>En assaut suivant, source de pression réutilisée</x:v>
      </x:c>
      <x:c r="F17" s="81" t="str">
        <x:v>Aucun transfert direct de victoire locale V133</x:v>
      </x:c>
      <x:c r="G17" s="81" t="str">
        <x:v>Validé CI ciblée</x:v>
      </x:c>
      <x:c r="H17" s="81" t="str">
        <x:v>recordOutcome / beginWarOperationV115</x:v>
      </x:c>
    </x:row>
    <x:row r="18" ht="43" customHeight="1">
      <x:c r="A18" s="81" t="str">
        <x:v>RTS multi-escouades</x:v>
      </x:c>
      <x:c r="B18" s="81" t="str">
        <x:v>Outer Ops</x:v>
      </x:c>
      <x:c r="C18" s="81" t="str">
        <x:v>Pression du front</x:v>
      </x:c>
      <x:c r="D18" s="81" t="str">
        <x:v>Résultat RTS V115 → simulation Outer Ops</x:v>
      </x:c>
      <x:c r="E18" s="81" t="str">
        <x:v>Un compteur pressure validé augmente une force simulée</x:v>
      </x:c>
      <x:c r="F18" s="81" t="str">
        <x:v>Aucune unité ennemie crée à partir du rapport</x:v>
      </x:c>
      <x:c r="G18" s="81" t="str">
        <x:v>Validé CI ciblée</x:v>
      </x:c>
      <x:c r="H18" s="81" t="str">
        <x:v>simulateWarOuterMissionV115</x:v>
      </x:c>
    </x:row>
    <x:row r="19" ht="43" customHeight="1">
      <x:c r="A19" s="81" t="str">
        <x:v>RTS multi-escouades</x:v>
      </x:c>
      <x:c r="B19" s="81" t="str">
        <x:v>Infiltration</x:v>
      </x:c>
      <x:c r="C19" s="81" t="str">
        <x:v>Couverture et patrouille</x:v>
      </x:c>
      <x:c r="D19" s="81" t="str">
        <x:v>Reconnaissance tactique → infiltration crédible</x:v>
      </x:c>
      <x:c r="E19" s="81" t="str">
        <x:v>Nécessite une autorité de renseignement de carte</x:v>
      </x:c>
      <x:c r="F19" s="81" t="str">
        <x:v>Ne pas donner la carte entière avant observation</x:v>
      </x:c>
      <x:c r="G19" s="81" t="str">
        <x:v>À développer</x:v>
      </x:c>
      <x:c r="H19" s="81" t="str">
        <x:v>rts_stealth_intel_TODO</x:v>
      </x:c>
    </x:row>
    <x:row r="20" ht="43" customHeight="1">
      <x:c r="A20" s="81" t="str">
        <x:v>RTS multi-escouades</x:v>
      </x:c>
      <x:c r="B20" s="81" t="str">
        <x:v>RTS multi-escouades</x:v>
      </x:c>
      <x:c r="C20" s="81" t="str">
        <x:v>Sources de monde W3</x:v>
      </x:c>
      <x:c r="D20" s="81" t="str">
        <x:v>24 contrats V129 et règles V133–V136</x:v>
      </x:c>
      <x:c r="E20" s="81" t="str">
        <x:v>24 missions / 12 cartes; unités identifiées et veille physique</x:v>
      </x:c>
      <x:c r="F20" s="81" t="str">
        <x:v>Aucun PvP serveur ni scène filmique 1:1 déclarés</x:v>
      </x:c>
      <x:c r="G20" s="81" t="str">
        <x:v>Partiel — prototype</x:v>
      </x:c>
      <x:c r="H20" s="81" t="str">
        <x:v>clanWarRtsSquadsV133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23" hidden="0" customWidth="1"/>
    <x:col min="4" max="4" width="55" hidden="0" customWidth="1"/>
    <x:col min="5" max="5" width="22" hidden="0" customWidth="1"/>
    <x:col min="6" max="6" width="20" hidden="0" customWidth="1"/>
    <x:col min="7" max="7" width="17" hidden="0" customWidth="1"/>
    <x:col min="8" max="8" width="44" hidden="0" customWidth="1"/>
  </x:cols>
  <x:sheetData>
    <x:row r="1" ht="34" customHeight="1">
      <x:c r="A1" s="66" t="str">
        <x:v>V136 — PRODUCTION 4 GAME MODES · SYNTHÈSE D’AVANCEMENT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31/10/2026 • PR #45 sur #44 • moteur V136 : 55/55 tests Node, TypeScript et ESLint réussis. Prototype validé en CI ciblée ≠ QA navigateur/manette, fidélité 1:1 ou jeu final.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Game mode</x:v>
      </x:c>
      <x:c r="B4" s="74" t="str">
        <x:v>Exigences</x:v>
      </x:c>
      <x:c r="C4" s="74" t="str">
        <x:v>CI ciblée validée</x:v>
      </x:c>
      <x:c r="D4" s="74" t="str">
        <x:v>Partiel prototype</x:v>
      </x:c>
      <x:c r="E4" s="74" t="str">
        <x:v>À développer</x:v>
      </x:c>
      <x:c r="F4" s="74" t="str">
        <x:v>CI en cours</x:v>
      </x:c>
      <x:c r="G4" s="74"/>
      <x:c r="H4" s="74"/>
    </x:row>
    <x:row r="5" ht="28" customHeight="1">
      <x:c r="A5" s="40" t="str">
        <x:v>Assaut latéral</x:v>
      </x:c>
      <x:c r="B5" s="87" t="n">
        <x:f>COUNTIF('MODES_V136_PARALLELE'!$B$5:$B$52,$A5)</x:f>
        <x:v>12</x:v>
      </x:c>
      <x:c r="C5" s="87" t="n">
        <x:f>COUNTIFS('MODES_V136_PARALLELE'!$B$5:$B$52,$A5,'MODES_V136_PARALLELE'!$J$5:$J$52,"Validé CI ciblée")</x:f>
        <x:v>4</x:v>
      </x:c>
      <x:c r="D5" s="87" t="n">
        <x:f>COUNTIFS('MODES_V136_PARALLELE'!$B$5:$B$52,$A5,'MODES_V136_PARALLELE'!$J$5:$J$52,"Partiel — prototype")</x:f>
        <x:v>2</x:v>
      </x:c>
      <x:c r="E5" s="87" t="n">
        <x:f>COUNTIFS('MODES_V136_PARALLELE'!$B$5:$B$52,$A5,'MODES_V136_PARALLELE'!$J$5:$J$52,"À développer")</x:f>
        <x:v>6</x:v>
      </x:c>
      <x:c r="F5" s="87" t="n">
        <x:f>COUNTIFS('MODES_V136_PARALLELE'!$B$5:$B$52,$A5,'MODES_V136_PARALLELE'!$J$5:$J$52,"Implémenté — CI en cours")</x:f>
        <x:v>0</x:v>
      </x:c>
      <x:c r="G5" s="40"/>
      <x:c r="H5" s="40"/>
    </x:row>
    <x:row r="6" ht="28" customHeight="1">
      <x:c r="A6" s="40" t="str">
        <x:v>Outer Ops</x:v>
      </x:c>
      <x:c r="B6" s="87" t="n">
        <x:f>COUNTIF('MODES_V136_PARALLELE'!$B$5:$B$52,$A6)</x:f>
        <x:v>12</x:v>
      </x:c>
      <x:c r="C6" s="87" t="n">
        <x:f>COUNTIFS('MODES_V136_PARALLELE'!$B$5:$B$52,$A6,'MODES_V136_PARALLELE'!$J$5:$J$52,"Validé CI ciblée")</x:f>
        <x:v>5</x:v>
      </x:c>
      <x:c r="D6" s="87" t="n">
        <x:f>COUNTIFS('MODES_V136_PARALLELE'!$B$5:$B$52,$A6,'MODES_V136_PARALLELE'!$J$5:$J$52,"Partiel — prototype")</x:f>
        <x:v>3</x:v>
      </x:c>
      <x:c r="E6" s="87" t="n">
        <x:f>COUNTIFS('MODES_V136_PARALLELE'!$B$5:$B$52,$A6,'MODES_V136_PARALLELE'!$J$5:$J$52,"À développer")</x:f>
        <x:v>4</x:v>
      </x:c>
      <x:c r="F6" s="87" t="n">
        <x:f>COUNTIFS('MODES_V136_PARALLELE'!$B$5:$B$52,$A6,'MODES_V136_PARALLELE'!$J$5:$J$52,"Implémenté — CI en cours")</x:f>
        <x:v>0</x:v>
      </x:c>
      <x:c r="G6" s="40"/>
      <x:c r="H6" s="40"/>
    </x:row>
    <x:row r="7" ht="28" customHeight="1">
      <x:c r="A7" s="40" t="str">
        <x:v>Infiltration</x:v>
      </x:c>
      <x:c r="B7" s="87" t="n">
        <x:f>COUNTIF('MODES_V136_PARALLELE'!$B$5:$B$52,$A7)</x:f>
        <x:v>12</x:v>
      </x:c>
      <x:c r="C7" s="87" t="n">
        <x:f>COUNTIFS('MODES_V136_PARALLELE'!$B$5:$B$52,$A7,'MODES_V136_PARALLELE'!$J$5:$J$52,"Validé CI ciblée")</x:f>
        <x:v>6</x:v>
      </x:c>
      <x:c r="D7" s="87" t="n">
        <x:f>COUNTIFS('MODES_V136_PARALLELE'!$B$5:$B$52,$A7,'MODES_V136_PARALLELE'!$J$5:$J$52,"Partiel — prototype")</x:f>
        <x:v>1</x:v>
      </x:c>
      <x:c r="E7" s="87" t="n">
        <x:f>COUNTIFS('MODES_V136_PARALLELE'!$B$5:$B$52,$A7,'MODES_V136_PARALLELE'!$J$5:$J$52,"À développer")</x:f>
        <x:v>5</x:v>
      </x:c>
      <x:c r="F7" s="87" t="n">
        <x:f>COUNTIFS('MODES_V136_PARALLELE'!$B$5:$B$52,$A7,'MODES_V136_PARALLELE'!$J$5:$J$52,"Implémenté — CI en cours")</x:f>
        <x:v>0</x:v>
      </x:c>
      <x:c r="G7" s="40"/>
      <x:c r="H7" s="40"/>
    </x:row>
    <x:row r="8" ht="28" customHeight="1">
      <x:c r="A8" s="40" t="str">
        <x:v>RTS multi-escouades</x:v>
      </x:c>
      <x:c r="B8" s="87" t="n">
        <x:f>COUNTIF('MODES_V136_PARALLELE'!$B$5:$B$52,$A8)</x:f>
        <x:v>12</x:v>
      </x:c>
      <x:c r="C8" s="87" t="n">
        <x:f>COUNTIFS('MODES_V136_PARALLELE'!$B$5:$B$52,$A8,'MODES_V136_PARALLELE'!$J$5:$J$52,"Validé CI ciblée")</x:f>
        <x:v>7</x:v>
      </x:c>
      <x:c r="D8" s="87" t="n">
        <x:f>COUNTIFS('MODES_V136_PARALLELE'!$B$5:$B$52,$A8,'MODES_V136_PARALLELE'!$J$5:$J$52,"Partiel — prototype")</x:f>
        <x:v>2</x:v>
      </x:c>
      <x:c r="E8" s="87" t="n">
        <x:f>COUNTIFS('MODES_V136_PARALLELE'!$B$5:$B$52,$A8,'MODES_V136_PARALLELE'!$J$5:$J$52,"À développer")</x:f>
        <x:v>3</x:v>
      </x:c>
      <x:c r="F8" s="87" t="n">
        <x:f>COUNTIFS('MODES_V136_PARALLELE'!$B$5:$B$52,$A8,'MODES_V136_PARALLELE'!$J$5:$J$52,"Implémenté — CI en cours")</x:f>
        <x:v>0</x:v>
      </x:c>
      <x:c r="G8" s="40"/>
      <x:c r="H8" s="40"/>
    </x:row>
    <x:row r="9" ht="28" customHeight="1">
      <x:c r="A9" s="84" t="str">
        <x:v>TOTAL</x:v>
      </x:c>
      <x:c r="B9" s="88" t="n">
        <x:f>SUM(B5:B8)</x:f>
        <x:v>48</x:v>
      </x:c>
      <x:c r="C9" s="88" t="n">
        <x:f>SUM(C5:C8)</x:f>
        <x:v>22</x:v>
      </x:c>
      <x:c r="D9" s="88" t="n">
        <x:f>SUM(D5:D8)</x:f>
        <x:v>8</x:v>
      </x:c>
      <x:c r="E9" s="88" t="n">
        <x:f>SUM(E5:E8)</x:f>
        <x:v>18</x:v>
      </x:c>
      <x:c r="F9" s="88" t="n">
        <x:f>SUM(F5:F8)</x:f>
        <x:v>0</x:v>
      </x:c>
      <x:c r="G9" s="40"/>
      <x:c r="H9" s="40"/>
    </x:row>
    <x:row r="10" ht="43" customHeight="1">
      <x:c r="A10" s="40"/>
      <x:c r="B10" s="40"/>
      <x:c r="C10" s="40"/>
      <x:c r="D10" s="40"/>
      <x:c r="E10" s="40"/>
      <x:c r="F10" s="40"/>
      <x:c r="G10" s="40"/>
      <x:c r="H10" s="40"/>
    </x:row>
    <x:row r="11" ht="43" customHeight="1">
      <x:c r="A11" s="40"/>
      <x:c r="B11" s="40"/>
      <x:c r="C11" s="40"/>
      <x:c r="D11" s="40"/>
      <x:c r="E11" s="40"/>
      <x:c r="F11" s="40"/>
      <x:c r="G11" s="40"/>
      <x:c r="H11" s="40"/>
    </x:row>
    <x:row r="12" ht="31" customHeight="1">
      <x:c r="A12" s="86" t="str">
        <x:v>Indicateur</x:v>
      </x:c>
      <x:c r="B12" s="86" t="str">
        <x:v>Valeur</x:v>
      </x:c>
      <x:c r="C12" s="86" t="str">
        <x:v>Qualification</x:v>
      </x:c>
      <x:c r="D12" s="86" t="str">
        <x:v>Source</x:v>
      </x:c>
      <x:c r="E12" s="86" t="str">
        <x:v>Contrôle</x:v>
      </x:c>
      <x:c r="F12" s="86" t="str">
        <x:v>Reste</x:v>
      </x:c>
      <x:c r="G12" s="86" t="str">
        <x:v>Priorité</x:v>
      </x:c>
      <x:c r="H12" s="86" t="str">
        <x:v>Observation</x:v>
      </x:c>
    </x:row>
    <x:row r="13" ht="38" customHeight="1">
      <x:c r="A13" s="40" t="str">
        <x:v>Fiches V120</x:v>
      </x:c>
      <x:c r="B13" s="40" t="n">
        <x:v>1200</x:v>
      </x:c>
      <x:c r="C13" s="40" t="str">
        <x:v>Design-only</x:v>
      </x:c>
      <x:c r="D13" s="40" t="str">
        <x:v>https://github.com/darknigthmare/yautja-la-longue-chasse/pull/44</x:v>
      </x:c>
      <x:c r="E13" s="40" t="str">
        <x:v>IDs d'origine conservés</x:v>
      </x:c>
      <x:c r="F13" s="40" t="str">
        <x:v>Niveaux non jouables</x:v>
      </x:c>
      <x:c r="G13" s="40" t="str">
        <x:v>P0</x:v>
      </x:c>
      <x:c r="H13" s="40" t="str">
        <x:v>4 modes × 3 contextes × 100</x:v>
      </x:c>
    </x:row>
    <x:row r="14" ht="38" customHeight="1">
      <x:c r="A14" s="40" t="str">
        <x:v>Missions RTS W3</x:v>
      </x:c>
      <x:c r="B14" s="40" t="n">
        <x:v>24</x:v>
      </x:c>
      <x:c r="C14" s="40" t="str">
        <x:v>Prototypes W3</x:v>
      </x:c>
      <x:c r="D14" s="40" t="str">
        <x:v>https://github.com/darknigthmare/yautja-la-longue-chasse/pull/43</x:v>
      </x:c>
      <x:c r="E14" s="40" t="str">
        <x:v>72 étapes / 12 cartes</x:v>
      </x:c>
      <x:c r="F14" s="40" t="str">
        <x:v>Art, moteur campagne, IA finale</x:v>
      </x:c>
      <x:c r="G14" s="40" t="str">
        <x:v>P0</x:v>
      </x:c>
      <x:c r="H14" s="40" t="str">
        <x:v>Ne pas confondre avec RTS final</x:v>
      </x:c>
    </x:row>
    <x:row r="15" ht="38" customHeight="1">
      <x:c r="A15" s="40" t="str">
        <x:v>Exigences V136</x:v>
      </x:c>
      <x:c r="B15" s="40" t="n">
        <x:v>48</x:v>
      </x:c>
      <x:c r="C15" s="40" t="str">
        <x:v>Backlog détaillé</x:v>
      </x:c>
      <x:c r="D15" s="40" t="str">
        <x:v>https://github.com/darknigthmare/yautja-la-longue-chasse/pull/45</x:v>
      </x:c>
      <x:c r="E15" s="40" t="str">
        <x:v>12 par mode</x:v>
      </x:c>
      <x:c r="F15" s="40" t="str">
        <x:v>QA manuelle et fonctions futures</x:v>
      </x:c>
      <x:c r="G15" s="40" t="str">
        <x:v>P0</x:v>
      </x:c>
      <x:c r="H15" s="40" t="str">
        <x:v>42 historiques V134 également préservées</x:v>
      </x:c>
    </x:row>
    <x:row r="16" ht="38" customHeight="1">
      <x:c r="A16" s="40" t="str">
        <x:v>Contrôles QA V136</x:v>
      </x:c>
      <x:c r="B16" s="40" t="n">
        <x:v>32</x:v>
      </x:c>
      <x:c r="C16" s="40" t="str">
        <x:v>Procédures d'acceptation</x:v>
      </x:c>
      <x:c r="D16" s="40" t="str">
        <x:v>https://github.com/darknigthmare/yautja-la-longue-chasse/pull/45</x:v>
      </x:c>
      <x:c r="E16" s="40" t="str">
        <x:v>8 par mode</x:v>
      </x:c>
      <x:c r="F16" s="40" t="str">
        <x:v>Navigateur/manette/réseau</x:v>
      </x:c>
      <x:c r="G16" s="40" t="str">
        <x:v>P0</x:v>
      </x:c>
      <x:c r="H16" s="40" t="str">
        <x:v>Tests Node ne certifient pas les visuels</x:v>
      </x:c>
    </x:row>
    <x:row r="17" ht="38" customHeight="1">
      <x:c r="A17" s="40" t="str">
        <x:v>Contrats inter-modes</x:v>
      </x:c>
      <x:c r="B17" s="40" t="n">
        <x:v>16</x:v>
      </x:c>
      <x:c r="C17" s="40" t="str">
        <x:v>Matrice qualifiée</x:v>
      </x:c>
      <x:c r="D17" s="40" t="str">
        <x:v>https://github.com/darknigthmare/yautja-la-longue-chasse/pull/45</x:v>
      </x:c>
      <x:c r="E17" s="40" t="str">
        <x:v>4 × 4</x:v>
      </x:c>
      <x:c r="F17" s="40" t="str">
        <x:v>Bridging V85 autoritaire</x:v>
      </x:c>
      <x:c r="G17" s="40" t="str">
        <x:v>P0</x:v>
      </x:c>
      <x:c r="H17" s="40" t="str">
        <x:v>Pas de faux gain territorial</x:v>
      </x:c>
    </x:row>
    <x:row r="18" ht="38" customHeight="1">
      <x:c r="A18" s="40" t="str">
        <x:v>Mondes sources W3</x:v>
      </x:c>
      <x:c r="B18" s="40" t="n">
        <x:v>6</x:v>
      </x:c>
      <x:c r="C18" s="40" t="str">
        <x:v>Mond es W3 originaux</x:v>
      </x:c>
      <x:c r="D18" s="40" t="str">
        <x:v>https://github.com/darknigthmare/yautja-la-longue-chasse/pull/43</x:v>
      </x:c>
      <x:c r="E18" s="40" t="str">
        <x:v>Korthas, Vesh-Kar, Namarra, Oruun, Sahr-Keth, Ilyss</x:v>
      </x:c>
      <x:c r="F18" s="40" t="str">
        <x:v>WGS84 Earth scènes à créer</x:v>
      </x:c>
      <x:c r="G18" s="40" t="str">
        <x:v>P0</x:v>
      </x:c>
      <x:c r="H18" s="40" t="str">
        <x:v>Gunnison demeure sur Terre</x:v>
      </x:c>
    </x:row>
    <x:row r="19" ht="38" customHeight="1">
      <x:c r="A19" s="40" t="str">
        <x:v>Gauntlet</x:v>
      </x:c>
      <x:c r="B19" s="40" t="n">
        <x:v>54</x:v>
      </x:c>
      <x:c r="C19" s="40" t="str">
        <x:v>Travail parallèle</x:v>
      </x:c>
      <x:c r="D19" s="40" t="str">
        <x:v>https://github.com/darknigthmare/yautja-la-longue-chasse/pull/42</x:v>
      </x:c>
      <x:c r="E19" s="40" t="str">
        <x:v>Non fusionné dans cette PR</x:v>
      </x:c>
      <x:c r="F19" s="40" t="str">
        <x:v>Reprise esthétique après validation</x:v>
      </x:c>
      <x:c r="G19" s="40" t="str">
        <x:v>P1</x:v>
      </x:c>
      <x:c r="H19" s="40" t="str">
        <x:v>Option B sans conflit</x:v>
      </x:c>
    </x:row>
    <x:row r="20" ht="38" customHeight="1">
      <x:c r="A20" s="40" t="str">
        <x:v>Contenu 1:1</x:v>
      </x:c>
      <x:c r="B20" s="40" t="n">
        <x:v>0</x:v>
      </x:c>
      <x:c r="C20" s="40" t="str">
        <x:v>Non homologué</x:v>
      </x:c>
      <x:c r="D20" s="40" t="str">
        <x:v>https://github.com/darknigthmare/yautja-la-longue-chasse/pull/45</x:v>
      </x:c>
      <x:c r="E20" s="40" t="str">
        <x:v>Aucun visuel de film certifié</x:v>
      </x:c>
      <x:c r="F20" s="40" t="str">
        <x:v>Sprites, cartes, armes à vérifier</x:v>
      </x:c>
      <x:c r="G20" s="40" t="str">
        <x:v>P0</x:v>
      </x:c>
      <x:c r="H20" s="40" t="str">
        <x:v>Gameplay original ≠ AVP Extinction</x:v>
      </x:c>
    </x:row>
    <x:row r="22" ht="26" customHeight="1">
      <x:c r="A22" s="89" t="str">
        <x:v>PREUVES DE VALIDATION ET LIMITES DE CETTE VERSION</x:v>
      </x:c>
      <x:c r="B22" s="89"/>
      <x:c r="C22" s="89"/>
      <x:c r="D22" s="89"/>
      <x:c r="E22" s="89"/>
      <x:c r="F22" s="89"/>
      <x:c r="G22" s="89"/>
      <x:c r="H22" s="89"/>
    </x:row>
    <x:row r="23" ht="36" customHeight="1">
      <x:c r="A23" s="90" t="str">
        <x:v>Test Node</x:v>
      </x:c>
      <x:c r="B23" s="18" t="n">
        <x:v>55</x:v>
      </x:c>
      <x:c r="C23" s="18" t="str">
        <x:v>55/55 réussis</x:v>
      </x:c>
      <x:c r="D23" s="18" t="str">
        <x:v>https://github.com/darknigthmare/yautja-la-longue-chasse/actions/runs/41188164678</x:v>
      </x:c>
      <x:c r="E23" s="18" t="str">
        <x:v>Toutes les 11 exigences V136 testées + régressions</x:v>
      </x:c>
      <x:c r="F23" s="18" t="str">
        <x:v>QA gameplay réel non incluse</x:v>
      </x:c>
      <x:c r="G23" s="18" t="str">
        <x:v>P0</x:v>
      </x:c>
      <x:c r="H23" s="18" t="str">
        <x:v>CI ciblée sur branche de développement</x:v>
      </x:c>
    </x:row>
    <x:row r="24" ht="36" customHeight="1">
      <x:c r="A24" s="90" t="str">
        <x:v>TypeScript</x:v>
      </x:c>
      <x:c r="B24" s="18" t="n">
        <x:v>1</x:v>
      </x:c>
      <x:c r="C24" s="18" t="str">
        <x:v>Réussi</x:v>
      </x:c>
      <x:c r="D24" s="18" t="str">
        <x:v>https://github.com/darknigthmare/yautja-la-longue-chasse/actions/runs/41188164678</x:v>
      </x:c>
      <x:c r="E24" s="18" t="str">
        <x:v>V115 + V133 + V136</x:v>
      </x:c>
      <x:c r="F24" s="18" t="str">
        <x:v>Build Vercel non prouvé</x:v>
      </x:c>
      <x:c r="G24" s="18" t="str">
        <x:v>P0</x:v>
      </x:c>
      <x:c r="H24" s="18" t="str">
        <x:v>Contrôle statique ciblé</x:v>
      </x:c>
    </x:row>
    <x:row r="25" ht="36" customHeight="1">
      <x:c r="A25" s="90" t="str">
        <x:v>ESLint</x:v>
      </x:c>
      <x:c r="B25" s="18" t="n">
        <x:v>1</x:v>
      </x:c>
      <x:c r="C25" s="18" t="str">
        <x:v>Réussi</x:v>
      </x:c>
      <x:c r="D25" s="18" t="str">
        <x:v>https://github.com/darknigthmare/yautja-la-longue-chasse/actions/runs/41188164678</x:v>
      </x:c>
      <x:c r="E25" s="18" t="str">
        <x:v>Moteurs, UI et tests</x:v>
      </x:c>
      <x:c r="F25" s="18" t="str">
        <x:v>Pas de capture navigateur</x:v>
      </x:c>
      <x:c r="G25" s="18" t="str">
        <x:v>P0</x:v>
      </x:c>
      <x:c r="H25" s="18" t="str">
        <x:v>Warnings d'outillage distincts</x:v>
      </x:c>
    </x:row>
    <x:row r="26" ht="36" customHeight="1">
      <x:c r="A26" s="90" t="str">
        <x:v>Campagne V85</x:v>
      </x:c>
      <x:c r="B26" s="18" t="n">
        <x:v>0</x:v>
      </x:c>
      <x:c r="C26" s="18" t="str">
        <x:v>Non intégrée</x:v>
      </x:c>
      <x:c r="D26" s="18" t="str">
        <x:v>https://github.com/darknigthmare/yautja-la-longue-chasse/pull/45</x:v>
      </x:c>
      <x:c r="E26" s="18" t="str">
        <x:v>Aucun reçu de conquête automatique</x:v>
      </x:c>
      <x:c r="F26" s="18" t="str">
        <x:v>Raccord serveur et tests idempotents</x:v>
      </x:c>
      <x:c r="G26" s="18" t="str">
        <x:v>P0</x:v>
      </x:c>
      <x:c r="H26" s="18" t="str">
        <x:v>Exercices libres V115/V133 seulement</x:v>
      </x:c>
    </x:row>
    <x:row r="27" ht="36" customHeight="1">
      <x:c r="A27" s="90" t="str">
        <x:v>Fidélité films 1:1</x:v>
      </x:c>
      <x:c r="B27" s="18" t="n">
        <x:v>0</x:v>
      </x:c>
      <x:c r="C27" s="18" t="str">
        <x:v>Non certifiée</x:v>
      </x:c>
      <x:c r="D27" s="18" t="str">
        <x:v>https://github.com/darknigthmare/yautja-la-longue-chasse/pull/45</x:v>
      </x:c>
      <x:c r="E27" s="18" t="str">
        <x:v>Pas de décor/sprite vérifié par source</x:v>
      </x:c>
      <x:c r="F27" s="18" t="str">
        <x:v>Ressources, scènes, armes et continuités</x:v>
      </x:c>
      <x:c r="G27" s="18" t="str">
        <x:v>P0</x:v>
      </x:c>
      <x:c r="H27" s="18" t="str">
        <x:v>Original gameplay ≠ canon</x:v>
      </x:c>
    </x:row>
  </x:sheetData>
  <x:mergeCells>
    <x:mergeCell ref="A1:H1"/>
    <x:mergeCell ref="A2:H2"/>
    <x:mergeCell ref="A22:H22"/>
  </x:mergeCells>
  <x:conditionalFormatting sqref="C5:E8">
    <x:cfRule type="dataBar" priority="1">
      <x:dataBar>
        <x:cfvo type="min"/>
        <x:cfvo type="max"/>
        <x:color rgb="FF22A3A3"/>
      </x:dataBar>
      <x:extLst>
        <x:ext xmlns:x14="http://schemas.microsoft.com/office/spreadsheetml/2009/9/main" uri="{B025F937-C7B1-47D3-B67F-A62EFF666E3E}">
          <x14:id>{20696922-6BC6-061C-9CA7-EA79A5800DC2}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0696922-6BC6-061C-9CA7-EA79A5800DC2}">
            <x14:dataBar gradient="1">
              <x14:cfvo type="min"/>
              <x14:cfvo type="max"/>
              <x14:fillColor rgb="FF22A3A3"/>
            </x14:dataBar>
          </x14:cfRule>
          <xm:sqref>C5:E8</xm:sqref>
        </x14:conditionalFormatting>
      </x14:conditionalFormattings>
    </x:ext>
  </x:extLst>
</x:worksheet>
</file>

<file path=xl/worksheets/sheet2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ASSAUT LATÉRAL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CW137-ASS-001</x:v>
      </x:c>
      <x:c r="B5" s="98" t="str">
        <x:v>Assaut latéral</x:v>
      </x:c>
      <x:c r="C5" s="98" t="str">
        <x:v>Extraction physique</x:v>
      </x:c>
      <x:c r="D5" s="98" t="str">
        <x:v>Retrait vivant d'une formation latérale</x:v>
      </x:c>
      <x:c r="E5" s="98" t="str">
        <x:v>Équipe V6 déployée, encore en vie, réellement revenue à x≤18, 10 AP</x:v>
      </x:c>
      <x:c r="F5" s="98" t="str">
        <x:v>L'acteur quitte le champ; son ID reste réservé, aucun retour gratuit ni blessure artificielle</x:v>
      </x:c>
      <x:c r="G5" s="98" t="str">
        <x:v>Hors zone, équipe KO, non déployée ou AP&lt;10: état strictement inchangé; archive forgée refusée</x:v>
      </x:c>
      <x:c r="H5" s="98" t="str">
        <x:v>withdrawWarAssaultSquadV137</x:v>
      </x:c>
      <x:c r="I5" s="98" t="str">
        <x:v>P0</x:v>
      </x:c>
      <x:c r="J5" s="100" t="str">
        <x:v>Validé CI ciblée</x:v>
      </x:c>
      <x:c r="K5" s="98" t="str">
        <x:v>Extraction originale de jeu, sans unité ni technologie attribuée aux films</x:v>
      </x:c>
      <x:c r="L5" s="98" t="str">
        <x:v>QA navigateur de reprise, indication visuelle du retrait et essais manette</x:v>
      </x:c>
      <x:c r="M5" s="98" t="str">
        <x:v>QA-CW137-ASS-01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CW137-ASS-002</x:v>
      </x:c>
      <x:c r="B6" s="18" t="str">
        <x:v>Assaut latéral</x:v>
      </x:c>
      <x:c r="C6" s="18" t="str">
        <x:v>Tenue du bastion</x:v>
      </x:c>
      <x:c r="D6" s="18" t="str">
        <x:v>Ordre tenir la ligne V136</x:v>
      </x:c>
      <x:c r="E6" s="18" t="str">
        <x:v>Équipe V6 engagée vivante, x≤25, 15 AP</x:v>
      </x:c>
      <x:c r="F6" s="18" t="str">
        <x:v>Bloque avance auto exactement 3 tours; tir à portée conservé</x:v>
      </x:c>
      <x:c r="G6" s="18" t="str">
        <x:v>Une fois/équipe, hors zone ou AP&lt;15 : refus sans coût</x:v>
      </x:c>
      <x:c r="H6" s="18" t="str">
        <x:v>orderWarAssaultHoldV136</x:v>
      </x:c>
      <x:c r="I6" s="18" t="str">
        <x:v>P0</x:v>
      </x:c>
      <x:c r="J6" s="100" t="str">
        <x:v>Validé CI ciblée</x:v>
      </x:c>
      <x:c r="K6" s="18" t="str">
        <x:v>Ordre militaire propre au jeu</x:v>
      </x:c>
      <x:c r="L6" s="18" t="str">
        <x:v>Test en conditions de horde; infographie de portée</x:v>
      </x:c>
      <x:c r="M6" s="18" t="str">
        <x:v>QA-CW137-ASS-03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CW137-ASS-003</x:v>
      </x:c>
      <x:c r="B7" s="18" t="str">
        <x:v>Assaut latéral</x:v>
      </x:c>
      <x:c r="C7" s="18" t="str">
        <x:v>Protection de base</x:v>
      </x:c>
      <x:c r="D7" s="18" t="str">
        <x:v>Fortification V135</x:v>
      </x:c>
      <x:c r="E7" s="18" t="str">
        <x:v>Équipe déployée x≤18, bastion endommagé, 18 AP</x:v>
      </x:c>
      <x:c r="F7" s="18" t="str">
        <x:v>DEF V6 restaure ≤8 PV; une seule action par détachement</x:v>
      </x:c>
      <x:c r="G7" s="18" t="str">
        <x:v>Bastion intact, équipe perdue ou AP insuffisants refusés</x:v>
      </x:c>
      <x:c r="H7" s="18" t="str">
        <x:v>reinforceWarAssaultLineV135</x:v>
      </x:c>
      <x:c r="I7" s="18" t="str">
        <x:v>P0</x:v>
      </x:c>
      <x:c r="J7" s="100" t="str">
        <x:v>Validé CI ciblée</x:v>
      </x:c>
      <x:c r="K7" s="18" t="str">
        <x:v>Sans technologie filmique inventée</x:v>
      </x:c>
      <x:c r="L7" s="18" t="str">
        <x:v>Animation visible et rétroaction manette</x:v>
      </x:c>
      <x:c r="M7" s="18" t="str">
        <x:v>QA-CW137-ASS-04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CW137-ASS-004</x:v>
      </x:c>
      <x:c r="B8" s="18" t="str">
        <x:v>Assaut latéral</x:v>
      </x:c>
      <x:c r="C8" s="18" t="str">
        <x:v>Déploiement AP</x:v>
      </x:c>
      <x:c r="D8" s="18" t="str">
        <x:v>Renforts payés</x:v>
      </x:c>
      <x:c r="E8" s="18" t="str">
        <x:v>Équipe réservée en V6, assez AP</x:v>
      </x:c>
      <x:c r="F8" s="18" t="str">
        <x:v>Coût AP corrélé PC; arrivée unique; aucun duplicata</x:v>
      </x:c>
      <x:c r="G8" s="18" t="str">
        <x:v>Pas de recrutement fantôme ni débit RAV double</x:v>
      </x:c>
      <x:c r="H8" s="18" t="str">
        <x:v>deployAssaultUnitV115</x:v>
      </x:c>
      <x:c r="I8" s="18" t="str">
        <x:v>P0</x:v>
      </x:c>
      <x:c r="J8" s="100" t="str">
        <x:v>Validé CI ciblée</x:v>
      </x:c>
      <x:c r="K8" s="18" t="str">
        <x:v>Roster source W3-U, scénario original</x:v>
      </x:c>
      <x:c r="L8" s="18" t="str">
        <x:v>Visibilité point d'apparition, formation</x:v>
      </x:c>
      <x:c r="M8" s="18" t="str">
        <x:v>QA-CW137-ASS-05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CW137-ASS-005</x:v>
      </x:c>
      <x:c r="B9" s="18" t="str">
        <x:v>Assaut latéral</x:v>
      </x:c>
      <x:c r="C9" s="18" t="str">
        <x:v>Feu concentré</x:v>
      </x:c>
      <x:c r="D9" s="18" t="str">
        <x:v>Manœuvre V117</x:v>
      </x:c>
      <x:c r="E9" s="18" t="str">
        <x:v>Équipe engagée, cible vivante à distance V6, 20 AP</x:v>
      </x:c>
      <x:c r="F9" s="18" t="str">
        <x:v>Dégâts source ciblés, consommation unique</x:v>
      </x:c>
      <x:c r="G9" s="18" t="str">
        <x:v>Tir hors portée interdit; no ammo exploitable</x:v>
      </x:c>
      <x:c r="H9" s="18" t="str">
        <x:v>issueWarAssaultSpecialV117</x:v>
      </x:c>
      <x:c r="I9" s="18" t="str">
        <x:v>P0</x:v>
      </x:c>
      <x:c r="J9" s="100" t="str">
        <x:v>Validé CI ciblée</x:v>
      </x:c>
      <x:c r="K9" s="18" t="str">
        <x:v>Armes et silhouettes finales à sourcer</x:v>
      </x:c>
      <x:c r="L9" s="18" t="str">
        <x:v>Choix manuel de cible et LOS horizontale</x:v>
      </x:c>
      <x:c r="M9" s="18" t="str">
        <x:v>QA-CW137-ASS-06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CW137-ASS-006</x:v>
      </x:c>
      <x:c r="B10" s="18" t="str">
        <x:v>Assaut latéral</x:v>
      </x:c>
      <x:c r="C10" s="18" t="str">
        <x:v>Front auto</x:v>
      </x:c>
      <x:c r="D10" s="18" t="str">
        <x:v>Progression et riposte</x:v>
      </x:c>
      <x:c r="E10" s="18" t="str">
        <x:v>Bataille ouverte, ticks limités</x:v>
      </x:c>
      <x:c r="F10" s="18" t="str">
        <x:v>Unité monte en pression, base subit dégâts; rapport unique</x:v>
      </x:c>
      <x:c r="G10" s="18" t="str">
        <x:v>Pas de téléportation d'allié ni d'XP de reset</x:v>
      </x:c>
      <x:c r="H10" s="18" t="str">
        <x:v>stepAssaultV115</x:v>
      </x:c>
      <x:c r="I10" s="18" t="str">
        <x:v>P0</x:v>
      </x:c>
      <x:c r="J10" s="101" t="str">
        <x:v>Partiel — prototype</x:v>
      </x:c>
      <x:c r="K10" s="18" t="str">
        <x:v>Mouvement de guerre non tiré des films</x:v>
      </x:c>
      <x:c r="L10" s="18" t="str">
        <x:v>Équilibrer le nombre de vagues et pertes</x:v>
      </x:c>
      <x:c r="M10" s="18" t="str">
        <x:v>QA-CW137-ASS-07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CW137-ASS-007</x:v>
      </x:c>
      <x:c r="B11" s="18" t="str">
        <x:v>Assaut latéral</x:v>
      </x:c>
      <x:c r="C11" s="18" t="str">
        <x:v>Terrain fidèle</x:v>
      </x:c>
      <x:c r="D11" s="18" t="str">
        <x:v>Obstacles latéraux réels</x:v>
      </x:c>
      <x:c r="E11" s="18" t="str">
        <x:v>Biome planète/source W3 associé à la mission</x:v>
      </x:c>
      <x:c r="F11" s="18" t="str">
        <x:v>Collision, relief, plateforme et couvert distincts</x:v>
      </x:c>
      <x:c r="G11" s="18" t="str">
        <x:v>Refuser neige aléatoire sur désert et milieu spatial au sol</x:v>
      </x:c>
      <x:c r="H11" s="18" t="str">
        <x:v>terrain_assault_v136_TODO</x:v>
      </x:c>
      <x:c r="I11" s="18" t="str">
        <x:v>P0</x:v>
      </x:c>
      <x:c r="J11" s="102" t="str">
        <x:v>À développer</x:v>
      </x:c>
      <x:c r="K11" s="18" t="str">
        <x:v>Biome/plans W3, pas de décors de film prouvés</x:v>
      </x:c>
      <x:c r="L11" s="18" t="str">
        <x:v>Tilesets régionaux et collisions progressives</x:v>
      </x:c>
      <x:c r="M11" s="18" t="str">
        <x:v>QA-CW137-ASS-08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CW137-ASS-008</x:v>
      </x:c>
      <x:c r="B12" s="18" t="str">
        <x:v>Assaut latéral</x:v>
      </x:c>
      <x:c r="C12" s="18" t="str">
        <x:v>Vagues ordonnées</x:v>
      </x:c>
      <x:c r="D12" s="18" t="str">
        <x:v>Spawn par type d'ennemi</x:v>
      </x:c>
      <x:c r="E12" s="18" t="str">
        <x:v>Faction adverse, budget PC/RAV, climat</x:v>
      </x:c>
      <x:c r="F12" s="18" t="str">
        <x:v>Patrouilles, flanqueurs et renforts chronométrés</x:v>
      </x:c>
      <x:c r="G12" s="18" t="str">
        <x:v>Ne pas créer soldats gratuits tous les ticks</x:v>
      </x:c>
      <x:c r="H12" s="18" t="str">
        <x:v>waves_assault_v136_TODO</x:v>
      </x:c>
      <x:c r="I12" s="18" t="str">
        <x:v>P0</x:v>
      </x:c>
      <x:c r="J12" s="102" t="str">
        <x:v>À développer</x:v>
      </x:c>
      <x:c r="K12" s="18" t="str">
        <x:v>Races par continuité et territoire réel</x:v>
      </x:c>
      <x:c r="L12" s="18" t="str">
        <x:v>Tables 24 scripts W3 et quotas IA</x:v>
      </x:c>
      <x:c r="M12" s="18" t="str">
        <x:v>QA-CW137-ASS-09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CW137-ASS-009</x:v>
      </x:c>
      <x:c r="B13" s="18" t="str">
        <x:v>Assaut latéral</x:v>
      </x:c>
      <x:c r="C13" s="18" t="str">
        <x:v>Voies tactiques</x:v>
      </x:c>
      <x:c r="D13" s="18" t="str">
        <x:v>Plusieurs hauteurs</x:v>
      </x:c>
      <x:c r="E13" s="18" t="str">
        <x:v>Trame de relief W3 sans téléportation</x:v>
      </x:c>
      <x:c r="F13" s="18" t="str">
        <x:v>Voie haute, basse et passages physiques</x:v>
      </x:c>
      <x:c r="G13" s="18" t="str">
        <x:v>Blocage mur, liquide dangereux et saut incohérent</x:v>
      </x:c>
      <x:c r="H13" s="18" t="str">
        <x:v>lanes_assault_v136_TODO</x:v>
      </x:c>
      <x:c r="I13" s="18" t="str">
        <x:v>P1</x:v>
      </x:c>
      <x:c r="J13" s="102" t="str">
        <x:v>À développer</x:v>
      </x:c>
      <x:c r="K13" s="18" t="str">
        <x:v>Conserver dimensions et accès de la carte</x:v>
      </x:c>
      <x:c r="L13" s="18" t="str">
        <x:v>Pathfinding 2D et passerelles</x:v>
      </x:c>
      <x:c r="M13" s="18" t="str">
        <x:v>QA-CW137-ASS-10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CW137-ASS-010</x:v>
      </x:c>
      <x:c r="B14" s="18" t="str">
        <x:v>Assaut latéral</x:v>
      </x:c>
      <x:c r="C14" s="18" t="str">
        <x:v>Cibles prioritaires</x:v>
      </x:c>
      <x:c r="D14" s="18" t="str">
        <x:v>Ordres défense/attaque</x:v>
      </x:c>
      <x:c r="E14" s="18" t="str">
        <x:v>Renseignement réellement acquis, équipe disponible</x:v>
      </x:c>
      <x:c r="F14" s="18" t="str">
        <x:v>Ordre défense ou focus exécuté sur unité identifiée</x:v>
      </x:c>
      <x:c r="G14" s="18" t="str">
        <x:v>Pas d'omniscience sur troupe cachée</x:v>
      </x:c>
      <x:c r="H14" s="18" t="str">
        <x:v>target_priority_assault_TODO</x:v>
      </x:c>
      <x:c r="I14" s="18" t="str">
        <x:v>P0</x:v>
      </x:c>
      <x:c r="J14" s="101" t="str">
        <x:v>Partiel — prototype</x:v>
      </x:c>
      <x:c r="K14" s="18" t="str">
        <x:v>Honneur de chasse séparé des règles gameplay</x:v>
      </x:c>
      <x:c r="L14" s="18" t="str">
        <x:v>Sélection en temps réel, portée et LOS</x:v>
      </x:c>
      <x:c r="M14" s="18" t="str">
        <x:v>QA-CW137-ASS-03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CW137-ASS-011</x:v>
      </x:c>
      <x:c r="B15" s="18" t="str">
        <x:v>Assaut latéral</x:v>
      </x:c>
      <x:c r="C15" s="18" t="str">
        <x:v>Montures</x:v>
      </x:c>
      <x:c r="D15" s="18" t="str">
        <x:v>Déploiement de bêtes</x:v>
      </x:c>
      <x:c r="E15" s="18" t="str">
        <x:v>Race et équipement compatibles, accès gabarit</x:v>
      </x:c>
      <x:c r="F15" s="18" t="str">
        <x:v>Monture possède identité et collision, possibilité repli</x:v>
      </x:c>
      <x:c r="G15" s="18" t="str">
        <x:v>Aucune monture de biome contradictoire</x:v>
      </x:c>
      <x:c r="H15" s="18" t="str">
        <x:v>mounted_assault_TODO</x:v>
      </x:c>
      <x:c r="I15" s="18" t="str">
        <x:v>P1</x:v>
      </x:c>
      <x:c r="J15" s="102" t="str">
        <x:v>À développer</x:v>
      </x:c>
      <x:c r="K15" s="18" t="str">
        <x:v>Sources montures par film/comic/source</x:v>
      </x:c>
      <x:c r="L15" s="18" t="str">
        <x:v>Sprites indépendants, animation et IA</x:v>
      </x:c>
      <x:c r="M15" s="18" t="str">
        <x:v>QA-CW137-ASS-04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CW137-ASS-012</x:v>
      </x:c>
      <x:c r="B16" s="18" t="str">
        <x:v>Assaut latéral</x:v>
      </x:c>
      <x:c r="C16" s="18" t="str">
        <x:v>Gros adversaires</x:v>
      </x:c>
      <x:c r="D16" s="18" t="str">
        <x:v>Sièges et boss</x:v>
      </x:c>
      <x:c r="E16" s="18" t="str">
        <x:v>Scénario avec présence canon/documentée</x:v>
      </x:c>
      <x:c r="F16" s="18" t="str">
        <x:v>Bastion boss en plusieurs étapes, ciblage de points</x:v>
      </x:c>
      <x:c r="G16" s="18" t="str">
        <x:v>Ne pas injecter monstre sans justification lore</x:v>
      </x:c>
      <x:c r="H16" s="18" t="str">
        <x:v>boss_assault_TODO</x:v>
      </x:c>
      <x:c r="I16" s="18" t="str">
        <x:v>P1</x:v>
      </x:c>
      <x:c r="J16" s="102" t="str">
        <x:v>À développer</x:v>
      </x:c>
      <x:c r="K16" s="18" t="str">
        <x:v>Séparer canonicalité et création originale</x:v>
      </x:c>
      <x:c r="L16" s="18" t="str">
        <x:v>Scripts destructibles/variantes</x:v>
      </x:c>
      <x:c r="M16" s="18" t="str">
        <x:v>QA-CW137-ASS-05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CW137-ASS-013</x:v>
      </x:c>
      <x:c r="B17" s="18" t="str">
        <x:v>Assaut latéral</x:v>
      </x:c>
      <x:c r="C17" s="18" t="str">
        <x:v>Mode réseau</x:v>
      </x:c>
      <x:c r="D17" s="18" t="str">
        <x:v>Coopérations et résultats</x:v>
      </x:c>
      <x:c r="E17" s="18" t="str">
        <x:v>Hôte autoritaire et équipes liées à compte</x:v>
      </x:c>
      <x:c r="F17" s="18" t="str">
        <x:v>Deux joueurs, absence double XP et reçu idempotent</x:v>
      </x:c>
      <x:c r="G17" s="18" t="str">
        <x:v>Client ne peut s'attribuer armée ou ressources</x:v>
      </x:c>
      <x:c r="H17" s="18" t="str">
        <x:v>net_assault_TODO</x:v>
      </x:c>
      <x:c r="I17" s="18" t="str">
        <x:v>P0</x:v>
      </x:c>
      <x:c r="J17" s="102" t="str">
        <x:v>À développer</x:v>
      </x:c>
      <x:c r="K17" s="18" t="str">
        <x:v>Multijoueur original, aucune norme filmique</x:v>
      </x:c>
      <x:c r="L17" s="18" t="str">
        <x:v>Serveur, matchmaking et anti-triche</x:v>
      </x:c>
      <x:c r="M17" s="18" t="str">
        <x:v>QA-CW137-ASS-06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OUTER OPS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CW137-OUT-001</x:v>
      </x:c>
      <x:c r="B5" s="98" t="str">
        <x:v>Outer Ops</x:v>
      </x:c>
      <x:c r="C5" s="98" t="str">
        <x:v>Reconnaissance en route</x:v>
      </x:c>
      <x:c r="D5" s="98" t="str">
        <x:v>Halte de terrain +15 secondes</x:v>
      </x:c>
      <x:c r="E5" s="98" t="str">
        <x:v>Mandat recon/escorte en première moitié de sa route; mêmes personnes et passages V6</x:v>
      </x:c>
      <x:c r="F5" s="98" t="str">
        <x:v>Échéance réellement retardée de 15 s; +3 capacité d'exercice au rapport; aucun résultat anticipé</x:v>
      </x:c>
      <x:c r="G5" s="98" t="str">
        <x:v>Aucun exploit de fenêtre de réorientation/ravitaillement; rappel et sauvegarde cohérents</x:v>
      </x:c>
      <x:c r="H5" s="98" t="str">
        <x:v>orderWarOuterReconHaltV137</x:v>
      </x:c>
      <x:c r="I5" s="98" t="str">
        <x:v>P0</x:v>
      </x:c>
      <x:c r="J5" s="100" t="str">
        <x:v>Validé CI ciblée</x:v>
      </x:c>
      <x:c r="K5" s="98" t="str">
        <x:v>Halte inventée pour gameplay; aucune durée de voyage officielle invoquée</x:v>
      </x:c>
      <x:c r="L5" s="98" t="str">
        <x:v>Reprise hors écran, horloge client et QA des rappels</x:v>
      </x:c>
      <x:c r="M5" s="98" t="str">
        <x:v>QA-CW137-OUT-01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CW137-OUT-002</x:v>
      </x:c>
      <x:c r="B6" s="18" t="str">
        <x:v>Outer Ops</x:v>
      </x:c>
      <x:c r="C6" s="18" t="str">
        <x:v>Soutien en route</x:v>
      </x:c>
      <x:c r="D6" s="18" t="str">
        <x:v>Ravitaillement V136 (2 RAV)</x:v>
      </x:c>
      <x:c r="E6" s="18" t="str">
        <x:v>Mandat actif, équipes réellement engagées, avant mi-temps</x:v>
      </x:c>
      <x:c r="F6" s="18" t="str">
        <x:v>+4 puissance d'exercice à résolution; même route/ETA</x:v>
      </x:c>
      <x:c r="G6" s="18" t="str">
        <x:v>Un seul achat; RAV insuffisant, rappel ou délai expiré rejetés</x:v>
      </x:c>
      <x:c r="H6" s="18" t="str">
        <x:v>supplyWarOuterMissionV136</x:v>
      </x:c>
      <x:c r="I6" s="18" t="str">
        <x:v>P0</x:v>
      </x:c>
      <x:c r="J6" s="100" t="str">
        <x:v>Validé CI ciblée</x:v>
      </x:c>
      <x:c r="K6" s="18" t="str">
        <x:v>Pas de ravitaillement magique; statut fiction</x:v>
      </x:c>
      <x:c r="L6" s="18" t="str">
        <x:v>Transport à simuler et matériel visible</x:v>
      </x:c>
      <x:c r="M6" s="18" t="str">
        <x:v>QA-CW137-OUT-03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CW137-OUT-003</x:v>
      </x:c>
      <x:c r="B7" s="18" t="str">
        <x:v>Outer Ops</x:v>
      </x:c>
      <x:c r="C7" s="18" t="str">
        <x:v>Réorientation</x:v>
      </x:c>
      <x:c r="D7" s="18" t="str">
        <x:v>Changer objectif V135</x:v>
      </x:c>
      <x:c r="E7" s="18" t="str">
        <x:v>Départ effectué, première moitié du mandat</x:v>
      </x:c>
      <x:c r="F7" s="18" t="str">
        <x:v>Recon/interception/escorte réorientées sans nouveau débit</x:v>
      </x:c>
      <x:c r="G7" s="18" t="str">
        <x:v>Double retask et rappel en cours rejetés</x:v>
      </x:c>
      <x:c r="H7" s="18" t="str">
        <x:v>redirectWarOuterOpsV135</x:v>
      </x:c>
      <x:c r="I7" s="18" t="str">
        <x:v>P0</x:v>
      </x:c>
      <x:c r="J7" s="100" t="str">
        <x:v>Validé CI ciblée</x:v>
      </x:c>
      <x:c r="K7" s="18" t="str">
        <x:v>Mandat auteur W3/V6 original</x:v>
      </x:c>
      <x:c r="L7" s="18" t="str">
        <x:v>Rapports narratifs par choix</x:v>
      </x:c>
      <x:c r="M7" s="18" t="str">
        <x:v>QA-CW137-OUT-04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CW137-OUT-004</x:v>
      </x:c>
      <x:c r="B8" s="18" t="str">
        <x:v>Outer Ops</x:v>
      </x:c>
      <x:c r="C8" s="18" t="str">
        <x:v>Retour différé</x:v>
      </x:c>
      <x:c r="D8" s="18" t="str">
        <x:v>Rappel avec temps de trajet</x:v>
      </x:c>
      <x:c r="E8" s="18" t="str">
        <x:v>Mandat existant et non réglé</x:v>
      </x:c>
      <x:c r="F8" s="18" t="str">
        <x:v>Repli réellement retardé, revenu une seule fois</x:v>
      </x:c>
      <x:c r="G8" s="18" t="str">
        <x:v>Pas d'extraction instantanée/XP de retraite</x:v>
      </x:c>
      <x:c r="H8" s="18" t="str">
        <x:v>recallWarOuterMissionV116</x:v>
      </x:c>
      <x:c r="I8" s="18" t="str">
        <x:v>P0</x:v>
      </x:c>
      <x:c r="J8" s="100" t="str">
        <x:v>Validé CI ciblée</x:v>
      </x:c>
      <x:c r="K8" s="18" t="str">
        <x:v>Aucun téléporteur inventé</x:v>
      </x:c>
      <x:c r="L8" s="18" t="str">
        <x:v>Retraits en cours affichés dans atlas</x:v>
      </x:c>
      <x:c r="M8" s="18" t="str">
        <x:v>QA-CW137-OUT-05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CW137-OUT-005</x:v>
      </x:c>
      <x:c r="B9" s="18" t="str">
        <x:v>Outer Ops</x:v>
      </x:c>
      <x:c r="C9" s="18" t="str">
        <x:v>Résolution déterministe</x:v>
      </x:c>
      <x:c r="D9" s="18" t="str">
        <x:v>Trois échanges simulés</x:v>
      </x:c>
      <x:c r="E9" s="18" t="str">
        <x:v>V6 équipes, terrain, itinéraire connu</x:v>
      </x:c>
      <x:c r="F9" s="18" t="str">
        <x:v>3 phases déterministes et une issue unique</x:v>
      </x:c>
      <x:c r="G9" s="18" t="str">
        <x:v>Pas de hasard non reproductible ou de butin caché</x:v>
      </x:c>
      <x:c r="H9" s="18" t="str">
        <x:v>simulateWarOuterMissionV115</x:v>
      </x:c>
      <x:c r="I9" s="18" t="str">
        <x:v>P0</x:v>
      </x:c>
      <x:c r="J9" s="100" t="str">
        <x:v>Validé CI ciblée</x:v>
      </x:c>
      <x:c r="K9" s="18" t="str">
        <x:v>Règles de score de jeu, non canon</x:v>
      </x:c>
      <x:c r="L9" s="18" t="str">
        <x:v>Log détaillé de chaque étape</x:v>
      </x:c>
      <x:c r="M9" s="18" t="str">
        <x:v>QA-CW137-OUT-06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CW137-OUT-006</x:v>
      </x:c>
      <x:c r="B10" s="18" t="str">
        <x:v>Outer Ops</x:v>
      </x:c>
      <x:c r="C10" s="18" t="str">
        <x:v>Mobilisation</x:v>
      </x:c>
      <x:c r="D10" s="18" t="str">
        <x:v>PC et entretien RAV</x:v>
      </x:c>
      <x:c r="E10" s="18" t="str">
        <x:v>1–4 équipes libres, route réelle et budget</x:v>
      </x:c>
      <x:c r="F10" s="18" t="str">
        <x:v>Affectations uniques; entretien déduit au départ</x:v>
      </x:c>
      <x:c r="G10" s="18" t="str">
        <x:v>Aucune double affectation ni double coût</x:v>
      </x:c>
      <x:c r="H10" s="18" t="str">
        <x:v>beginWarOperationV115</x:v>
      </x:c>
      <x:c r="I10" s="18" t="str">
        <x:v>P0</x:v>
      </x:c>
      <x:c r="J10" s="100" t="str">
        <x:v>Validé CI ciblée</x:v>
      </x:c>
      <x:c r="K10" s="18" t="str">
        <x:v>Unités V6 vérifiées</x:v>
      </x:c>
      <x:c r="L10" s="18" t="str">
        <x:v>Types missions nation/clan et UI</x:v>
      </x:c>
      <x:c r="M10" s="18" t="str">
        <x:v>QA-CW137-OUT-07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CW137-OUT-007</x:v>
      </x:c>
      <x:c r="B11" s="18" t="str">
        <x:v>Outer Ops</x:v>
      </x:c>
      <x:c r="C11" s="18" t="str">
        <x:v>Conditions de passage</x:v>
      </x:c>
      <x:c r="D11" s="18" t="str">
        <x:v>Carte des routes V6</x:v>
      </x:c>
      <x:c r="E11" s="18" t="str">
        <x:v>Territoires et passages avec capacités</x:v>
      </x:c>
      <x:c r="F11" s="18" t="str">
        <x:v>Ordre seulement si route parcourable avec PC</x:v>
      </x:c>
      <x:c r="G11" s="18" t="str">
        <x:v>Passage fermé/étranger ou charge interdite rejeté</x:v>
      </x:c>
      <x:c r="H11" s="18" t="str">
        <x:v>warMissionEligibleV115</x:v>
      </x:c>
      <x:c r="I11" s="18" t="str">
        <x:v>P0</x:v>
      </x:c>
      <x:c r="J11" s="101" t="str">
        <x:v>Partiel — prototype</x:v>
      </x:c>
      <x:c r="K11" s="18" t="str">
        <x:v>Korthas fictive, ne pas confondre Terre</x:v>
      </x:c>
      <x:c r="L11" s="18" t="str">
        <x:v>Pannes réseaux, ponts, saisons</x:v>
      </x:c>
      <x:c r="M11" s="18" t="str">
        <x:v>QA-CW137-OUT-08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CW137-OUT-008</x:v>
      </x:c>
      <x:c r="B12" s="18" t="str">
        <x:v>Outer Ops</x:v>
      </x:c>
      <x:c r="C12" s="18" t="str">
        <x:v>Aléas de trajet</x:v>
      </x:c>
      <x:c r="D12" s="18" t="str">
        <x:v>Événements locaux étagés</x:v>
      </x:c>
      <x:c r="E12" s="18" t="str">
        <x:v>Biome, zone, fenêtre climatique documentés</x:v>
      </x:c>
      <x:c r="F12" s="18" t="str">
        <x:v>Incident physique, alternative réelle et délais mis à jour</x:v>
      </x:c>
      <x:c r="G12" s="18" t="str">
        <x:v>Pas de blizzard sur sol brûlant</x:v>
      </x:c>
      <x:c r="H12" s="18" t="str">
        <x:v>outer_incidents_TODO</x:v>
      </x:c>
      <x:c r="I12" s="18" t="str">
        <x:v>P1</x:v>
      </x:c>
      <x:c r="J12" s="102" t="str">
        <x:v>À développer</x:v>
      </x:c>
      <x:c r="K12" s="18" t="str">
        <x:v>Phénomènes cohérents avec planet ID</x:v>
      </x:c>
      <x:c r="L12" s="18" t="str">
        <x:v>Table événements 6 mondes W3</x:v>
      </x:c>
      <x:c r="M12" s="18" t="str">
        <x:v>QA-CW137-OUT-09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CW137-OUT-009</x:v>
      </x:c>
      <x:c r="B13" s="18" t="str">
        <x:v>Outer Ops</x:v>
      </x:c>
      <x:c r="C13" s="18" t="str">
        <x:v>Évacuation blessés</x:v>
      </x:c>
      <x:c r="D13" s="18" t="str">
        <x:v>Extraction médicale multi-cases</x:v>
      </x:c>
      <x:c r="E13" s="18" t="str">
        <x:v>Médic W3-U18 et patiente active</x:v>
      </x:c>
      <x:c r="F13" s="18" t="str">
        <x:v>Retour du même membre avec statut wound, pas clone</x:v>
      </x:c>
      <x:c r="G13" s="18" t="str">
        <x:v>Médic absent ou blessé → soins indisponibles</x:v>
      </x:c>
      <x:c r="H13" s="18" t="str">
        <x:v>outer_medevac_TODO</x:v>
      </x:c>
      <x:c r="I13" s="18" t="str">
        <x:v>P1</x:v>
      </x:c>
      <x:c r="J13" s="101" t="str">
        <x:v>Partiel — prototype</x:v>
      </x:c>
      <x:c r="K13" s="18" t="str">
        <x:v>Dépendance système médical V116</x:v>
      </x:c>
      <x:c r="L13" s="18" t="str">
        <x:v>Transport et temps d'intervention</x:v>
      </x:c>
      <x:c r="M13" s="18" t="str">
        <x:v>QA-CW137-OUT-10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CW137-OUT-010</x:v>
      </x:c>
      <x:c r="B14" s="18" t="str">
        <x:v>Outer Ops</x:v>
      </x:c>
      <x:c r="C14" s="18" t="str">
        <x:v>Spécialités</x:v>
      </x:c>
      <x:c r="D14" s="18" t="str">
        <x:v>Rôles de détachement</x:v>
      </x:c>
      <x:c r="E14" s="18" t="str">
        <x:v>Unité réelle W3-U et expérience</x:v>
      </x:c>
      <x:c r="F14" s="18" t="str">
        <x:v>Différents coefficients selon recon/escorte/interception</x:v>
      </x:c>
      <x:c r="G14" s="18" t="str">
        <x:v>Pas de capacités de race non vérifiées</x:v>
      </x:c>
      <x:c r="H14" s="18" t="str">
        <x:v>outer_role_effects_TODO</x:v>
      </x:c>
      <x:c r="I14" s="18" t="str">
        <x:v>P1</x:v>
      </x:c>
      <x:c r="J14" s="101" t="str">
        <x:v>Partiel — prototype</x:v>
      </x:c>
      <x:c r="K14" s="18" t="str">
        <x:v>Seuils XP V6, non rang Blooded fictif</x:v>
      </x:c>
      <x:c r="L14" s="18" t="str">
        <x:v>Interactions membres, spécialités A/B</x:v>
      </x:c>
      <x:c r="M14" s="18" t="str">
        <x:v>QA-CW137-OUT-03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CW137-OUT-011</x:v>
      </x:c>
      <x:c r="B15" s="18" t="str">
        <x:v>Outer Ops</x:v>
      </x:c>
      <x:c r="C15" s="18" t="str">
        <x:v>Missions W5</x:v>
      </x:c>
      <x:c r="D15" s="18" t="str">
        <x:v>Contrats source W5</x:v>
      </x:c>
      <x:c r="E15" s="18" t="str">
        <x:v>Monde/lore/zone réellement compatibles</x:v>
      </x:c>
      <x:c r="F15" s="18" t="str">
        <x:v>36 dossiers W5 associés à leurs accès et factions</x:v>
      </x:c>
      <x:c r="G15" s="18" t="str">
        <x:v>Pas de mission humaine sur planète étrangère</x:v>
      </x:c>
      <x:c r="H15" s="18" t="str">
        <x:v>outer_w5_bridge_TODO</x:v>
      </x:c>
      <x:c r="I15" s="18" t="str">
        <x:v>P1</x:v>
      </x:c>
      <x:c r="J15" s="102" t="str">
        <x:v>À développer</x:v>
      </x:c>
      <x:c r="K15" s="18" t="str">
        <x:v>Source W5 auteur ≠ canon film</x:v>
      </x:c>
      <x:c r="L15" s="18" t="str">
        <x:v>Écriture 36 scripts uniques</x:v>
      </x:c>
      <x:c r="M15" s="18" t="str">
        <x:v>QA-CW137-OUT-04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CW137-OUT-012</x:v>
      </x:c>
      <x:c r="B16" s="18" t="str">
        <x:v>Outer Ops</x:v>
      </x:c>
      <x:c r="C16" s="18" t="str">
        <x:v>Garnisons</x:v>
      </x:c>
      <x:c r="D16" s="18" t="str">
        <x:v>Rapport stratégique autorisé</x:v>
      </x:c>
      <x:c r="E16" s="18" t="str">
        <x:v>Moteur V85 décide défense et droits</x:v>
      </x:c>
      <x:c r="F16" s="18" t="str">
        <x:v>Mutation serveur idempotente après retour final</x:v>
      </x:c>
      <x:c r="G16" s="18" t="str">
        <x:v>Aucun gain territorial par simple rapport local</x:v>
      </x:c>
      <x:c r="H16" s="18" t="str">
        <x:v>outer_v85_authority_TODO</x:v>
      </x:c>
      <x:c r="I16" s="18" t="str">
        <x:v>P0</x:v>
      </x:c>
      <x:c r="J16" s="102" t="str">
        <x:v>À développer</x:v>
      </x:c>
      <x:c r="K16" s="18" t="str">
        <x:v>Conflit original, traçabilité Bible V6</x:v>
      </x:c>
      <x:c r="L16" s="18" t="str">
        <x:v>Conquête, RAV, fatigue et contrôle</x:v>
      </x:c>
      <x:c r="M16" s="18" t="str">
        <x:v>QA-CW137-OUT-05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CW137-OUT-013</x:v>
      </x:c>
      <x:c r="B17" s="18" t="str">
        <x:v>Outer Ops</x:v>
      </x:c>
      <x:c r="C17" s="18" t="str">
        <x:v>PvP différé</x:v>
      </x:c>
      <x:c r="D17" s="18" t="str">
        <x:v>Conflits simultanés en ligne</x:v>
      </x:c>
      <x:c r="E17" s="18" t="str">
        <x:v>Serveur fixe ordre des tours et temps</x:v>
      </x:c>
      <x:c r="F17" s="18" t="str">
        <x:v>Missions asynchrones avec replay signé</x:v>
      </x:c>
      <x:c r="G17" s="18" t="str">
        <x:v>Client ne choisit pas la défaite adverse</x:v>
      </x:c>
      <x:c r="H17" s="18" t="str">
        <x:v>outer_network_TODO</x:v>
      </x:c>
      <x:c r="I17" s="18" t="str">
        <x:v>P0</x:v>
      </x:c>
      <x:c r="J17" s="102" t="str">
        <x:v>À développer</x:v>
      </x:c>
      <x:c r="K17" s="18" t="str">
        <x:v>Mode réseau auteur</x:v>
      </x:c>
      <x:c r="L17" s="18" t="str">
        <x:v>Serveur, anticheat et synchronisation</x:v>
      </x:c>
      <x:c r="M17" s="18" t="str">
        <x:v>QA-CW137-OUT-06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INFILTRATION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CW137-INF-001</x:v>
      </x:c>
      <x:c r="B5" s="98" t="str">
        <x:v>Infiltration</x:v>
      </x:c>
      <x:c r="C5" s="98" t="str">
        <x:v>Déplacement tactique</x:v>
      </x:c>
      <x:c r="D5" s="98" t="str">
        <x:v>Pas protégé vers couvert adjacent</x:v>
      </x:c>
      <x:c r="E5" s="98" t="str">
        <x:v>Case d'arrivée réellement terrain.cover, 1 énergie, chasseur non camouflé, ≤2 usages</x:v>
      </x:c>
      <x:c r="F5" s="98" t="str">
        <x:v>Un déplacement orthogonal d'une case, sans télésaut; visibilité réduite si garde non adjacent</x:v>
      </x:c>
      <x:c r="G5" s="98" t="str">
        <x:v>Mur, vide, énergie nulle, troisième usage ou faux couvert : refus sans tick</x:v>
      </x:c>
      <x:c r="H5" s="98" t="str">
        <x:v>commandStealthV115 cover-*</x:v>
      </x:c>
      <x:c r="I5" s="98" t="str">
        <x:v>P0</x:v>
      </x:c>
      <x:c r="J5" s="100" t="str">
        <x:v>Validé CI ciblée</x:v>
      </x:c>
      <x:c r="K5" s="98" t="str">
        <x:v>Réaction de patrouille originale; aucun pouvoir extraterrestre inventé</x:v>
      </x:c>
      <x:c r="L5" s="98" t="str">
        <x:v>Animations pied à pied, repères de couvert et manette</x:v>
      </x:c>
      <x:c r="M5" s="98" t="str">
        <x:v>QA-CW137-INF-01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CW137-INF-002</x:v>
      </x:c>
      <x:c r="B6" s="18" t="str">
        <x:v>Infiltration</x:v>
      </x:c>
      <x:c r="C6" s="18" t="str">
        <x:v>Couvert physique</x:v>
      </x:c>
      <x:c r="D6" s="18" t="str">
        <x:v>Se dissimuler V136</x:v>
      </x:c>
      <x:c r="E6" s="18" t="str">
        <x:v>Case de couvert W3, non utilisée; joueur hors vision proche</x:v>
      </x:c>
      <x:c r="F6" s="18" t="str">
        <x:v>Réduit alerte de 1 et regagne ≤1 énergie sur 1 tour</x:v>
      </x:c>
      <x:c r="G6" s="18" t="str">
        <x:v>Garde adjacent peut voir; pas de couverture fictive/illimitée</x:v>
      </x:c>
      <x:c r="H6" s="18" t="str">
        <x:v>commandStealthV115:hide</x:v>
      </x:c>
      <x:c r="I6" s="18" t="str">
        <x:v>P0</x:v>
      </x:c>
      <x:c r="J6" s="100" t="str">
        <x:v>Validé CI ciblée</x:v>
      </x:c>
      <x:c r="K6" s="18" t="str">
        <x:v>Geste original, pas de scène canon inventée</x:v>
      </x:c>
      <x:c r="L6" s="18" t="str">
        <x:v>Animation, occlusion et retour visuel</x:v>
      </x:c>
      <x:c r="M6" s="18" t="str">
        <x:v>QA-CW137-INF-03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CW137-INF-003</x:v>
      </x:c>
      <x:c r="B7" s="18" t="str">
        <x:v>Infiltration</x:v>
      </x:c>
      <x:c r="C7" s="18" t="str">
        <x:v>Diversion sonore</x:v>
      </x:c>
      <x:c r="D7" s="18" t="str">
        <x:v>Détourner patrouille V135</x:v>
      </x:c>
      <x:c r="E7" s="18" t="str">
        <x:v>Pisteur découvert, 2 énergie, une fois</x:v>
      </x:c>
      <x:c r="F7" s="18" t="str">
        <x:v>Garde réagit physiquement pendant 3 décisions</x:v>
      </x:c>
      <x:c r="G7" s="18" t="str">
        <x:v>Pas de leurre téléporté ni sonore infini</x:v>
      </x:c>
      <x:c r="H7" s="18" t="str">
        <x:v>commandStealthV115:decoy</x:v>
      </x:c>
      <x:c r="I7" s="18" t="str">
        <x:v>P0</x:v>
      </x:c>
      <x:c r="J7" s="100" t="str">
        <x:v>Validé CI ciblée</x:v>
      </x:c>
      <x:c r="K7" s="18" t="str">
        <x:v>Gadget abstrait du prototype</x:v>
      </x:c>
      <x:c r="L7" s="18" t="str">
        <x:v>Son spatialisé, rayons d'écoute</x:v>
      </x:c>
      <x:c r="M7" s="18" t="str">
        <x:v>QA-CW137-INF-04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CW137-INF-004</x:v>
      </x:c>
      <x:c r="B8" s="18" t="str">
        <x:v>Infiltration</x:v>
      </x:c>
      <x:c r="C8" s="18" t="str">
        <x:v>Énergie</x:v>
      </x:c>
      <x:c r="D8" s="18" t="str">
        <x:v>Camouflage optique V115</x:v>
      </x:c>
      <x:c r="E8" s="18" t="str">
        <x:v>Batterie disponible, statut du joueur</x:v>
      </x:c>
      <x:c r="F8" s="18" t="str">
        <x:v>Consommation de batterie et retour en visibilité</x:v>
      </x:c>
      <x:c r="G8" s="18" t="str">
        <x:v>Pas de cloak à énergie négative</x:v>
      </x:c>
      <x:c r="H8" s="18" t="str">
        <x:v>commandStealthV115:cloak</x:v>
      </x:c>
      <x:c r="I8" s="18" t="str">
        <x:v>P0</x:v>
      </x:c>
      <x:c r="J8" s="100" t="str">
        <x:v>Validé CI ciblée</x:v>
      </x:c>
      <x:c r="K8" s="18" t="str">
        <x:v>Séparer rendu PHG et stat W3</x:v>
      </x:c>
      <x:c r="L8" s="18" t="str">
        <x:v>Modes de vision et variations capteurs</x:v>
      </x:c>
      <x:c r="M8" s="18" t="str">
        <x:v>QA-CW137-INF-05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CW137-INF-005</x:v>
      </x:c>
      <x:c r="B9" s="18" t="str">
        <x:v>Infiltration</x:v>
      </x:c>
      <x:c r="C9" s="18" t="str">
        <x:v>Détection</x:v>
      </x:c>
      <x:c r="D9" s="18" t="str">
        <x:v>Garde, raycast et alerte</x:v>
      </x:c>
      <x:c r="E9" s="18" t="str">
        <x:v>Ligne de vue réelle et parois régionales</x:v>
      </x:c>
      <x:c r="F9" s="18" t="str">
        <x:v>Alerte progressive, échec à 3</x:v>
      </x:c>
      <x:c r="G9" s="18" t="str">
        <x:v>Aucune vision à travers murs</x:v>
      </x:c>
      <x:c r="H9" s="18" t="str">
        <x:v>warTerrainLineOfSightV116</x:v>
      </x:c>
      <x:c r="I9" s="18" t="str">
        <x:v>P0</x:v>
      </x:c>
      <x:c r="J9" s="100" t="str">
        <x:v>Validé CI ciblée</x:v>
      </x:c>
      <x:c r="K9" s="18" t="str">
        <x:v>Comportement garde jeu original</x:v>
      </x:c>
      <x:c r="L9" s="18" t="str">
        <x:v>Cones de vision et champs dynamiques</x:v>
      </x:c>
      <x:c r="M9" s="18" t="str">
        <x:v>QA-CW137-INF-06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CW137-INF-006</x:v>
      </x:c>
      <x:c r="B10" s="18" t="str">
        <x:v>Infiltration</x:v>
      </x:c>
      <x:c r="C10" s="18" t="str">
        <x:v>Sabotage</x:v>
      </x:c>
      <x:c r="D10" s="18" t="str">
        <x:v>Désactiver relais physique</x:v>
      </x:c>
      <x:c r="E10" s="18" t="str">
        <x:v>A une case du relais, une seule fois</x:v>
      </x:c>
      <x:c r="F10" s="18" t="str">
        <x:v>Relais saboté et retour exigé</x:v>
      </x:c>
      <x:c r="G10" s="18" t="str">
        <x:v>Aucun sabotage à distance</x:v>
      </x:c>
      <x:c r="H10" s="18" t="str">
        <x:v>commandStealthV115:interact</x:v>
      </x:c>
      <x:c r="I10" s="18" t="str">
        <x:v>P0</x:v>
      </x:c>
      <x:c r="J10" s="100" t="str">
        <x:v>Validé CI ciblée</x:v>
      </x:c>
      <x:c r="K10" s="18" t="str">
        <x:v>Référence mission V6 correctement localisée</x:v>
      </x:c>
      <x:c r="L10" s="18" t="str">
        <x:v>Câbles animés, état alimentation, traces</x:v>
      </x:c>
      <x:c r="M10" s="18" t="str">
        <x:v>QA-CW137-INF-07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CW137-INF-007</x:v>
      </x:c>
      <x:c r="B11" s="18" t="str">
        <x:v>Infiltration</x:v>
      </x:c>
      <x:c r="C11" s="18" t="str">
        <x:v>Extraction</x:v>
      </x:c>
      <x:c r="D11" s="18" t="str">
        <x:v>Retour physique</x:v>
      </x:c>
      <x:c r="E11" s="18" t="str">
        <x:v>Relais saboté, départ y4/x1</x:v>
      </x:c>
      <x:c r="F11" s="18" t="str">
        <x:v>Seule la présence à l'extraction déclenche victoire</x:v>
      </x:c>
      <x:c r="G11" s="18" t="str">
        <x:v>Pas de victoire en éliminant un garde</x:v>
      </x:c>
      <x:c r="H11" s="18" t="str">
        <x:v>commandStealthV115</x:v>
      </x:c>
      <x:c r="I11" s="18" t="str">
        <x:v>P0</x:v>
      </x:c>
      <x:c r="J11" s="100" t="str">
        <x:v>Validé CI ciblée</x:v>
      </x:c>
      <x:c r="K11" s="18" t="str">
        <x:v>Mission de chasse fictive</x:v>
      </x:c>
      <x:c r="L11" s="18" t="str">
        <x:v>Navigation alternative et contre-patrouilles</x:v>
      </x:c>
      <x:c r="M11" s="18" t="str">
        <x:v>QA-CW137-INF-08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CW137-INF-008</x:v>
      </x:c>
      <x:c r="B12" s="18" t="str">
        <x:v>Infiltration</x:v>
      </x:c>
      <x:c r="C12" s="18" t="str">
        <x:v>Courant réel</x:v>
      </x:c>
      <x:c r="D12" s="18" t="str">
        <x:v>Panne capteur/porte</x:v>
      </x:c>
      <x:c r="E12" s="18" t="str">
        <x:v>Dispositif alimenté présent sur vraie carte</x:v>
      </x:c>
      <x:c r="F12" s="18" t="str">
        <x:v>Lumière/garde/porte changent suivant panne</x:v>
      </x:c>
      <x:c r="G12" s="18" t="str">
        <x:v>Panne sans générateur ne crée pas effets</x:v>
      </x:c>
      <x:c r="H12" s="18" t="str">
        <x:v>stealth_power_TODO</x:v>
      </x:c>
      <x:c r="I12" s="18" t="str">
        <x:v>P0</x:v>
      </x:c>
      <x:c r="J12" s="102" t="str">
        <x:v>À développer</x:v>
      </x:c>
      <x:c r="K12" s="18" t="str">
        <x:v>Milieux orbitaux/thermiques cohérents</x:v>
      </x:c>
      <x:c r="L12" s="18" t="str">
        <x:v>Circuits, état et restitution</x:v>
      </x:c>
      <x:c r="M12" s="18" t="str">
        <x:v>QA-CW137-INF-09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CW137-INF-009</x:v>
      </x:c>
      <x:c r="B13" s="18" t="str">
        <x:v>Infiltration</x:v>
      </x:c>
      <x:c r="C13" s="18" t="str">
        <x:v>Sabotage multi-étapes</x:v>
      </x:c>
      <x:c r="D13" s="18" t="str">
        <x:v>Réglages et preuves</x:v>
      </x:c>
      <x:c r="E13" s="18" t="str">
        <x:v>Objectifs physiquement distincts</x:v>
      </x:c>
      <x:c r="F13" s="18" t="str">
        <x:v>Approche, dérivation et retour sans téléport</x:v>
      </x:c>
      <x:c r="G13" s="18" t="str">
        <x:v>Rejet si geste/valve hors portée</x:v>
      </x:c>
      <x:c r="H13" s="18" t="str">
        <x:v>stealth_steps_TODO</x:v>
      </x:c>
      <x:c r="I13" s="18" t="str">
        <x:v>P0</x:v>
      </x:c>
      <x:c r="J13" s="101" t="str">
        <x:v>Partiel — prototype</x:v>
      </x:c>
      <x:c r="K13" s="18" t="str">
        <x:v>24 tâches W3 existantes mais autre moteur</x:v>
      </x:c>
      <x:c r="L13" s="18" t="str">
        <x:v>Raccorder V129 à infiltration</x:v>
      </x:c>
      <x:c r="M13" s="18" t="str">
        <x:v>QA-CW137-INF-10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CW137-INF-010</x:v>
      </x:c>
      <x:c r="B14" s="18" t="str">
        <x:v>Infiltration</x:v>
      </x:c>
      <x:c r="C14" s="18" t="str">
        <x:v>Patrouilles locales</x:v>
      </x:c>
      <x:c r="D14" s="18" t="str">
        <x:v>Plusieurs ennemis</x:v>
      </x:c>
      <x:c r="E14" s="18" t="str">
        <x:v>Roster logique d'ennemis par monde</x:v>
      </x:c>
      <x:c r="F14" s="18" t="str">
        <x:v>Perception bruit/thermique/vision et recherche</x:v>
      </x:c>
      <x:c r="G14" s="18" t="str">
        <x:v>Aucun garde humain par défaut sur monde alien</x:v>
      </x:c>
      <x:c r="H14" s="18" t="str">
        <x:v>stealth_ai_TODO</x:v>
      </x:c>
      <x:c r="I14" s="18" t="str">
        <x:v>P1</x:v>
      </x:c>
      <x:c r="J14" s="102" t="str">
        <x:v>À développer</x:v>
      </x:c>
      <x:c r="K14" s="18" t="str">
        <x:v>Types de senseurs sourcés par œuvre</x:v>
      </x:c>
      <x:c r="L14" s="18" t="str">
        <x:v>Trajectoires et investigateurs</x:v>
      </x:c>
      <x:c r="M14" s="18" t="str">
        <x:v>QA-CW137-INF-03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CW137-INF-011</x:v>
      </x:c>
      <x:c r="B15" s="18" t="str">
        <x:v>Infiltration</x:v>
      </x:c>
      <x:c r="C15" s="18" t="str">
        <x:v>Danger climatique</x:v>
      </x:c>
      <x:c r="D15" s="18" t="str">
        <x:v>Biomes et horaires</x:v>
      </x:c>
      <x:c r="E15" s="18" t="str">
        <x:v>Lieux chauds/froids/liquides cohérents</x:v>
      </x:c>
      <x:c r="F15" s="18" t="str">
        <x:v>Vitesse visibilité selon conditions de zone</x:v>
      </x:c>
      <x:c r="G15" s="18" t="str">
        <x:v>Pas d'effet glace pour désert chaud</x:v>
      </x:c>
      <x:c r="H15" s="18" t="str">
        <x:v>stealth_biome_TODO</x:v>
      </x:c>
      <x:c r="I15" s="18" t="str">
        <x:v>P1</x:v>
      </x:c>
      <x:c r="J15" s="102" t="str">
        <x:v>À développer</x:v>
      </x:c>
      <x:c r="K15" s="18" t="str">
        <x:v>Traçabilité worldCode et géographie</x:v>
      </x:c>
      <x:c r="L15" s="18" t="str">
        <x:v>Étude des six mondes</x:v>
      </x:c>
      <x:c r="M15" s="18" t="str">
        <x:v>QA-CW137-INF-04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CW137-INF-012</x:v>
      </x:c>
      <x:c r="B16" s="18" t="str">
        <x:v>Infiltration</x:v>
      </x:c>
      <x:c r="C16" s="18" t="str">
        <x:v>Règles de chasse</x:v>
      </x:c>
      <x:c r="D16" s="18" t="str">
        <x:v>Objectif honorable</x:v>
      </x:c>
      <x:c r="E16" s="18" t="str">
        <x:v>Contexte, cibles, âge/armes source</x:v>
      </x:c>
      <x:c r="F16" s="18" t="str">
        <x:v>Évaluation dépend du mandat, non punition globale</x:v>
      </x:c>
      <x:c r="G16" s="18" t="str">
        <x:v>Pas de règle canon inventée pour tous clans</x:v>
      </x:c>
      <x:c r="H16" s="18" t="str">
        <x:v>stealth_honor_TODO</x:v>
      </x:c>
      <x:c r="I16" s="18" t="str">
        <x:v>P1</x:v>
      </x:c>
      <x:c r="J16" s="102" t="str">
        <x:v>À développer</x:v>
      </x:c>
      <x:c r="K16" s="18" t="str">
        <x:v>Sources films/comics/jeux séparées</x:v>
      </x:c>
      <x:c r="L16" s="18" t="str">
        <x:v>Références et dialogues</x:v>
      </x:c>
      <x:c r="M16" s="18" t="str">
        <x:v>QA-CW137-INF-05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CW137-INF-013</x:v>
      </x:c>
      <x:c r="B17" s="18" t="str">
        <x:v>Infiltration</x:v>
      </x:c>
      <x:c r="C17" s="18" t="str">
        <x:v>Coop sabotage</x:v>
      </x:c>
      <x:c r="D17" s="18" t="str">
        <x:v>Réseau et IA partenaire</x:v>
      </x:c>
      <x:c r="E17" s="18" t="str">
        <x:v>Serveur + deux acteurs physiques</x:v>
      </x:c>
      <x:c r="F17" s="18" t="str">
        <x:v>Séparation de tâches, extraction groupée, reçu unique</x:v>
      </x:c>
      <x:c r="G17" s="18" t="str">
        <x:v>Aucune caisse clonée entre joueurs</x:v>
      </x:c>
      <x:c r="H17" s="18" t="str">
        <x:v>stealth_network_TODO</x:v>
      </x:c>
      <x:c r="I17" s="18" t="str">
        <x:v>P0</x:v>
      </x:c>
      <x:c r="J17" s="102" t="str">
        <x:v>À développer</x:v>
      </x:c>
      <x:c r="K17" s="18" t="str">
        <x:v>Original coop distinct de lore</x:v>
      </x:c>
      <x:c r="L17" s="18" t="str">
        <x:v>Latence, PvP, spectateur</x:v>
      </x:c>
      <x:c r="M17" s="18" t="str">
        <x:v>QA-CW137-INF-06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32" hidden="0" customWidth="1"/>
    <x:col min="5" max="5" width="40" hidden="0" customWidth="1"/>
    <x:col min="6" max="6" width="40" hidden="0" customWidth="1"/>
    <x:col min="7" max="7" width="38" hidden="0" customWidth="1"/>
    <x:col min="8" max="8" width="34" hidden="0" customWidth="1"/>
    <x:col min="9" max="9" width="10" hidden="0" customWidth="1"/>
    <x:col min="10" max="10" width="20" hidden="0" customWidth="1"/>
    <x:col min="11" max="11" width="32" hidden="0" customWidth="1"/>
    <x:col min="12" max="12" width="36" hidden="0" customWidth="1"/>
    <x:col min="13" max="13" width="20" hidden="0" customWidth="1"/>
    <x:col min="14" max="14" width="38" hidden="0" customWidth="1"/>
  </x:cols>
  <x:sheetData>
    <x:row r="1" ht="35" customHeight="1">
      <x:c r="A1" s="92" t="str">
        <x:v>V137 — RTS MULTI-ESCOUADES · CONTRATS DE PRODUCTION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 ht="30" customHeight="1">
      <x:c r="A2" s="94" t="str">
        <x:v>31/10/2026 · PR #46 · 70/70 tests GitHub Actions, TypeScript et ESLint verts. CI ciblée ≠ QA réelle ou fidélité film 1:1.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</x:row>
    <x:row r="4" ht="34" customHeight="1">
      <x:c r="A4" s="97" t="str">
        <x:v>ID</x:v>
      </x:c>
      <x:c r="B4" s="97" t="str">
        <x:v>Mode</x:v>
      </x:c>
      <x:c r="C4" s="97" t="str">
        <x:v>Axe / système</x:v>
      </x:c>
      <x:c r="D4" s="97" t="str">
        <x:v>Mécanique / exigence</x:v>
      </x:c>
      <x:c r="E4" s="97" t="str">
        <x:v>Préconditions physiques &amp; ressources</x:v>
      </x:c>
      <x:c r="F4" s="97" t="str">
        <x:v>Critère de réussite concret</x:v>
      </x:c>
      <x:c r="G4" s="97" t="str">
        <x:v>Rejet / invariant sauvegarde</x:v>
      </x:c>
      <x:c r="H4" s="97" t="str">
        <x:v>Code / état actuel</x:v>
      </x:c>
      <x:c r="I4" s="97" t="str">
        <x:v>Priorité</x:v>
      </x:c>
      <x:c r="J4" s="97" t="str">
        <x:v>Statut vérifié</x:v>
      </x:c>
      <x:c r="K4" s="97" t="str">
        <x:v>Contrôle de fidélité lore</x:v>
      </x:c>
      <x:c r="L4" s="97" t="str">
        <x:v>Travail restant / UI</x:v>
      </x:c>
      <x:c r="M4" s="97" t="str">
        <x:v>Référence QA</x:v>
      </x:c>
      <x:c r="N4" s="97" t="str">
        <x:v>PR &amp; origine</x:v>
      </x:c>
    </x:row>
    <x:row r="5" ht="52" customHeight="1">
      <x:c r="A5" s="98" t="str">
        <x:v>CW137-RTS-001</x:v>
      </x:c>
      <x:c r="B5" s="98" t="str">
        <x:v>RTS multi-escouades</x:v>
      </x:c>
      <x:c r="C5" s="98" t="str">
        <x:v>Défense de terrain</x:v>
      </x:c>
      <x:c r="D5" s="98" t="str">
        <x:v>Posture retranchée sur couvert W3</x:v>
      </x:c>
      <x:c r="E5" s="98" t="str">
        <x:v>Escouade vivante sur une vraie case cover W3, sans ordre de veille concurrent</x:v>
      </x:c>
      <x:c r="F5" s="98" t="str">
        <x:v>Réduction d'un dégât durant deux réactions adverses, usage unique et expiration automatique</x:v>
      </x:c>
      <x:c r="G5" s="98" t="str">
        <x:v>Pas de couvert, équipe KO, marche/ralliement, doublon : aucune invincibilité durable</x:v>
      </x:c>
      <x:c r="H5" s="98" t="str">
        <x:v>commandWarRtsBraceV137</x:v>
      </x:c>
      <x:c r="I5" s="98" t="str">
        <x:v>P0</x:v>
      </x:c>
      <x:c r="J5" s="100" t="str">
        <x:v>Validé CI ciblée</x:v>
      </x:c>
      <x:c r="K5" s="98" t="str">
        <x:v>Bonus défensif de simulation, non une armure canonique</x:v>
      </x:c>
      <x:c r="L5" s="98" t="str">
        <x:v>Tests d'IA en opposition réelle et lisibilité des marqueurs</x:v>
      </x:c>
      <x:c r="M5" s="98" t="str">
        <x:v>QA-CW137-RTS-01</x:v>
      </x:c>
      <x:c r="N5" s="98" t="str">
        <x:v>https://github.com/darknigthmare/yautja-la-longue-chasse/tree/feat/v137-clan-war-four-modes-20261031</x:v>
      </x:c>
    </x:row>
    <x:row r="6" ht="52" customHeight="1">
      <x:c r="A6" s="18" t="str">
        <x:v>CW137-RTS-002</x:v>
      </x:c>
      <x:c r="B6" s="18" t="str">
        <x:v>RTS multi-escouades</x:v>
      </x:c>
      <x:c r="C6" s="18" t="str">
        <x:v>Veille de secteur</x:v>
      </x:c>
      <x:c r="D6" s="18" t="str">
        <x:v>Réaction V136</x:v>
      </x:c>
      <x:c r="E6" s="18" t="str">
        <x:v>Escouade active, LOS réelle, RAV disponible</x:v>
      </x:c>
      <x:c r="F6" s="18" t="str">
        <x:v>Un tir après action adverse si cible à portée, 1 RAV si tir</x:v>
      </x:c>
      <x:c r="G6" s="18" t="str">
        <x:v>Aucune cible invisible; expire en 2 tours; mouvement annule</x:v>
      </x:c>
      <x:c r="H6" s="18" t="str">
        <x:v>commandWarRtsOverwatchV136</x:v>
      </x:c>
      <x:c r="I6" s="18" t="str">
        <x:v>P0</x:v>
      </x:c>
      <x:c r="J6" s="100" t="str">
        <x:v>Validé CI ciblée</x:v>
      </x:c>
      <x:c r="K6" s="18" t="str">
        <x:v>Ordre de jeu original, pas nouvelle arme canon</x:v>
      </x:c>
      <x:c r="L6" s="18" t="str">
        <x:v>Animation portée/effets et manette</x:v>
      </x:c>
      <x:c r="M6" s="18" t="str">
        <x:v>QA-CW137-RTS-03</x:v>
      </x:c>
      <x:c r="N6" s="18" t="str">
        <x:v>https://github.com/darknigthmare/yautja-la-longue-chasse/tree/feat/v137-clan-war-four-modes-20261031</x:v>
      </x:c>
    </x:row>
    <x:row r="7" ht="52" customHeight="1">
      <x:c r="A7" s="18" t="str">
        <x:v>CW137-RTS-003</x:v>
      </x:c>
      <x:c r="B7" s="18" t="str">
        <x:v>RTS multi-escouades</x:v>
      </x:c>
      <x:c r="C7" s="18" t="str">
        <x:v>Suppression</x:v>
      </x:c>
      <x:c r="D7" s="18" t="str">
        <x:v>Tir de contrôle V135</x:v>
      </x:c>
      <x:c r="E7" s="18" t="str">
        <x:v>Adversaire vu, à portée, 2 RAV</x:v>
      </x:c>
      <x:c r="F7" s="18" t="str">
        <x:v>Bloque exactement une riposte sans dégâts fictifs</x:v>
      </x:c>
      <x:c r="G7" s="18" t="str">
        <x:v>Cible invisible/armée vide → refus</x:v>
      </x:c>
      <x:c r="H7" s="18" t="str">
        <x:v>commandWarRtsSuppressV135</x:v>
      </x:c>
      <x:c r="I7" s="18" t="str">
        <x:v>P0</x:v>
      </x:c>
      <x:c r="J7" s="100" t="str">
        <x:v>Validé CI ciblée</x:v>
      </x:c>
      <x:c r="K7" s="18" t="str">
        <x:v>Distinguer tir et équipement PHG authentiques</x:v>
      </x:c>
      <x:c r="L7" s="18" t="str">
        <x:v>Corps, projectiles et collisions</x:v>
      </x:c>
      <x:c r="M7" s="18" t="str">
        <x:v>QA-CW137-RTS-04</x:v>
      </x:c>
      <x:c r="N7" s="18" t="str">
        <x:v>https://github.com/darknigthmare/yautja-la-longue-chasse/tree/feat/v137-clan-war-four-modes-20261031</x:v>
      </x:c>
    </x:row>
    <x:row r="8" ht="52" customHeight="1">
      <x:c r="A8" s="18" t="str">
        <x:v>CW137-RTS-004</x:v>
      </x:c>
      <x:c r="B8" s="18" t="str">
        <x:v>RTS multi-escouades</x:v>
      </x:c>
      <x:c r="C8" s="18" t="str">
        <x:v>Ralliement</x:v>
      </x:c>
      <x:c r="D8" s="18" t="str">
        <x:v>Ordres collectifs V134</x:v>
      </x:c>
      <x:c r="E8" s="18" t="str">
        <x:v>1–4 équipes, point walkable non réservé</x:v>
      </x:c>
      <x:c r="F8" s="18" t="str">
        <x:v>Un tick adverse pour groupe, chaque unité ≤1 case</x:v>
      </x:c>
      <x:c r="G8" s="18" t="str">
        <x:v>Pas de collision, traversée mur ou teleport</x:v>
      </x:c>
      <x:c r="H8" s="18" t="str">
        <x:v>commandWarRtsRallyV134</x:v>
      </x:c>
      <x:c r="I8" s="18" t="str">
        <x:v>P0</x:v>
      </x:c>
      <x:c r="J8" s="100" t="str">
        <x:v>Validé CI ciblée</x:v>
      </x:c>
      <x:c r="K8" s="18" t="str">
        <x:v>Mécanique tactique du jeu</x:v>
      </x:c>
      <x:c r="L8" s="18" t="str">
        <x:v>Formations et encombrement lourd</x:v>
      </x:c>
      <x:c r="M8" s="18" t="str">
        <x:v>QA-CW137-RTS-05</x:v>
      </x:c>
      <x:c r="N8" s="18" t="str">
        <x:v>https://github.com/darknigthmare/yautja-la-longue-chasse/tree/feat/v137-clan-war-four-modes-20261031</x:v>
      </x:c>
    </x:row>
    <x:row r="9" ht="52" customHeight="1">
      <x:c r="A9" s="18" t="str">
        <x:v>CW137-RTS-005</x:v>
      </x:c>
      <x:c r="B9" s="18" t="str">
        <x:v>RTS multi-escouades</x:v>
      </x:c>
      <x:c r="C9" s="18" t="str">
        <x:v>Détachements W3</x:v>
      </x:c>
      <x:c r="D9" s="18" t="str">
        <x:v>Composition V133</x:v>
      </x:c>
      <x:c r="E9" s="18" t="str">
        <x:v>Unité source W3-U et PC mission</x:v>
      </x:c>
      <x:c r="F9" s="18" t="str">
        <x:v>2–4 formations, caps PC contrôlés</x:v>
      </x:c>
      <x:c r="G9" s="18" t="str">
        <x:v>Ne crée pas les soldats de campagne V85</x:v>
      </x:c>
      <x:c r="H9" s="18" t="str">
        <x:v>createWarRtsSquadsV133</x:v>
      </x:c>
      <x:c r="I9" s="18" t="str">
        <x:v>P0</x:v>
      </x:c>
      <x:c r="J9" s="100" t="str">
        <x:v>Validé CI ciblée</x:v>
      </x:c>
      <x:c r="K9" s="18" t="str">
        <x:v>Nom/roster de Bible V6</x:v>
      </x:c>
      <x:c r="L9" s="18" t="str">
        <x:v>Lien armurerie/modèles</x:v>
      </x:c>
      <x:c r="M9" s="18" t="str">
        <x:v>QA-CW137-RTS-06</x:v>
      </x:c>
      <x:c r="N9" s="18" t="str">
        <x:v>https://github.com/darknigthmare/yautja-la-longue-chasse/tree/feat/v137-clan-war-four-modes-20261031</x:v>
      </x:c>
    </x:row>
    <x:row r="10" ht="52" customHeight="1">
      <x:c r="A10" s="18" t="str">
        <x:v>CW137-RTS-006</x:v>
      </x:c>
      <x:c r="B10" s="18" t="str">
        <x:v>RTS multi-escouades</x:v>
      </x:c>
      <x:c r="C10" s="18" t="str">
        <x:v>Chaîne 72 preuves</x:v>
      </x:c>
      <x:c r="D10" s="18" t="str">
        <x:v>24 scripts W3</x:v>
      </x:c>
      <x:c r="E10" s="18" t="str">
        <x:v>Carte/planète/missions source W3-RTS01..24</x:v>
      </x:c>
      <x:c r="F10" s="18" t="str">
        <x:v>72 tâches, escortes et extraction en mission test</x:v>
      </x:c>
      <x:c r="G10" s="18" t="str">
        <x:v>Aucun gain sans retour et trois preuves</x:v>
      </x:c>
      <x:c r="H10" s="18" t="str">
        <x:v>clanWarRtsSourceMissionsV129</x:v>
      </x:c>
      <x:c r="I10" s="18" t="str">
        <x:v>P0</x:v>
      </x:c>
      <x:c r="J10" s="100" t="str">
        <x:v>Validé CI ciblée</x:v>
      </x:c>
      <x:c r="K10" s="18" t="str">
        <x:v>Source auteur W3, pas scènes filmées</x:v>
      </x:c>
      <x:c r="L10" s="18" t="str">
        <x:v>Jouabilité complète en opposition IA</x:v>
      </x:c>
      <x:c r="M10" s="18" t="str">
        <x:v>QA-CW137-RTS-07</x:v>
      </x:c>
      <x:c r="N10" s="18" t="str">
        <x:v>https://github.com/darknigthmare/yautja-la-longue-chasse/tree/feat/v137-clan-war-four-modes-20261031</x:v>
      </x:c>
    </x:row>
    <x:row r="11" ht="52" customHeight="1">
      <x:c r="A11" s="18" t="str">
        <x:v>CW137-RTS-007</x:v>
      </x:c>
      <x:c r="B11" s="18" t="str">
        <x:v>RTS multi-escouades</x:v>
      </x:c>
      <x:c r="C11" s="18" t="str">
        <x:v>Brouillard de guerre</x:v>
      </x:c>
      <x:c r="D11" s="18" t="str">
        <x:v>Info réellement vue</x:v>
      </x:c>
      <x:c r="E11" s="18" t="str">
        <x:v>Portée de ligne de vue et cache positions</x:v>
      </x:c>
      <x:c r="F11" s="18" t="str">
        <x:v>Carte ne montre pas ennemis cachés</x:v>
      </x:c>
      <x:c r="G11" s="18" t="str">
        <x:v>Planificateur ne révèle pas patrouille éloignée</x:v>
      </x:c>
      <x:c r="H11" s="18" t="str">
        <x:v>visibleWarRtsEnemiesV133</x:v>
      </x:c>
      <x:c r="I11" s="18" t="str">
        <x:v>P0</x:v>
      </x:c>
      <x:c r="J11" s="100" t="str">
        <x:v>Validé CI ciblée</x:v>
      </x:c>
      <x:c r="K11" s="18" t="str">
        <x:v>Éviter omniscience IA et joueur</x:v>
      </x:c>
      <x:c r="L11" s="18" t="str">
        <x:v>Exploration FOV et indicateurs derniers vus</x:v>
      </x:c>
      <x:c r="M11" s="18" t="str">
        <x:v>QA-CW137-RTS-08</x:v>
      </x:c>
      <x:c r="N11" s="18" t="str">
        <x:v>https://github.com/darknigthmare/yautja-la-longue-chasse/tree/feat/v137-clan-war-four-modes-20261031</x:v>
      </x:c>
    </x:row>
    <x:row r="12" ht="52" customHeight="1">
      <x:c r="A12" s="18" t="str">
        <x:v>CW137-RTS-008</x:v>
      </x:c>
      <x:c r="B12" s="18" t="str">
        <x:v>RTS multi-escouades</x:v>
      </x:c>
      <x:c r="C12" s="18" t="str">
        <x:v>Énergie/portes</x:v>
      </x:c>
      <x:c r="D12" s="18" t="str">
        <x:v>Pannes physiques W3</x:v>
      </x:c>
      <x:c r="E12" s="18" t="str">
        <x:v>Carte avec mécanisme motorisé réel</x:v>
      </x:c>
      <x:c r="F12" s="18" t="str">
        <x:v>Sas/porte/réacteur influencent objectif et accès</x:v>
      </x:c>
      <x:c r="G12" s="18" t="str">
        <x:v>Pas de porte flottante ou système sans courant</x:v>
      </x:c>
      <x:c r="H12" s="18" t="str">
        <x:v>commandWarRtsSquadsV133</x:v>
      </x:c>
      <x:c r="I12" s="18" t="str">
        <x:v>P0</x:v>
      </x:c>
      <x:c r="J12" s="101" t="str">
        <x:v>Partiel — prototype</x:v>
      </x:c>
      <x:c r="K12" s="18" t="str">
        <x:v>MAP12 orbital, MAP10 souterrain</x:v>
      </x:c>
      <x:c r="L12" s="18" t="str">
        <x:v>Réparation, alimentation secondaire</x:v>
      </x:c>
      <x:c r="M12" s="18" t="str">
        <x:v>QA-CW137-RTS-09</x:v>
      </x:c>
      <x:c r="N12" s="18" t="str">
        <x:v>https://github.com/darknigthmare/yautja-la-longue-chasse/tree/feat/v137-clan-war-four-modes-20261031</x:v>
      </x:c>
    </x:row>
    <x:row r="13" ht="52" customHeight="1">
      <x:c r="A13" s="18" t="str">
        <x:v>CW137-RTS-009</x:v>
      </x:c>
      <x:c r="B13" s="18" t="str">
        <x:v>RTS multi-escouades</x:v>
      </x:c>
      <x:c r="C13" s="18" t="str">
        <x:v>Escorte</x:v>
      </x:c>
      <x:c r="D13" s="18" t="str">
        <x:v>Charge et neutres</x:v>
      </x:c>
      <x:c r="E13" s="18" t="str">
        <x:v>Personne ou bien préexistant</x:v>
      </x:c>
      <x:c r="F13" s="18" t="str">
        <x:v>Suit par cases; relève possible; sortie ensemble</x:v>
      </x:c>
      <x:c r="G13" s="18" t="str">
        <x:v>Pas de téléportation, statut neutre conservé</x:v>
      </x:c>
      <x:c r="H13" s="18" t="str">
        <x:v>commandWarRtsSquadsV133:pickup</x:v>
      </x:c>
      <x:c r="I13" s="18" t="str">
        <x:v>P0</x:v>
      </x:c>
      <x:c r="J13" s="100" t="str">
        <x:v>Validé CI ciblée</x:v>
      </x:c>
      <x:c r="K13" s="18" t="str">
        <x:v>Différencier humain neutre/ennemi</x:v>
      </x:c>
      <x:c r="L13" s="18" t="str">
        <x:v>Animations PNJ et itinéraires avancés</x:v>
      </x:c>
      <x:c r="M13" s="18" t="str">
        <x:v>QA-CW137-RTS-10</x:v>
      </x:c>
      <x:c r="N13" s="18" t="str">
        <x:v>https://github.com/darknigthmare/yautja-la-longue-chasse/tree/feat/v137-clan-war-four-modes-20261031</x:v>
      </x:c>
    </x:row>
    <x:row r="14" ht="52" customHeight="1">
      <x:c r="A14" s="18" t="str">
        <x:v>CW137-RTS-010</x:v>
      </x:c>
      <x:c r="B14" s="18" t="str">
        <x:v>RTS multi-escouades</x:v>
      </x:c>
      <x:c r="C14" s="18" t="str">
        <x:v>A* de groupe</x:v>
      </x:c>
      <x:c r="D14" s="18" t="str">
        <x:v>Gestion embouteillages</x:v>
      </x:c>
      <x:c r="E14" s="18" t="str">
        <x:v>Taille case, volume unité/monture</x:v>
      </x:c>
      <x:c r="F14" s="18" t="str">
        <x:v>Replanification autour obstruction</x:v>
      </x:c>
      <x:c r="G14" s="18" t="str">
        <x:v>Aucune superposition d'escouades</x:v>
      </x:c>
      <x:c r="H14" s="18" t="str">
        <x:v>rts_pathfinding_TODO</x:v>
      </x:c>
      <x:c r="I14" s="18" t="str">
        <x:v>P0</x:v>
      </x:c>
      <x:c r="J14" s="101" t="str">
        <x:v>Partiel — prototype</x:v>
      </x:c>
      <x:c r="K14" s="18" t="str">
        <x:v>Topologie V128 étude non canon</x:v>
      </x:c>
      <x:c r="L14" s="18" t="str">
        <x:v>Congestion, pentes et portes dynamiques</x:v>
      </x:c>
      <x:c r="M14" s="18" t="str">
        <x:v>QA-CW137-RTS-03</x:v>
      </x:c>
      <x:c r="N14" s="18" t="str">
        <x:v>https://github.com/darknigthmare/yautja-la-longue-chasse/tree/feat/v137-clan-war-four-modes-20261031</x:v>
      </x:c>
    </x:row>
    <x:row r="15" ht="52" customHeight="1">
      <x:c r="A15" s="18" t="str">
        <x:v>CW137-RTS-011</x:v>
      </x:c>
      <x:c r="B15" s="18" t="str">
        <x:v>RTS multi-escouades</x:v>
      </x:c>
      <x:c r="C15" s="18" t="str">
        <x:v>Fortifications</x:v>
      </x:c>
      <x:c r="D15" s="18" t="str">
        <x:v>Bâtiments et batteries</x:v>
      </x:c>
      <x:c r="E15" s="18" t="str">
        <x:v>Région, ressources, production source</x:v>
      </x:c>
      <x:c r="F15" s="18" t="str">
        <x:v>Construction/destruction, défense et capture</x:v>
      </x:c>
      <x:c r="G15" s="18" t="str">
        <x:v>Aucun bâtiment sans coordonnées ni cout</x:v>
      </x:c>
      <x:c r="H15" s="18" t="str">
        <x:v>rts_structures_TODO</x:v>
      </x:c>
      <x:c r="I15" s="18" t="str">
        <x:v>P1</x:v>
      </x:c>
      <x:c r="J15" s="102" t="str">
        <x:v>À développer</x:v>
      </x:c>
      <x:c r="K15" s="18" t="str">
        <x:v>Architecture Homeworld par source</x:v>
      </x:c>
      <x:c r="L15" s="18" t="str">
        <x:v>Destructibles, textures, stores</x:v>
      </x:c>
      <x:c r="M15" s="18" t="str">
        <x:v>QA-CW137-RTS-04</x:v>
      </x:c>
      <x:c r="N15" s="18" t="str">
        <x:v>https://github.com/darknigthmare/yautja-la-longue-chasse/tree/feat/v137-clan-war-four-modes-20261031</x:v>
      </x:c>
    </x:row>
    <x:row r="16" ht="52" customHeight="1">
      <x:c r="A16" s="18" t="str">
        <x:v>CW137-RTS-012</x:v>
      </x:c>
      <x:c r="B16" s="18" t="str">
        <x:v>RTS multi-escouades</x:v>
      </x:c>
      <x:c r="C16" s="18" t="str">
        <x:v>Armées/montures</x:v>
      </x:c>
      <x:c r="D16" s="18" t="str">
        <x:v>Gros combats multi-PC</x:v>
      </x:c>
      <x:c r="E16" s="18" t="str">
        <x:v>Limitations selon races et unités</x:v>
      </x:c>
      <x:c r="F16" s="18" t="str">
        <x:v>Chevaucheurs, véhicules et renforts visibles</x:v>
      </x:c>
      <x:c r="G16" s="18" t="str">
        <x:v>Aucun gabarit de monture non compatible</x:v>
      </x:c>
      <x:c r="H16" s="18" t="str">
        <x:v>rts_mass_troops_TODO</x:v>
      </x:c>
      <x:c r="I16" s="18" t="str">
        <x:v>P1</x:v>
      </x:c>
      <x:c r="J16" s="102" t="str">
        <x:v>À développer</x:v>
      </x:c>
      <x:c r="K16" s="18" t="str">
        <x:v>Races et armures par oeuvre</x:v>
      </x:c>
      <x:c r="L16" s="18" t="str">
        <x:v>Animation unique et IA de formation</x:v>
      </x:c>
      <x:c r="M16" s="18" t="str">
        <x:v>QA-CW137-RTS-05</x:v>
      </x:c>
      <x:c r="N16" s="18" t="str">
        <x:v>https://github.com/darknigthmare/yautja-la-longue-chasse/tree/feat/v137-clan-war-four-modes-20261031</x:v>
      </x:c>
    </x:row>
    <x:row r="17" ht="52" customHeight="1">
      <x:c r="A17" s="18" t="str">
        <x:v>CW137-RTS-013</x:v>
      </x:c>
      <x:c r="B17" s="18" t="str">
        <x:v>RTS multi-escouades</x:v>
      </x:c>
      <x:c r="C17" s="18" t="str">
        <x:v>Réseau PvP</x:v>
      </x:c>
      <x:c r="D17" s="18" t="str">
        <x:v>Résolution serveur</x:v>
      </x:c>
      <x:c r="E17" s="18" t="str">
        <x:v>Autorité bataille, snapshots masqués</x:v>
      </x:c>
      <x:c r="F17" s="18" t="str">
        <x:v>Coop et adversaires humains sans triche</x:v>
      </x:c>
      <x:c r="G17" s="18" t="str">
        <x:v>Client ne révèle V85/cases cachées</x:v>
      </x:c>
      <x:c r="H17" s="18" t="str">
        <x:v>rts_server_TODO</x:v>
      </x:c>
      <x:c r="I17" s="18" t="str">
        <x:v>P0</x:v>
      </x:c>
      <x:c r="J17" s="102" t="str">
        <x:v>À développer</x:v>
      </x:c>
      <x:c r="K17" s="18" t="str">
        <x:v>Gameplay unique, pas clone AVP Extinction</x:v>
      </x:c>
      <x:c r="L17" s="18" t="str">
        <x:v>Serveur, rollback et persistance</x:v>
      </x:c>
      <x:c r="M17" s="18" t="str">
        <x:v>QA-CW137-RTS-06</x:v>
      </x:c>
      <x:c r="N17" s="18" t="str">
        <x:v>https://github.com/darknigthmare/yautja-la-longue-chasse/tree/feat/v137-clan-war-four-modes-20261031</x:v>
      </x:c>
    </x:row>
  </x:sheetData>
  <x:mergeCells>
    <x:mergeCell ref="A1:N1"/>
    <x:mergeCell ref="A2:N2"/>
  </x:mergeCells>
  <x:dataValidations count="1">
    <x:dataValidation type="list" sqref="J5:J17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42" hidden="0" customWidth="1"/>
    <x:col min="5" max="5" width="38" hidden="0" customWidth="1"/>
    <x:col min="6" max="6" width="40" hidden="0" customWidth="1"/>
    <x:col min="7" max="7" width="20" hidden="0" customWidth="1"/>
    <x:col min="8" max="8" width="28" hidden="0" customWidth="1"/>
    <x:col min="9" max="9" width="38" hidden="0" customWidth="1"/>
    <x:col min="10" max="10" width="42" hidden="0" customWidth="1"/>
  </x:cols>
  <x:sheetData>
    <x:row r="1" ht="36" customHeight="1">
      <x:c r="A1" s="92" t="str">
        <x:v>V137 — QUALITÉ · 40 CONTRÔLES POUR LES QUATRE MODES</x:v>
      </x:c>
      <x:c r="B1" s="92"/>
      <x:c r="C1" s="92"/>
      <x:c r="D1" s="92"/>
      <x:c r="E1" s="92"/>
      <x:c r="F1" s="92"/>
      <x:c r="G1" s="92"/>
      <x:c r="H1" s="92"/>
      <x:c r="I1" s="92"/>
      <x:c r="J1" s="92"/>
    </x:row>
    <x:row r="2" ht="29" customHeight="1">
      <x:c r="A2" s="94" t="str">
        <x:v>70/70 tests Node + TypeScript + ESLint verts sur le code et le classeur V137. Les 40 QA restent distinctes des validations navigateur, manette et serveur.</x:v>
      </x:c>
      <x:c r="B2" s="94"/>
      <x:c r="C2" s="94"/>
      <x:c r="D2" s="94"/>
      <x:c r="E2" s="94"/>
      <x:c r="F2" s="94"/>
      <x:c r="G2" s="94"/>
      <x:c r="H2" s="94"/>
      <x:c r="I2" s="94"/>
      <x:c r="J2" s="94"/>
    </x:row>
    <x:row r="4" ht="32" customHeight="1">
      <x:c r="A4" s="97" t="str">
        <x:v>ID QA</x:v>
      </x:c>
      <x:c r="B4" s="97" t="str">
        <x:v>Mode</x:v>
      </x:c>
      <x:c r="C4" s="97" t="str">
        <x:v>Catégorie</x:v>
      </x:c>
      <x:c r="D4" s="97" t="str">
        <x:v>Contrôle / scénario</x:v>
      </x:c>
      <x:c r="E4" s="97" t="str">
        <x:v>Préconditions exactes</x:v>
      </x:c>
      <x:c r="F4" s="97" t="str">
        <x:v>Résultat vérifiable</x:v>
      </x:c>
      <x:c r="G4" s="97" t="str">
        <x:v>Statut</x:v>
      </x:c>
      <x:c r="H4" s="97" t="str">
        <x:v>Preuve (CI/code)</x:v>
      </x:c>
      <x:c r="I4" s="97" t="str">
        <x:v>QA manuelle encore attendue</x:v>
      </x:c>
      <x:c r="J4" s="97" t="str">
        <x:v>Chaîne de PR</x:v>
      </x:c>
    </x:row>
    <x:row r="5" ht="42" customHeight="1">
      <x:c r="A5" s="18" t="str">
        <x:v>QA-CW137-ASS-01</x:v>
      </x:c>
      <x:c r="B5" s="18" t="str">
        <x:v>Assaut latéral</x:v>
      </x:c>
      <x:c r="C5" s="18" t="str">
        <x:v>Extraction réelle et PC/AP</x:v>
      </x:c>
      <x:c r="D5" s="18" t="str">
        <x:v>Faire revenir une équipe vivante au bastion et valider son retrait</x:v>
      </x:c>
      <x:c r="E5" s="18" t="str">
        <x:v>Équipe engagée et réservée, x≤18, 10 AP</x:v>
      </x:c>
      <x:c r="F5" s="18" t="str">
        <x:v>L'acteur sort du combat sans se cloner, son ID demeure dans launched et extractedIds</x:v>
      </x:c>
      <x:c r="G5" s="100" t="str">
        <x:v>Validé CI ciblée</x:v>
      </x:c>
      <x:c r="H5" s="18" t="str">
        <x:v>withdrawWarAssaultSquadV137</x:v>
      </x:c>
      <x:c r="I5" s="18" t="str">
        <x:v>Test réel navigateur et manette, vidéo de session non fournie</x:v>
      </x:c>
      <x:c r="J5" s="18" t="str">
        <x:v>#29→#34→#36→#37→#38→#40→#41→#43→#44→#45→V137</x:v>
      </x:c>
    </x:row>
    <x:row r="6" ht="42" customHeight="1">
      <x:c r="A6" s="18" t="str">
        <x:v>QA-CW137-ASS-02</x:v>
      </x:c>
      <x:c r="B6" s="18" t="str">
        <x:v>Assaut latéral</x:v>
      </x:c>
      <x:c r="C6" s="18" t="str">
        <x:v>Fraude et re-déploiement</x:v>
      </x:c>
      <x:c r="D6" s="18" t="str">
        <x:v>Retrait à distance, KO, 9 AP ou archive avec extraction et acteur actif</x:v>
      </x:c>
      <x:c r="E6" s="18" t="str">
        <x:v>Même source V6, aucun gain gratuit</x:v>
      </x:c>
      <x:c r="F6" s="18" t="str">
        <x:v>Rejets sans écriture; archive forgée refusée; une seule fin de mandat</x:v>
      </x:c>
      <x:c r="G6" s="100" t="str">
        <x:v>Validé CI ciblée</x:v>
      </x:c>
      <x:c r="H6" s="18" t="str">
        <x:v>readWarOperationsV115</x:v>
      </x:c>
      <x:c r="I6" s="18" t="str">
        <x:v>Test réel navigateur et manette, vidéo de session non fournie</x:v>
      </x:c>
      <x:c r="J6" s="18" t="str">
        <x:v>#29→#34→#36→#37→#38→#40→#41→#43→#44→#45→V137</x:v>
      </x:c>
    </x:row>
    <x:row r="7" ht="42" customHeight="1">
      <x:c r="A7" s="18" t="str">
        <x:v>QA-CW137-ASS-03</x:v>
      </x:c>
      <x:c r="B7" s="18" t="str">
        <x:v>Assaut latéral</x:v>
      </x:c>
      <x:c r="C7" s="18" t="str">
        <x:v>CI auto</x:v>
      </x:c>
      <x:c r="D7" s="18" t="str">
        <x:v>Tenue de 3 tours</x:v>
      </x:c>
      <x:c r="E7" s="18" t="str">
        <x:v>Équipe engagée x≤25 et 15 AP</x:v>
      </x:c>
      <x:c r="F7" s="18" t="str">
        <x:v>Ne bouge pas 3 ticks; repart au 4e; RAV V6 constants</x:v>
      </x:c>
      <x:c r="G7" s="100" t="str">
        <x:v>Validé CI ciblée</x:v>
      </x:c>
      <x:c r="H7" s="18" t="str">
        <x:v>orderWarAssaultHoldV136</x:v>
      </x:c>
      <x:c r="I7" s="18" t="str">
        <x:v>Navigateur, manette et charge réelle restent nécessaires</x:v>
      </x:c>
      <x:c r="J7" s="18" t="str">
        <x:v>#29→#34→#36→#37→#38→#40→#41→#43→#44→#45→V137</x:v>
      </x:c>
    </x:row>
    <x:row r="8" ht="42" customHeight="1">
      <x:c r="A8" s="18" t="str">
        <x:v>QA-CW137-ASS-04</x:v>
      </x:c>
      <x:c r="B8" s="18" t="str">
        <x:v>Assaut latéral</x:v>
      </x:c>
      <x:c r="C8" s="18" t="str">
        <x:v>CI auto</x:v>
      </x:c>
      <x:c r="D8" s="18" t="str">
        <x:v>Rejets position et AP</x:v>
      </x:c>
      <x:c r="E8" s="18" t="str">
        <x:v>Acteur hors base, équipe non déployée, 14 AP</x:v>
      </x:c>
      <x:c r="F8" s="18" t="str">
        <x:v>Refus sans tick ni réécriture</x:v>
      </x:c>
      <x:c r="G8" s="100" t="str">
        <x:v>Validé CI ciblée</x:v>
      </x:c>
      <x:c r="H8" s="18" t="str">
        <x:v>orderWarAssaultHoldV136</x:v>
      </x:c>
      <x:c r="I8" s="18" t="str">
        <x:v>Navigateur, manette et charge réelle restent nécessaires</x:v>
      </x:c>
      <x:c r="J8" s="18" t="str">
        <x:v>#29→#34→#36→#37→#38→#40→#41→#43→#44→#45→V137</x:v>
      </x:c>
    </x:row>
    <x:row r="9" ht="42" customHeight="1">
      <x:c r="A9" s="18" t="str">
        <x:v>QA-CW137-ASS-05</x:v>
      </x:c>
      <x:c r="B9" s="18" t="str">
        <x:v>Assaut latéral</x:v>
      </x:c>
      <x:c r="C9" s="18" t="str">
        <x:v>CI auto</x:v>
      </x:c>
      <x:c r="D9" s="18" t="str">
        <x:v>Archive forgée</x:v>
      </x:c>
      <x:c r="E9" s="18" t="str">
        <x:v>heldUntil &gt; mission.tick+4 ou fausse équipe</x:v>
      </x:c>
      <x:c r="F9" s="18" t="str">
        <x:v>Archive V115 refusée</x:v>
      </x:c>
      <x:c r="G9" s="100" t="str">
        <x:v>Validé CI ciblée</x:v>
      </x:c>
      <x:c r="H9" s="18" t="str">
        <x:v>readWarOperationsV115</x:v>
      </x:c>
      <x:c r="I9" s="18" t="str">
        <x:v>Navigateur, manette et charge réelle restent nécessaires</x:v>
      </x:c>
      <x:c r="J9" s="18" t="str">
        <x:v>#29→#34→#36→#37→#38→#40→#41→#43→#44→#45→V137</x:v>
      </x:c>
    </x:row>
    <x:row r="10" ht="42" customHeight="1">
      <x:c r="A10" s="18" t="str">
        <x:v>QA-CW137-ASS-06</x:v>
      </x:c>
      <x:c r="B10" s="18" t="str">
        <x:v>Assaut latéral</x:v>
      </x:c>
      <x:c r="C10" s="18" t="str">
        <x:v>Régression CI</x:v>
      </x:c>
      <x:c r="D10" s="18" t="str">
        <x:v>Protection et AP V135</x:v>
      </x:c>
      <x:c r="E10" s="18" t="str">
        <x:v>Déploiement existant, bastion endommagé</x:v>
      </x:c>
      <x:c r="F10" s="18" t="str">
        <x:v>Anciennes dépenses et manœuvres sans doublons</x:v>
      </x:c>
      <x:c r="G10" s="100" t="str">
        <x:v>Validé CI ciblée</x:v>
      </x:c>
      <x:c r="H10" s="18" t="str">
        <x:v>reinforceWarAssaultLineV135</x:v>
      </x:c>
      <x:c r="I10" s="18" t="str">
        <x:v>Navigateur, manette et charge réelle restent nécessaires</x:v>
      </x:c>
      <x:c r="J10" s="18" t="str">
        <x:v>#29→#34→#36→#37→#38→#40→#41→#43→#44→#45→V137</x:v>
      </x:c>
    </x:row>
    <x:row r="11" ht="42" customHeight="1">
      <x:c r="A11" s="18" t="str">
        <x:v>QA-CW137-ASS-07</x:v>
      </x:c>
      <x:c r="B11" s="18" t="str">
        <x:v>Assaut latéral</x:v>
      </x:c>
      <x:c r="C11" s="18" t="str">
        <x:v>QA manuelle</x:v>
      </x:c>
      <x:c r="D11" s="18" t="str">
        <x:v>Ergonomie des ordres</x:v>
      </x:c>
      <x:c r="E11" s="18" t="str">
        <x:v>Vue active, 2–4 équipes, manette</x:v>
      </x:c>
      <x:c r="F11" s="18" t="str">
        <x:v>Libellés, boutons et état de tenue non équivoques</x:v>
      </x:c>
      <x:c r="G11" s="103" t="str">
        <x:v>À exécuter manuellement</x:v>
      </x:c>
      <x:c r="H11" s="18" t="str">
        <x:v>ClanWarOperationsV115.tsx</x:v>
      </x:c>
      <x:c r="I11" s="18" t="str">
        <x:v>Aucune preuve visuelle/serveur fournie</x:v>
      </x:c>
      <x:c r="J11" s="18" t="str">
        <x:v>#29→#34→#36→#37→#38→#40→#41→#43→#44→#45→V137</x:v>
      </x:c>
    </x:row>
    <x:row r="12" ht="42" customHeight="1">
      <x:c r="A12" s="18" t="str">
        <x:v>QA-CW137-ASS-08</x:v>
      </x:c>
      <x:c r="B12" s="18" t="str">
        <x:v>Assaut latéral</x:v>
      </x:c>
      <x:c r="C12" s="18" t="str">
        <x:v>QA manuelle</x:v>
      </x:c>
      <x:c r="D12" s="18" t="str">
        <x:v>Hordes IA et FPS</x:v>
      </x:c>
      <x:c r="E12" s="18" t="str">
        <x:v>Scénarios W3 long terme et dommages</x:v>
      </x:c>
      <x:c r="F12" s="18" t="str">
        <x:v>Aucun softlock ni vague gratuite ni chute de FPS</x:v>
      </x:c>
      <x:c r="G12" s="103" t="str">
        <x:v>À exécuter manuellement</x:v>
      </x:c>
      <x:c r="H12" s="18" t="str">
        <x:v>stepAssaultV115</x:v>
      </x:c>
      <x:c r="I12" s="18" t="str">
        <x:v>Aucune preuve visuelle/serveur fournie</x:v>
      </x:c>
      <x:c r="J12" s="18" t="str">
        <x:v>#29→#34→#36→#37→#38→#40→#41→#43→#44→#45→V137</x:v>
      </x:c>
    </x:row>
    <x:row r="13" ht="42" customHeight="1">
      <x:c r="A13" s="18" t="str">
        <x:v>QA-CW137-ASS-09</x:v>
      </x:c>
      <x:c r="B13" s="18" t="str">
        <x:v>Assaut latéral</x:v>
      </x:c>
      <x:c r="C13" s="18" t="str">
        <x:v>Lore manuel</x:v>
      </x:c>
      <x:c r="D13" s="18" t="str">
        <x:v>Architecture et planète</x:v>
      </x:c>
      <x:c r="E13" s="18" t="str">
        <x:v>Biome/atmosphère W3 par mission</x:v>
      </x:c>
      <x:c r="F13" s="18" t="str">
        <x:v>Aucun élément Terre déplacé sur monde alien</x:v>
      </x:c>
      <x:c r="G13" s="103" t="str">
        <x:v>À exécuter manuellement</x:v>
      </x:c>
      <x:c r="H13" s="18" t="str">
        <x:v>terrain_assault_v136_TODO</x:v>
      </x:c>
      <x:c r="I13" s="18" t="str">
        <x:v>Aucune preuve visuelle/serveur fournie</x:v>
      </x:c>
      <x:c r="J13" s="18" t="str">
        <x:v>#29→#34→#36→#37→#38→#40→#41→#43→#44→#45→V137</x:v>
      </x:c>
    </x:row>
    <x:row r="14" ht="42" customHeight="1">
      <x:c r="A14" s="18" t="str">
        <x:v>QA-CW137-ASS-10</x:v>
      </x:c>
      <x:c r="B14" s="18" t="str">
        <x:v>Assaut latéral</x:v>
      </x:c>
      <x:c r="C14" s="18" t="str">
        <x:v>QA réseau</x:v>
      </x:c>
      <x:c r="D14" s="18" t="str">
        <x:v>Résultat en coopération</x:v>
      </x:c>
      <x:c r="E14" s="18" t="str">
        <x:v>Reconnexion serveur + reçus signés</x:v>
      </x:c>
      <x:c r="F14" s="18" t="str">
        <x:v>Pas de gain V85 non autorisé ou clone</x:v>
      </x:c>
      <x:c r="G14" s="103" t="str">
        <x:v>À exécuter manuellement</x:v>
      </x:c>
      <x:c r="H14" s="18" t="str">
        <x:v>net_assault_TODO</x:v>
      </x:c>
      <x:c r="I14" s="18" t="str">
        <x:v>Aucune preuve visuelle/serveur fournie</x:v>
      </x:c>
      <x:c r="J14" s="18" t="str">
        <x:v>#29→#34→#36→#37→#38→#40→#41→#43→#44→#45→V137</x:v>
      </x:c>
    </x:row>
    <x:row r="15" ht="42" customHeight="1">
      <x:c r="A15" s="18" t="str">
        <x:v>QA-CW137-OUT-01</x:v>
      </x:c>
      <x:c r="B15" s="18" t="str">
        <x:v>Outer Ops</x:v>
      </x:c>
      <x:c r="C15" s="18" t="str">
        <x:v>Halte et délai réel</x:v>
      </x:c>
      <x:c r="D15" s="18" t="str">
        <x:v>Ralentir une mission d'observation avant la mi-route</x:v>
      </x:c>
      <x:c r="E15" s="18" t="str">
        <x:v>Même groupe et itinéraire; +15 secondes de durée</x:v>
      </x:c>
      <x:c r="F15" s="18" t="str">
        <x:v>Aucune résolution à l'ancienne échéance, +3 capacité seulement au rapport</x:v>
      </x:c>
      <x:c r="G15" s="100" t="str">
        <x:v>Validé CI ciblée</x:v>
      </x:c>
      <x:c r="H15" s="18" t="str">
        <x:v>orderWarOuterReconHaltV137</x:v>
      </x:c>
      <x:c r="I15" s="18" t="str">
        <x:v>Test réel navigateur et manette, vidéo de session non fournie</x:v>
      </x:c>
      <x:c r="J15" s="18" t="str">
        <x:v>#29→#34→#36→#37→#38→#40→#41→#43→#44→#45→V137</x:v>
      </x:c>
    </x:row>
    <x:row r="16" ht="42" customHeight="1">
      <x:c r="A16" s="18" t="str">
        <x:v>QA-CW137-OUT-02</x:v>
      </x:c>
      <x:c r="B16" s="18" t="str">
        <x:v>Outer Ops</x:v>
      </x:c>
      <x:c r="C16" s="18" t="str">
        <x:v>Rappel et horloge</x:v>
      </x:c>
      <x:c r="D16" s="18" t="str">
        <x:v>Tenter réorientation/appro après la mi-route, rappeler après la halte</x:v>
      </x:c>
      <x:c r="E16" s="18" t="str">
        <x:v>Heure valide, même source et ordre engagé</x:v>
      </x:c>
      <x:c r="F16" s="18" t="str">
        <x:v>Les contrôles utilisent le deadline initial; aucun double rapport</x:v>
      </x:c>
      <x:c r="G16" s="100" t="str">
        <x:v>Validé CI ciblée</x:v>
      </x:c>
      <x:c r="H16" s="18" t="str">
        <x:v>readWarOperationsV115</x:v>
      </x:c>
      <x:c r="I16" s="18" t="str">
        <x:v>Test réel navigateur et manette, vidéo de session non fournie</x:v>
      </x:c>
      <x:c r="J16" s="18" t="str">
        <x:v>#29→#34→#36→#37→#38→#40→#41→#43→#44→#45→V137</x:v>
      </x:c>
    </x:row>
    <x:row r="17" ht="42" customHeight="1">
      <x:c r="A17" s="18" t="str">
        <x:v>QA-CW137-OUT-03</x:v>
      </x:c>
      <x:c r="B17" s="18" t="str">
        <x:v>Outer Ops</x:v>
      </x:c>
      <x:c r="C17" s="18" t="str">
        <x:v>CI auto</x:v>
      </x:c>
      <x:c r="D17" s="18" t="str">
        <x:v>RAV d'approvisionnement</x:v>
      </x:c>
      <x:c r="E17" s="18" t="str">
        <x:v>Mission réelle avant mi-trajet, RAV ≥2</x:v>
      </x:c>
      <x:c r="F17" s="18" t="str">
        <x:v>Débit 2 RAV unique et bonus +4 calculé en résolution</x:v>
      </x:c>
      <x:c r="G17" s="100" t="str">
        <x:v>Validé CI ciblée</x:v>
      </x:c>
      <x:c r="H17" s="18" t="str">
        <x:v>supplyWarOuterMissionV136</x:v>
      </x:c>
      <x:c r="I17" s="18" t="str">
        <x:v>Navigateur, manette et charge réelle restent nécessaires</x:v>
      </x:c>
      <x:c r="J17" s="18" t="str">
        <x:v>#29→#34→#36→#37→#38→#40→#41→#43→#44→#45→V137</x:v>
      </x:c>
    </x:row>
    <x:row r="18" ht="42" customHeight="1">
      <x:c r="A18" s="18" t="str">
        <x:v>QA-CW137-OUT-04</x:v>
      </x:c>
      <x:c r="B18" s="18" t="str">
        <x:v>Outer Ops</x:v>
      </x:c>
      <x:c r="C18" s="18" t="str">
        <x:v>CI auto</x:v>
      </x:c>
      <x:c r="D18" s="18" t="str">
        <x:v>Aucune livraison tardive</x:v>
      </x:c>
      <x:c r="E18" s="18" t="str">
        <x:v>Rappel, seconde tentative, date hors fenêtre</x:v>
      </x:c>
      <x:c r="F18" s="18" t="str">
        <x:v>Refus sans débit ni accélération d'ETA</x:v>
      </x:c>
      <x:c r="G18" s="100" t="str">
        <x:v>Validé CI ciblée</x:v>
      </x:c>
      <x:c r="H18" s="18" t="str">
        <x:v>supplyWarOuterMissionV136</x:v>
      </x:c>
      <x:c r="I18" s="18" t="str">
        <x:v>Navigateur, manette et charge réelle restent nécessaires</x:v>
      </x:c>
      <x:c r="J18" s="18" t="str">
        <x:v>#29→#34→#36→#37→#38→#40→#41→#43→#44→#45→V137</x:v>
      </x:c>
    </x:row>
    <x:row r="19" ht="42" customHeight="1">
      <x:c r="A19" s="18" t="str">
        <x:v>QA-CW137-OUT-05</x:v>
      </x:c>
      <x:c r="B19" s="18" t="str">
        <x:v>Outer Ops</x:v>
      </x:c>
      <x:c r="C19" s="18" t="str">
        <x:v>CI auto</x:v>
      </x:c>
      <x:c r="D19" s="18" t="str">
        <x:v>Contrôle des reçus</x:v>
      </x:c>
      <x:c r="E19" s="18" t="str">
        <x:v>Ordre supporté et rapport arrivé à dueAt</x:v>
      </x:c>
      <x:c r="F19" s="18" t="str">
        <x:v>Un rapport final, log des fournitures, pas de gain anticipé</x:v>
      </x:c>
      <x:c r="G19" s="100" t="str">
        <x:v>Validé CI ciblée</x:v>
      </x:c>
      <x:c r="H19" s="18" t="str">
        <x:v>settleWarOuterOpsV115</x:v>
      </x:c>
      <x:c r="I19" s="18" t="str">
        <x:v>Navigateur, manette et charge réelle restent nécessaires</x:v>
      </x:c>
      <x:c r="J19" s="18" t="str">
        <x:v>#29→#34→#36→#37→#38→#40→#41→#43→#44→#45→V137</x:v>
      </x:c>
    </x:row>
    <x:row r="20" ht="42" customHeight="1">
      <x:c r="A20" s="18" t="str">
        <x:v>QA-CW137-OUT-06</x:v>
      </x:c>
      <x:c r="B20" s="18" t="str">
        <x:v>Outer Ops</x:v>
      </x:c>
      <x:c r="C20" s="18" t="str">
        <x:v>Régression CI</x:v>
      </x:c>
      <x:c r="D20" s="18" t="str">
        <x:v>Réorientation + rappel</x:v>
      </x:c>
      <x:c r="E20" s="18" t="str">
        <x:v>Mandat réorienté puis rappel physique</x:v>
      </x:c>
      <x:c r="F20" s="18" t="str">
        <x:v>Date/route/membres cohérents, retraite sans XP gratuit</x:v>
      </x:c>
      <x:c r="G20" s="100" t="str">
        <x:v>Validé CI ciblée</x:v>
      </x:c>
      <x:c r="H20" s="18" t="str">
        <x:v>redirectWarOuterOpsV135</x:v>
      </x:c>
      <x:c r="I20" s="18" t="str">
        <x:v>Navigateur, manette et charge réelle restent nécessaires</x:v>
      </x:c>
      <x:c r="J20" s="18" t="str">
        <x:v>#29→#34→#36→#37→#38→#40→#41→#43→#44→#45→V137</x:v>
      </x:c>
    </x:row>
    <x:row r="21" ht="42" customHeight="1">
      <x:c r="A21" s="18" t="str">
        <x:v>QA-CW137-OUT-07</x:v>
      </x:c>
      <x:c r="B21" s="18" t="str">
        <x:v>Outer Ops</x:v>
      </x:c>
      <x:c r="C21" s="18" t="str">
        <x:v>QA manuelle</x:v>
      </x:c>
      <x:c r="D21" s="18" t="str">
        <x:v>Chronomètre en arrière-plan</x:v>
      </x:c>
      <x:c r="E21" s="18" t="str">
        <x:v>Navigateur fermé / puis réouvert</x:v>
      </x:c>
      <x:c r="F21" s="18" t="str">
        <x:v>Rapports arrivent seulement à l'échéance</x:v>
      </x:c>
      <x:c r="G21" s="103" t="str">
        <x:v>À exécuter manuellement</x:v>
      </x:c>
      <x:c r="H21" s="18" t="str">
        <x:v>ClanWarOperationsV115.tsx</x:v>
      </x:c>
      <x:c r="I21" s="18" t="str">
        <x:v>Aucune preuve visuelle/serveur fournie</x:v>
      </x:c>
      <x:c r="J21" s="18" t="str">
        <x:v>#29→#34→#36→#37→#38→#40→#41→#43→#44→#45→V137</x:v>
      </x:c>
    </x:row>
    <x:row r="22" ht="42" customHeight="1">
      <x:c r="A22" s="18" t="str">
        <x:v>QA-CW137-OUT-08</x:v>
      </x:c>
      <x:c r="B22" s="18" t="str">
        <x:v>Outer Ops</x:v>
      </x:c>
      <x:c r="C22" s="18" t="str">
        <x:v>QA manuelle</x:v>
      </x:c>
      <x:c r="D22" s="18" t="str">
        <x:v>Contrôle de ressource</x:v>
      </x:c>
      <x:c r="E22" s="18" t="str">
        <x:v>0/1/2/3 RAV en réserve et 3 Outer Ops</x:v>
      </x:c>
      <x:c r="F22" s="18" t="str">
        <x:v>Aucun achat impossible ni double assignation</x:v>
      </x:c>
      <x:c r="G22" s="103" t="str">
        <x:v>À exécuter manuellement</x:v>
      </x:c>
      <x:c r="H22" s="18" t="str">
        <x:v>supplyWarOuterMissionV136</x:v>
      </x:c>
      <x:c r="I22" s="18" t="str">
        <x:v>Aucune preuve visuelle/serveur fournie</x:v>
      </x:c>
      <x:c r="J22" s="18" t="str">
        <x:v>#29→#34→#36→#37→#38→#40→#41→#43→#44→#45→V137</x:v>
      </x:c>
    </x:row>
    <x:row r="23" ht="42" customHeight="1">
      <x:c r="A23" s="18" t="str">
        <x:v>QA-CW137-OUT-09</x:v>
      </x:c>
      <x:c r="B23" s="18" t="str">
        <x:v>Outer Ops</x:v>
      </x:c>
      <x:c r="C23" s="18" t="str">
        <x:v>Lore manuel</x:v>
      </x:c>
      <x:c r="D23" s="18" t="str">
        <x:v>Incidents locaux</x:v>
      </x:c>
      <x:c r="E23" s="18" t="str">
        <x:v>Six biomes de W3, terre vs alien</x:v>
      </x:c>
      <x:c r="F23" s="18" t="str">
        <x:v>Météo et passages compatibles géographie</x:v>
      </x:c>
      <x:c r="G23" s="103" t="str">
        <x:v>À exécuter manuellement</x:v>
      </x:c>
      <x:c r="H23" s="18" t="str">
        <x:v>outer_incidents_TODO</x:v>
      </x:c>
      <x:c r="I23" s="18" t="str">
        <x:v>Aucune preuve visuelle/serveur fournie</x:v>
      </x:c>
      <x:c r="J23" s="18" t="str">
        <x:v>#29→#34→#36→#37→#38→#40→#41→#43→#44→#45→V137</x:v>
      </x:c>
    </x:row>
    <x:row r="24" ht="42" customHeight="1">
      <x:c r="A24" s="18" t="str">
        <x:v>QA-CW137-OUT-10</x:v>
      </x:c>
      <x:c r="B24" s="18" t="str">
        <x:v>Outer Ops</x:v>
      </x:c>
      <x:c r="C24" s="18" t="str">
        <x:v>QA réseau</x:v>
      </x:c>
      <x:c r="D24" s="18" t="str">
        <x:v>Ordres concurrents</x:v>
      </x:c>
      <x:c r="E24" s="18" t="str">
        <x:v>Deux sessions sur même mandat</x:v>
      </x:c>
      <x:c r="F24" s="18" t="str">
        <x:v>Un seul ravitaillement et un seul résultat</x:v>
      </x:c>
      <x:c r="G24" s="103" t="str">
        <x:v>À exécuter manuellement</x:v>
      </x:c>
      <x:c r="H24" s="18" t="str">
        <x:v>outer_network_TODO</x:v>
      </x:c>
      <x:c r="I24" s="18" t="str">
        <x:v>Aucune preuve visuelle/serveur fournie</x:v>
      </x:c>
      <x:c r="J24" s="18" t="str">
        <x:v>#29→#34→#36→#37→#38→#40→#41→#43→#44→#45→V137</x:v>
      </x:c>
    </x:row>
    <x:row r="25" ht="42" customHeight="1">
      <x:c r="A25" s="18" t="str">
        <x:v>QA-CW137-INF-01</x:v>
      </x:c>
      <x:c r="B25" s="18" t="str">
        <x:v>Infiltration</x:v>
      </x:c>
      <x:c r="C25" s="18" t="str">
        <x:v>Avancée physique couverte</x:v>
      </x:c>
      <x:c r="D25" s="18" t="str">
        <x:v>Aller d'une case vers un vrai couvert régional sans camouflage</x:v>
      </x:c>
      <x:c r="E25" s="18" t="str">
        <x:v>Case adjacente traversable et terrain.cover, énergie≥1</x:v>
      </x:c>
      <x:c r="F25" s="18" t="str">
        <x:v>Un déplacement; -1 énergie; deux utilisations max et sans vision magique</x:v>
      </x:c>
      <x:c r="G25" s="100" t="str">
        <x:v>Validé CI ciblée</x:v>
      </x:c>
      <x:c r="H25" s="18" t="str">
        <x:v>commandStealthV115 cover-*</x:v>
      </x:c>
      <x:c r="I25" s="18" t="str">
        <x:v>Test réel navigateur et manette, vidéo de session non fournie</x:v>
      </x:c>
      <x:c r="J25" s="18" t="str">
        <x:v>#29→#34→#36→#37→#38→#40→#41→#43→#44→#45→V137</x:v>
      </x:c>
    </x:row>
    <x:row r="26" ht="42" customHeight="1">
      <x:c r="A26" s="18" t="str">
        <x:v>QA-CW137-INF-02</x:v>
      </x:c>
      <x:c r="B26" s="18" t="str">
        <x:v>Infiltration</x:v>
      </x:c>
      <x:c r="C26" s="18" t="str">
        <x:v>Énergie et limites</x:v>
      </x:c>
      <x:c r="D26" s="18" t="str">
        <x:v>Tester mur, destination hors couvert, troisième usage et garde adjacent</x:v>
      </x:c>
      <x:c r="E26" s="18" t="str">
        <x:v>État d'origine immuable si action rejetée</x:v>
      </x:c>
      <x:c r="F26" s="18" t="str">
        <x:v>Aucun tick fictif; compteur de sauvegarde borné à deux</x:v>
      </x:c>
      <x:c r="G26" s="100" t="str">
        <x:v>Validé CI ciblée</x:v>
      </x:c>
      <x:c r="H26" s="18" t="str">
        <x:v>readWarOperationsV115</x:v>
      </x:c>
      <x:c r="I26" s="18" t="str">
        <x:v>Test réel navigateur et manette, vidéo de session non fournie</x:v>
      </x:c>
      <x:c r="J26" s="18" t="str">
        <x:v>#29→#34→#36→#37→#38→#40→#41→#43→#44→#45→V137</x:v>
      </x:c>
    </x:row>
    <x:row r="27" ht="42" customHeight="1">
      <x:c r="A27" s="18" t="str">
        <x:v>QA-CW137-INF-03</x:v>
      </x:c>
      <x:c r="B27" s="18" t="str">
        <x:v>Infiltration</x:v>
      </x:c>
      <x:c r="C27" s="18" t="str">
        <x:v>CI auto</x:v>
      </x:c>
      <x:c r="D27" s="18" t="str">
        <x:v>Couvert physique</x:v>
      </x:c>
      <x:c r="E27" s="18" t="str">
        <x:v>Case réelle terrain.cover, alarm2, energie2</x:v>
      </x:c>
      <x:c r="F27" s="18" t="str">
        <x:v>Alerte-1, énergie+1, tick+1</x:v>
      </x:c>
      <x:c r="G27" s="100" t="str">
        <x:v>Validé CI ciblée</x:v>
      </x:c>
      <x:c r="H27" s="18" t="str">
        <x:v>commandStealthV115:hide</x:v>
      </x:c>
      <x:c r="I27" s="18" t="str">
        <x:v>Navigateur, manette et charge réelle restent nécessaires</x:v>
      </x:c>
      <x:c r="J27" s="18" t="str">
        <x:v>#29→#34→#36→#37→#38→#40→#41→#43→#44→#45→V137</x:v>
      </x:c>
    </x:row>
    <x:row r="28" ht="42" customHeight="1">
      <x:c r="A28" s="18" t="str">
        <x:v>QA-CW137-INF-04</x:v>
      </x:c>
      <x:c r="B28" s="18" t="str">
        <x:v>Infiltration</x:v>
      </x:c>
      <x:c r="C28" s="18" t="str">
        <x:v>CI auto</x:v>
      </x:c>
      <x:c r="D28" s="18" t="str">
        <x:v>Refus et anti-exploit</x:v>
      </x:c>
      <x:c r="E28" s="18" t="str">
        <x:v>Départ hors couvert, même couvert deux fois</x:v>
      </x:c>
      <x:c r="F28" s="18" t="str">
        <x:v>Ordre refusé sans effet; archive malformée refusée</x:v>
      </x:c>
      <x:c r="G28" s="100" t="str">
        <x:v>Validé CI ciblée</x:v>
      </x:c>
      <x:c r="H28" s="18" t="str">
        <x:v>readWarOperationsV115</x:v>
      </x:c>
      <x:c r="I28" s="18" t="str">
        <x:v>Navigateur, manette et charge réelle restent nécessaires</x:v>
      </x:c>
      <x:c r="J28" s="18" t="str">
        <x:v>#29→#34→#36→#37→#38→#40→#41→#43→#44→#45→V137</x:v>
      </x:c>
    </x:row>
    <x:row r="29" ht="42" customHeight="1">
      <x:c r="A29" s="18" t="str">
        <x:v>QA-CW137-INF-05</x:v>
      </x:c>
      <x:c r="B29" s="18" t="str">
        <x:v>Infiltration</x:v>
      </x:c>
      <x:c r="C29" s="18" t="str">
        <x:v>CI auto</x:v>
      </x:c>
      <x:c r="D29" s="18" t="str">
        <x:v>Patrouille adjacente</x:v>
      </x:c>
      <x:c r="E29" s="18" t="str">
        <x:v>Garde à une case de la couverture</x:v>
      </x:c>
      <x:c r="F29" s="18" t="str">
        <x:v>Le couvert ne rend pas invisible au contact</x:v>
      </x:c>
      <x:c r="G29" s="100" t="str">
        <x:v>Validé CI ciblée</x:v>
      </x:c>
      <x:c r="H29" s="18" t="str">
        <x:v>commandStealthV115:hide</x:v>
      </x:c>
      <x:c r="I29" s="18" t="str">
        <x:v>Navigateur, manette et charge réelle restent nécessaires</x:v>
      </x:c>
      <x:c r="J29" s="18" t="str">
        <x:v>#29→#34→#36→#37→#38→#40→#41→#43→#44→#45→V137</x:v>
      </x:c>
    </x:row>
    <x:row r="30" ht="42" customHeight="1">
      <x:c r="A30" s="18" t="str">
        <x:v>QA-CW137-INF-06</x:v>
      </x:c>
      <x:c r="B30" s="18" t="str">
        <x:v>Infiltration</x:v>
      </x:c>
      <x:c r="C30" s="18" t="str">
        <x:v>Régression CI</x:v>
      </x:c>
      <x:c r="D30" s="18" t="str">
        <x:v>Cloak/diversion/relai</x:v>
      </x:c>
      <x:c r="E30" s="18" t="str">
        <x:v>Trajet W3 source, énergie et relais</x:v>
      </x:c>
      <x:c r="F30" s="18" t="str">
        <x:v>Extraction et reconnaissance restent physiques</x:v>
      </x:c>
      <x:c r="G30" s="100" t="str">
        <x:v>Validé CI ciblée</x:v>
      </x:c>
      <x:c r="H30" s="18" t="str">
        <x:v>commandStealthV115</x:v>
      </x:c>
      <x:c r="I30" s="18" t="str">
        <x:v>Navigateur, manette et charge réelle restent nécessaires</x:v>
      </x:c>
      <x:c r="J30" s="18" t="str">
        <x:v>#29→#34→#36→#37→#38→#40→#41→#43→#44→#45→V137</x:v>
      </x:c>
    </x:row>
    <x:row r="31" ht="42" customHeight="1">
      <x:c r="A31" s="18" t="str">
        <x:v>QA-CW137-INF-07</x:v>
      </x:c>
      <x:c r="B31" s="18" t="str">
        <x:v>Infiltration</x:v>
      </x:c>
      <x:c r="C31" s="18" t="str">
        <x:v>QA manuelle</x:v>
      </x:c>
      <x:c r="D31" s="18" t="str">
        <x:v>Lisibilité des couverts</x:v>
      </x:c>
      <x:c r="E31" s="18" t="str">
        <x:v>Vue grille et différentes couleurs de terrain</x:v>
      </x:c>
      <x:c r="F31" s="18" t="str">
        <x:v>▤ visible, info réaliste et contrôles adaptés</x:v>
      </x:c>
      <x:c r="G31" s="103" t="str">
        <x:v>À exécuter manuellement</x:v>
      </x:c>
      <x:c r="H31" s="18" t="str">
        <x:v>ClanWarOperationsV115.tsx</x:v>
      </x:c>
      <x:c r="I31" s="18" t="str">
        <x:v>Aucune preuve visuelle/serveur fournie</x:v>
      </x:c>
      <x:c r="J31" s="18" t="str">
        <x:v>#29→#34→#36→#37→#38→#40→#41→#43→#44→#45→V137</x:v>
      </x:c>
    </x:row>
    <x:row r="32" ht="42" customHeight="1">
      <x:c r="A32" s="18" t="str">
        <x:v>QA-CW137-INF-08</x:v>
      </x:c>
      <x:c r="B32" s="18" t="str">
        <x:v>Infiltration</x:v>
      </x:c>
      <x:c r="C32" s="18" t="str">
        <x:v>QA manuelle</x:v>
      </x:c>
      <x:c r="D32" s="18" t="str">
        <x:v>Camouflage/alarme</x:v>
      </x:c>
      <x:c r="E32" s="18" t="str">
        <x:v>Patrouilles 2D et son, faible batterie</x:v>
      </x:c>
      <x:c r="F32" s="18" t="str">
        <x:v>Pas de vision magique ni de position bloquée</x:v>
      </x:c>
      <x:c r="G32" s="103" t="str">
        <x:v>À exécuter manuellement</x:v>
      </x:c>
      <x:c r="H32" s="18" t="str">
        <x:v>commandStealthV115</x:v>
      </x:c>
      <x:c r="I32" s="18" t="str">
        <x:v>Aucune preuve visuelle/serveur fournie</x:v>
      </x:c>
      <x:c r="J32" s="18" t="str">
        <x:v>#29→#34→#36→#37→#38→#40→#41→#43→#44→#45→V137</x:v>
      </x:c>
    </x:row>
    <x:row r="33" ht="42" customHeight="1">
      <x:c r="A33" s="18" t="str">
        <x:v>QA-CW137-INF-09</x:v>
      </x:c>
      <x:c r="B33" s="18" t="str">
        <x:v>Infiltration</x:v>
      </x:c>
      <x:c r="C33" s="18" t="str">
        <x:v>Lore manuel</x:v>
      </x:c>
      <x:c r="D33" s="18" t="str">
        <x:v>Cibles et honneur</x:v>
      </x:c>
      <x:c r="E33" s="18" t="str">
        <x:v>Œuvre, continuité et nature de la cible</x:v>
      </x:c>
      <x:c r="F33" s="18" t="str">
        <x:v>Aucune règle canon inventée pour tous clans</x:v>
      </x:c>
      <x:c r="G33" s="103" t="str">
        <x:v>À exécuter manuellement</x:v>
      </x:c>
      <x:c r="H33" s="18" t="str">
        <x:v>stealth_honor_TODO</x:v>
      </x:c>
      <x:c r="I33" s="18" t="str">
        <x:v>Aucune preuve visuelle/serveur fournie</x:v>
      </x:c>
      <x:c r="J33" s="18" t="str">
        <x:v>#29→#34→#36→#37→#38→#40→#41→#43→#44→#45→V137</x:v>
      </x:c>
    </x:row>
    <x:row r="34" ht="42" customHeight="1">
      <x:c r="A34" s="18" t="str">
        <x:v>QA-CW137-INF-10</x:v>
      </x:c>
      <x:c r="B34" s="18" t="str">
        <x:v>Infiltration</x:v>
      </x:c>
      <x:c r="C34" s="18" t="str">
        <x:v>QA réseau</x:v>
      </x:c>
      <x:c r="D34" s="18" t="str">
        <x:v>Extraction coop</x:v>
      </x:c>
      <x:c r="E34" s="18" t="str">
        <x:v>Deux agents/escortes sur carte multi-étapes</x:v>
      </x:c>
      <x:c r="F34" s="18" t="str">
        <x:v>Aucun compagnon téléporté ni double preuve</x:v>
      </x:c>
      <x:c r="G34" s="103" t="str">
        <x:v>À exécuter manuellement</x:v>
      </x:c>
      <x:c r="H34" s="18" t="str">
        <x:v>stealth_network_TODO</x:v>
      </x:c>
      <x:c r="I34" s="18" t="str">
        <x:v>Aucune preuve visuelle/serveur fournie</x:v>
      </x:c>
      <x:c r="J34" s="18" t="str">
        <x:v>#29→#34→#36→#37→#38→#40→#41→#43→#44→#45→V137</x:v>
      </x:c>
    </x:row>
    <x:row r="35" ht="42" customHeight="1">
      <x:c r="A35" s="18" t="str">
        <x:v>QA-CW137-RTS-01</x:v>
      </x:c>
      <x:c r="B35" s="18" t="str">
        <x:v>RTS multi-escouades</x:v>
      </x:c>
      <x:c r="C35" s="18" t="str">
        <x:v>Défense en couvert</x:v>
      </x:c>
      <x:c r="D35" s="18" t="str">
        <x:v>Rendre une escouade active défensive sur une vraie case W3 cover</x:v>
      </x:c>
      <x:c r="E35" s="18" t="str">
        <x:v>Groupe vivant sur couvert, pas d'overwatch concurrent</x:v>
      </x:c>
      <x:c r="F35" s="18" t="str">
        <x:v>Dégâts réduits durant exactement deux réactions, une seule décision</x:v>
      </x:c>
      <x:c r="G35" s="100" t="str">
        <x:v>Validé CI ciblée</x:v>
      </x:c>
      <x:c r="H35" s="18" t="str">
        <x:v>commandWarRtsBraceV137</x:v>
      </x:c>
      <x:c r="I35" s="18" t="str">
        <x:v>Test réel navigateur et manette, vidéo de session non fournie</x:v>
      </x:c>
      <x:c r="J35" s="18" t="str">
        <x:v>#29→#34→#36→#37→#38→#40→#41→#43→#44→#45→V137</x:v>
      </x:c>
    </x:row>
    <x:row r="36" ht="42" customHeight="1">
      <x:c r="A36" s="18" t="str">
        <x:v>QA-CW137-RTS-02</x:v>
      </x:c>
      <x:c r="B36" s="18" t="str">
        <x:v>RTS multi-escouades</x:v>
      </x:c>
      <x:c r="C36" s="18" t="str">
        <x:v>Durée et mouvements</x:v>
      </x:c>
      <x:c r="D36" s="18" t="str">
        <x:v>Tester expiration au troisième tour, déplacement, ordre collectif, KO</x:v>
      </x:c>
      <x:c r="E36" s="18" t="str">
        <x:v>Carte avec obstacles, opposition en LOS</x:v>
      </x:c>
      <x:c r="F36" s="18" t="str">
        <x:v>Bonus disparu après départ ou échéance; pas de RAV ou XP créés</x:v>
      </x:c>
      <x:c r="G36" s="100" t="str">
        <x:v>Validé CI ciblée</x:v>
      </x:c>
      <x:c r="H36" s="18" t="str">
        <x:v>commandWarRtsSquadsV133</x:v>
      </x:c>
      <x:c r="I36" s="18" t="str">
        <x:v>Test réel navigateur et manette, vidéo de session non fournie</x:v>
      </x:c>
      <x:c r="J36" s="18" t="str">
        <x:v>#29→#34→#36→#37→#38→#40→#41→#43→#44→#45→V137</x:v>
      </x:c>
    </x:row>
    <x:row r="37" ht="42" customHeight="1">
      <x:c r="A37" s="18" t="str">
        <x:v>QA-CW137-RTS-03</x:v>
      </x:c>
      <x:c r="B37" s="18" t="str">
        <x:v>RTS multi-escouades</x:v>
      </x:c>
      <x:c r="C37" s="18" t="str">
        <x:v>CI auto</x:v>
      </x:c>
      <x:c r="D37" s="18" t="str">
        <x:v>Veille avec cible visible</x:v>
      </x:c>
      <x:c r="E37" s="18" t="str">
        <x:v>Escouade apte, RAV≥1, cible à portée</x:v>
      </x:c>
      <x:c r="F37" s="18" t="str">
        <x:v>Un tir après réaction, 1 RAV et jamais deux</x:v>
      </x:c>
      <x:c r="G37" s="100" t="str">
        <x:v>Validé CI ciblée</x:v>
      </x:c>
      <x:c r="H37" s="18" t="str">
        <x:v>commandWarRtsOverwatchV136</x:v>
      </x:c>
      <x:c r="I37" s="18" t="str">
        <x:v>Navigateur, manette et charge réelle restent nécessaires</x:v>
      </x:c>
      <x:c r="J37" s="18" t="str">
        <x:v>#29→#34→#36→#37→#38→#40→#41→#43→#44→#45→V137</x:v>
      </x:c>
    </x:row>
    <x:row r="38" ht="42" customHeight="1">
      <x:c r="A38" s="18" t="str">
        <x:v>QA-CW137-RTS-04</x:v>
      </x:c>
      <x:c r="B38" s="18" t="str">
        <x:v>RTS multi-escouades</x:v>
      </x:c>
      <x:c r="C38" s="18" t="str">
        <x:v>CI auto</x:v>
      </x:c>
      <x:c r="D38" s="18" t="str">
        <x:v>Veille sans cible</x:v>
      </x:c>
      <x:c r="E38" s="18" t="str">
        <x:v>Ennemi hors portée ou caché</x:v>
      </x:c>
      <x:c r="F38" s="18" t="str">
        <x:v>Aucune munition consommée; expiration après 2 ticks</x:v>
      </x:c>
      <x:c r="G38" s="100" t="str">
        <x:v>Validé CI ciblée</x:v>
      </x:c>
      <x:c r="H38" s="18" t="str">
        <x:v>commandWarRtsOverwatchV136</x:v>
      </x:c>
      <x:c r="I38" s="18" t="str">
        <x:v>Navigateur, manette et charge réelle restent nécessaires</x:v>
      </x:c>
      <x:c r="J38" s="18" t="str">
        <x:v>#29→#34→#36→#37→#38→#40→#41→#43→#44→#45→V137</x:v>
      </x:c>
    </x:row>
    <x:row r="39" ht="42" customHeight="1">
      <x:c r="A39" s="18" t="str">
        <x:v>QA-CW137-RTS-05</x:v>
      </x:c>
      <x:c r="B39" s="18" t="str">
        <x:v>RTS multi-escouades</x:v>
      </x:c>
      <x:c r="C39" s="18" t="str">
        <x:v>CI auto</x:v>
      </x:c>
      <x:c r="D39" s="18" t="str">
        <x:v>Annulation déplacement</x:v>
      </x:c>
      <x:c r="E39" s="18" t="str">
        <x:v>Déplacement physique, groupe en rassemblement</x:v>
      </x:c>
      <x:c r="F39" s="18" t="str">
        <x:v>Veille supprimée, aucun tir en mouvement</x:v>
      </x:c>
      <x:c r="G39" s="100" t="str">
        <x:v>Validé CI ciblée</x:v>
      </x:c>
      <x:c r="H39" s="18" t="str">
        <x:v>commandWarRtsRallyV134</x:v>
      </x:c>
      <x:c r="I39" s="18" t="str">
        <x:v>Navigateur, manette et charge réelle restent nécessaires</x:v>
      </x:c>
      <x:c r="J39" s="18" t="str">
        <x:v>#29→#34→#36→#37→#38→#40→#41→#43→#44→#45→V137</x:v>
      </x:c>
    </x:row>
    <x:row r="40" ht="42" customHeight="1">
      <x:c r="A40" s="18" t="str">
        <x:v>QA-CW137-RTS-06</x:v>
      </x:c>
      <x:c r="B40" s="18" t="str">
        <x:v>RTS multi-escouades</x:v>
      </x:c>
      <x:c r="C40" s="18" t="str">
        <x:v>Régression CI</x:v>
      </x:c>
      <x:c r="D40" s="18" t="str">
        <x:v>24 contrats W3</x:v>
      </x:c>
      <x:c r="E40" s="18" t="str">
        <x:v>24 ID/12 maps, budgets, 72 objectifs</x:v>
      </x:c>
      <x:c r="F40" s="18" t="str">
        <x:v>Ralliement, suppression, escortes encore possibles</x:v>
      </x:c>
      <x:c r="G40" s="100" t="str">
        <x:v>Validé CI ciblée</x:v>
      </x:c>
      <x:c r="H40" s="18" t="str">
        <x:v>auditWarRtsSquadsV133</x:v>
      </x:c>
      <x:c r="I40" s="18" t="str">
        <x:v>Navigateur, manette et charge réelle restent nécessaires</x:v>
      </x:c>
      <x:c r="J40" s="18" t="str">
        <x:v>#29→#34→#36→#37→#38→#40→#41→#43→#44→#45→V137</x:v>
      </x:c>
    </x:row>
    <x:row r="41" ht="42" customHeight="1">
      <x:c r="A41" s="18" t="str">
        <x:v>QA-CW137-RTS-07</x:v>
      </x:c>
      <x:c r="B41" s="18" t="str">
        <x:v>RTS multi-escouades</x:v>
      </x:c>
      <x:c r="C41" s="18" t="str">
        <x:v>QA manuelle</x:v>
      </x:c>
      <x:c r="D41" s="18" t="str">
        <x:v>Ordres sur carte</x:v>
      </x:c>
      <x:c r="E41" s="18" t="str">
        <x:v>Menu veille/suppression/attente + manette</x:v>
      </x:c>
      <x:c r="F41" s="18" t="str">
        <x:v>Bon bouton et représentation tirs/couvert</x:v>
      </x:c>
      <x:c r="G41" s="103" t="str">
        <x:v>À exécuter manuellement</x:v>
      </x:c>
      <x:c r="H41" s="18" t="str">
        <x:v>ClanWarRtsSquadsV133.tsx</x:v>
      </x:c>
      <x:c r="I41" s="18" t="str">
        <x:v>Aucune preuve visuelle/serveur fournie</x:v>
      </x:c>
      <x:c r="J41" s="18" t="str">
        <x:v>#29→#34→#36→#37→#38→#40→#41→#43→#44→#45→V137</x:v>
      </x:c>
    </x:row>
    <x:row r="42" ht="42" customHeight="1">
      <x:c r="A42" s="18" t="str">
        <x:v>QA-CW137-RTS-08</x:v>
      </x:c>
      <x:c r="B42" s="18" t="str">
        <x:v>RTS multi-escouades</x:v>
      </x:c>
      <x:c r="C42" s="18" t="str">
        <x:v>QA manuelle</x:v>
      </x:c>
      <x:c r="D42" s="18" t="str">
        <x:v>Congestion des formations</x:v>
      </x:c>
      <x:c r="E42" s="18" t="str">
        <x:v>4 escouades, portes sans courant, grille W3</x:v>
      </x:c>
      <x:c r="F42" s="18" t="str">
        <x:v>Aucune superposition ni téléportation</x:v>
      </x:c>
      <x:c r="G42" s="103" t="str">
        <x:v>À exécuter manuellement</x:v>
      </x:c>
      <x:c r="H42" s="18" t="str">
        <x:v>planWarRtsRallyV134</x:v>
      </x:c>
      <x:c r="I42" s="18" t="str">
        <x:v>Aucune preuve visuelle/serveur fournie</x:v>
      </x:c>
      <x:c r="J42" s="18" t="str">
        <x:v>#29→#34→#36→#37→#38→#40→#41→#43→#44→#45→V137</x:v>
      </x:c>
    </x:row>
    <x:row r="43" ht="42" customHeight="1">
      <x:c r="A43" s="18" t="str">
        <x:v>QA-CW137-RTS-09</x:v>
      </x:c>
      <x:c r="B43" s="18" t="str">
        <x:v>RTS multi-escouades</x:v>
      </x:c>
      <x:c r="C43" s="18" t="str">
        <x:v>Lore manuel</x:v>
      </x:c>
      <x:c r="D43" s="18" t="str">
        <x:v>Planètes et lieux</x:v>
      </x:c>
      <x:c r="E43" s="18" t="str">
        <x:v>MAP12 orbital, MAP10 souterrain, Earth WGS84</x:v>
      </x:c>
      <x:c r="F43" s="18" t="str">
        <x:v>Pas de ville Terre sur mondes alien</x:v>
      </x:c>
      <x:c r="G43" s="103" t="str">
        <x:v>À exécuter manuellement</x:v>
      </x:c>
      <x:c r="H43" s="18" t="str">
        <x:v>auditWarSourceMapsV128</x:v>
      </x:c>
      <x:c r="I43" s="18" t="str">
        <x:v>Aucune preuve visuelle/serveur fournie</x:v>
      </x:c>
      <x:c r="J43" s="18" t="str">
        <x:v>#29→#34→#36→#37→#38→#40→#41→#43→#44→#45→V137</x:v>
      </x:c>
    </x:row>
    <x:row r="44" ht="42" customHeight="1">
      <x:c r="A44" s="18" t="str">
        <x:v>QA-CW137-RTS-10</x:v>
      </x:c>
      <x:c r="B44" s="18" t="str">
        <x:v>RTS multi-escouades</x:v>
      </x:c>
      <x:c r="C44" s="18" t="str">
        <x:v>QA réseau</x:v>
      </x:c>
      <x:c r="D44" s="18" t="str">
        <x:v>Fog of war PvP</x:v>
      </x:c>
      <x:c r="E44" s="18" t="str">
        <x:v>Deux clients et serveur autoritaire</x:v>
      </x:c>
      <x:c r="F44" s="18" t="str">
        <x:v>Aucun ID invisible dans snapshot de client</x:v>
      </x:c>
      <x:c r="G44" s="103" t="str">
        <x:v>À exécuter manuellement</x:v>
      </x:c>
      <x:c r="H44" s="18" t="str">
        <x:v>rts_server_TODO</x:v>
      </x:c>
      <x:c r="I44" s="18" t="str">
        <x:v>Aucune preuve visuelle/serveur fournie</x:v>
      </x:c>
      <x:c r="J44" s="18" t="str">
        <x:v>#29→#34→#36→#37→#38→#40→#41→#43→#44→#45→V137</x:v>
      </x:c>
    </x:row>
  </x:sheetData>
  <x:mergeCells>
    <x:mergeCell ref="A1:J1"/>
    <x:mergeCell ref="A2:J2"/>
  </x:mergeCells>
  <x:dataValidations count="1">
    <x:dataValidation type="list" sqref="G5:G44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5" hidden="0" customWidth="1"/>
    <x:col min="5" max="5" width="41" hidden="0" customWidth="1"/>
    <x:col min="6" max="6" width="40" hidden="0" customWidth="1"/>
    <x:col min="7" max="7" width="40" hidden="0" customWidth="1"/>
    <x:col min="8" max="8" width="21" hidden="0" customWidth="1"/>
    <x:col min="9" max="9" width="42" hidden="0" customWidth="1"/>
  </x:cols>
  <x:sheetData>
    <x:row r="1" ht="36" customHeight="1">
      <x:c r="A1" s="92" t="str">
        <x:v>V137 — MATRICE D'INTERACTIONS ENTRE MODES (20 CONTRATS)</x:v>
      </x:c>
      <x:c r="B1" s="92"/>
      <x:c r="C1" s="92"/>
      <x:c r="D1" s="92"/>
      <x:c r="E1" s="92"/>
      <x:c r="F1" s="92"/>
      <x:c r="G1" s="92"/>
      <x:c r="H1" s="92"/>
      <x:c r="I1" s="92"/>
    </x:row>
    <x:row r="2" ht="26" customHeight="1">
      <x:c r="A2" s="94" t="str">
        <x:v>16 contrats V136 préservés et quatre nouveaux garde-fous V137 ; aucune conquête V85 implicite.</x:v>
      </x:c>
      <x:c r="B2" s="94"/>
      <x:c r="C2" s="94"/>
      <x:c r="D2" s="94"/>
      <x:c r="E2" s="94"/>
      <x:c r="F2" s="94"/>
      <x:c r="G2" s="94"/>
      <x:c r="H2" s="94"/>
      <x:c r="I2" s="94"/>
    </x:row>
    <x:row r="4" ht="30" customHeight="1">
      <x:c r="A4" s="97" t="str">
        <x:v>ID</x:v>
      </x:c>
      <x:c r="B4" s="97" t="str">
        <x:v>Source</x:v>
      </x:c>
      <x:c r="C4" s="97" t="str">
        <x:v>Destination</x:v>
      </x:c>
      <x:c r="D4" s="97" t="str">
        <x:v>Donnée commune</x:v>
      </x:c>
      <x:c r="E4" s="97" t="str">
        <x:v>Événement / contrainte</x:v>
      </x:c>
      <x:c r="F4" s="97" t="str">
        <x:v>Preuve exigée</x:v>
      </x:c>
      <x:c r="G4" s="97" t="str">
        <x:v>Invariant</x:v>
      </x:c>
      <x:c r="H4" s="97" t="str">
        <x:v>Statut</x:v>
      </x:c>
      <x:c r="I4" s="97" t="str">
        <x:v>Code &amp; PR</x:v>
      </x:c>
    </x:row>
    <x:row r="5" ht="44" customHeight="1">
      <x:c r="A5" s="18" t="str">
        <x:v>INT-CW137-001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4" customHeight="1">
      <x:c r="A6" s="18" t="str">
        <x:v>INT-CW137-002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4" customHeight="1">
      <x:c r="A7" s="18" t="str">
        <x:v>INT-CW137-003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4" customHeight="1">
      <x:c r="A8" s="18" t="str">
        <x:v>INT-CW137-004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4" customHeight="1">
      <x:c r="A9" s="18" t="str">
        <x:v>INT-CW137-005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4" customHeight="1">
      <x:c r="A10" s="18" t="str">
        <x:v>INT-CW137-006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4" customHeight="1">
      <x:c r="A11" s="18" t="str">
        <x:v>INT-CW137-007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4" customHeight="1">
      <x:c r="A12" s="18" t="str">
        <x:v>INT-CW137-008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4" customHeight="1">
      <x:c r="A13" s="18" t="str">
        <x:v>INT-CW137-009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4" customHeight="1">
      <x:c r="A14" s="18" t="str">
        <x:v>INT-CW137-010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4" customHeight="1">
      <x:c r="A15" s="18" t="str">
        <x:v>INT-CW137-011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4" customHeight="1">
      <x:c r="A16" s="18" t="str">
        <x:v>INT-CW137-012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4" customHeight="1">
      <x:c r="A17" s="18" t="str">
        <x:v>INT-CW137-013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4" customHeight="1">
      <x:c r="A18" s="18" t="str">
        <x:v>INT-CW137-014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4" customHeight="1">
      <x:c r="A19" s="18" t="str">
        <x:v>INT-CW137-015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4" customHeight="1">
      <x:c r="A20" s="18" t="str">
        <x:v>INT-CW137-016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4" customHeight="1">
      <x:c r="A21" s="18" t="str">
        <x:v>INT-CW137-017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4" customHeight="1">
      <x:c r="A22" s="18" t="str">
        <x:v>INT-CW137-018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4" customHeight="1">
      <x:c r="A23" s="18" t="str">
        <x:v>INT-CW137-019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4" customHeight="1">
      <x:c r="A24" s="18" t="str">
        <x:v>INT-CW137-020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36" hidden="0" customWidth="1"/>
    <x:col min="4" max="4" width="30" hidden="0" customWidth="1"/>
    <x:col min="5" max="5" width="38" hidden="0" customWidth="1"/>
    <x:col min="6" max="6" width="38" hidden="0" customWidth="1"/>
    <x:col min="7" max="7" width="16" hidden="0" customWidth="1"/>
    <x:col min="8" max="8" width="16" hidden="0" customWidth="1"/>
  </x:cols>
  <x:sheetData>
    <x:row r="1" ht="38" customHeight="1">
      <x:c r="A1" s="104" t="str">
        <x:v>YAUTJA · GUERRE DES CLANS — PILOTAGE V137</x:v>
      </x:c>
      <x:c r="B1" s="104"/>
      <x:c r="C1" s="104"/>
      <x:c r="D1" s="104"/>
      <x:c r="E1" s="104"/>
      <x:c r="F1" s="104"/>
      <x:c r="G1" s="104"/>
      <x:c r="H1" s="104"/>
    </x:row>
    <x:row r="2" ht="30" customHeight="1">
      <x:c r="A2" s="94" t="str">
        <x:v>31 octobre 2026 · PR #46 · 70/70 tests Node + TypeScript + ESLint verts. CI ciblée ≠ jeu final ni homologation filmique 1:1.</x:v>
      </x:c>
      <x:c r="B2" s="94"/>
      <x:c r="C2" s="94"/>
      <x:c r="D2" s="94"/>
      <x:c r="E2" s="94"/>
      <x:c r="F2" s="94"/>
      <x:c r="G2" s="94"/>
      <x:c r="H2" s="94"/>
    </x:row>
    <x:row r="4" ht="32" customHeight="1">
      <x:c r="A4" s="97" t="str">
        <x:v>Mode de jeu</x:v>
      </x:c>
      <x:c r="B4" s="97" t="str">
        <x:v>Exigences V137</x:v>
      </x:c>
      <x:c r="C4" s="97" t="str">
        <x:v>CI ciblée</x:v>
      </x:c>
      <x:c r="D4" s="97" t="str">
        <x:v>Partiel prototype</x:v>
      </x:c>
      <x:c r="E4" s="97" t="str">
        <x:v>À développer</x:v>
      </x:c>
      <x:c r="F4" s="97" t="str">
        <x:v>CI en cours</x:v>
      </x:c>
    </x:row>
    <x:row r="5" ht="28" customHeight="1">
      <x:c r="A5" t="str">
        <x:v>Assaut latéral</x:v>
      </x:c>
      <x:c r="B5" t="n">
        <x:f>COUNTA('ASSAUT_V137'!$A$5:$A$17)</x:f>
        <x:v>13</x:v>
      </x:c>
      <x:c r="C5" t="n">
        <x:f>COUNTIF('ASSAUT_V137'!$J$5:$J$17,"Validé CI ciblée")</x:f>
        <x:v>5</x:v>
      </x:c>
      <x:c r="D5" t="n">
        <x:f>COUNTIF('ASSAUT_V137'!$J$5:$J$17,"Partiel — prototype")</x:f>
        <x:v>2</x:v>
      </x:c>
      <x:c r="E5" t="n">
        <x:f>COUNTIF('ASSAUT_V137'!$J$5:$J$17,"À développer")</x:f>
        <x:v>6</x:v>
      </x:c>
      <x:c r="F5" t="n">
        <x:f>COUNTIF('ASSAUT_V137'!$J$5:$J$17,"CI en cours")</x:f>
        <x:v>0</x:v>
      </x:c>
    </x:row>
    <x:row r="6" ht="28" customHeight="1">
      <x:c r="A6" t="str">
        <x:v>Outer Ops</x:v>
      </x:c>
      <x:c r="B6" t="n">
        <x:f>COUNTA('OUTER_OPS_V137'!$A$5:$A$17)</x:f>
        <x:v>13</x:v>
      </x:c>
      <x:c r="C6" t="n">
        <x:f>COUNTIF('OUTER_OPS_V137'!$J$5:$J$17,"Validé CI ciblée")</x:f>
        <x:v>6</x:v>
      </x:c>
      <x:c r="D6" t="n">
        <x:f>COUNTIF('OUTER_OPS_V137'!$J$5:$J$17,"Partiel — prototype")</x:f>
        <x:v>3</x:v>
      </x:c>
      <x:c r="E6" t="n">
        <x:f>COUNTIF('OUTER_OPS_V137'!$J$5:$J$17,"À développer")</x:f>
        <x:v>4</x:v>
      </x:c>
      <x:c r="F6" t="n">
        <x:f>COUNTIF('OUTER_OPS_V137'!$J$5:$J$17,"CI en cours")</x:f>
        <x:v>0</x:v>
      </x:c>
    </x:row>
    <x:row r="7" ht="28" customHeight="1">
      <x:c r="A7" t="str">
        <x:v>Infiltration</x:v>
      </x:c>
      <x:c r="B7" t="n">
        <x:f>COUNTA('INFILTRATION_V137'!$A$5:$A$17)</x:f>
        <x:v>13</x:v>
      </x:c>
      <x:c r="C7" t="n">
        <x:f>COUNTIF('INFILTRATION_V137'!$J$5:$J$17,"Validé CI ciblée")</x:f>
        <x:v>7</x:v>
      </x:c>
      <x:c r="D7" t="n">
        <x:f>COUNTIF('INFILTRATION_V137'!$J$5:$J$17,"Partiel — prototype")</x:f>
        <x:v>1</x:v>
      </x:c>
      <x:c r="E7" t="n">
        <x:f>COUNTIF('INFILTRATION_V137'!$J$5:$J$17,"À développer")</x:f>
        <x:v>5</x:v>
      </x:c>
      <x:c r="F7" t="n">
        <x:f>COUNTIF('INFILTRATION_V137'!$J$5:$J$17,"CI en cours")</x:f>
        <x:v>0</x:v>
      </x:c>
    </x:row>
    <x:row r="8" ht="28" customHeight="1">
      <x:c r="A8" t="str">
        <x:v>RTS multi-escouades</x:v>
      </x:c>
      <x:c r="B8" t="n">
        <x:f>COUNTA('RTS_V137'!$A$5:$A$17)</x:f>
        <x:v>13</x:v>
      </x:c>
      <x:c r="C8" t="n">
        <x:f>COUNTIF('RTS_V137'!$J$5:$J$17,"Validé CI ciblée")</x:f>
        <x:v>8</x:v>
      </x:c>
      <x:c r="D8" t="n">
        <x:f>COUNTIF('RTS_V137'!$J$5:$J$17,"Partiel — prototype")</x:f>
        <x:v>2</x:v>
      </x:c>
      <x:c r="E8" t="n">
        <x:f>COUNTIF('RTS_V137'!$J$5:$J$17,"À développer")</x:f>
        <x:v>3</x:v>
      </x:c>
      <x:c r="F8" t="n">
        <x:f>COUNTIF('RTS_V137'!$J$5:$J$17,"CI en cours")</x:f>
        <x:v>0</x:v>
      </x:c>
    </x:row>
    <x:row r="9" ht="26" customHeight="1">
      <x:c r="A9" s="106" t="str">
        <x:v>TOTAL</x:v>
      </x:c>
      <x:c r="B9" s="106" t="n">
        <x:f>SUM(B5:B8)</x:f>
        <x:v>52</x:v>
      </x:c>
      <x:c r="C9" s="106" t="n">
        <x:f>SUM(C5:C8)</x:f>
        <x:v>26</x:v>
      </x:c>
      <x:c r="D9" s="106" t="n">
        <x:f>SUM(D5:D8)</x:f>
        <x:v>8</x:v>
      </x:c>
      <x:c r="E9" s="106" t="n">
        <x:f>SUM(E5:E8)</x:f>
        <x:v>18</x:v>
      </x:c>
      <x:c r="F9" s="106" t="n">
        <x:f>SUM(F5:F8)</x:f>
        <x:v>0</x:v>
      </x:c>
    </x:row>
    <x:row r="13" ht="32" customHeight="1">
      <x:c r="A13" s="97" t="str">
        <x:v>QUALITÉ</x:v>
      </x:c>
      <x:c r="B13" s="97" t="str">
        <x:v>Valeur</x:v>
      </x:c>
      <x:c r="C13" s="97" t="str">
        <x:v>Preuve</x:v>
      </x:c>
      <x:c r="D13" s="97" t="str">
        <x:v>État</x:v>
      </x:c>
      <x:c r="E13" s="97" t="str">
        <x:v>Dépendances</x:v>
      </x:c>
      <x:c r="F13" s="97" t="str">
        <x:v>Travail restant</x:v>
      </x:c>
    </x:row>
    <x:row r="14" ht="42" customHeight="1">
      <x:c r="A14" s="18" t="str">
        <x:v>Contrôles QA V137</x:v>
      </x:c>
      <x:c r="B14" s="18" t="n">
        <x:f>COUNTA('QA_V137'!$A$5:$A$44)</x:f>
        <x:v>40</x:v>
      </x:c>
      <x:c r="C14" s="18" t="str">
        <x:v>8 nouveaux + 32 contrôles hérités V136</x:v>
      </x:c>
      <x:c r="D14" s="18" t="str">
        <x:v>Automatisé ou manuel, sans confusion</x:v>
      </x:c>
      <x:c r="E14" s="18" t="str">
        <x:v>#29→#34→#36→#37→#38→#40→#41→#43→#44→#45→V137</x:v>
      </x:c>
      <x:c r="F14" s="18" t="str">
        <x:v>Sessions navigateur et manette</x:v>
      </x:c>
    </x:row>
    <x:row r="15" ht="42" customHeight="1">
      <x:c r="A15" s="18" t="str">
        <x:v>QA validée en CI</x:v>
      </x:c>
      <x:c r="B15" s="18" t="n">
        <x:f>COUNTIF('QA_V137'!$G$5:$G$44,"Validé CI ciblée")</x:f>
        <x:v>24</x:v>
      </x:c>
      <x:c r="C15" s="18" t="str">
        <x:v>Seulement lorsque le test source a réellement tourné</x:v>
      </x:c>
      <x:c r="D15" s="18" t="str">
        <x:v>Succès de tests automatisés, pas validation manette/navigateur.</x:v>
      </x:c>
      <x:c r="E15" s="18" t="str">
        <x:v>CI spécifique V137</x:v>
      </x:c>
      <x:c r="F15" s="18" t="str">
        <x:v>Capture gameplay et exécution continue</x:v>
      </x:c>
    </x:row>
    <x:row r="16" ht="42" customHeight="1">
      <x:c r="A16" s="18" t="str">
        <x:v>QA CI en attente</x:v>
      </x:c>
      <x:c r="B16" s="18" t="n">
        <x:f>COUNTIF('QA_V137'!$G$5:$G$44,"CI en cours")</x:f>
        <x:v>0</x:v>
      </x:c>
      <x:c r="C16" s="18" t="str">
        <x:v>Les huit nouveaux contrôles V137 ont été exécutés ; aucun n'est en attente de CI.</x:v>
      </x:c>
      <x:c r="D16" s="18" t="str">
        <x:v>À valider sur commit final</x:v>
      </x:c>
      <x:c r="E16" s="18" t="str">
        <x:v>GitHub Actions</x:v>
      </x:c>
      <x:c r="F16" s="18" t="str">
        <x:v>Ne pas déclarer succès avant CI</x:v>
      </x:c>
    </x:row>
    <x:row r="17" ht="42" customHeight="1">
      <x:c r="A17" s="18" t="str">
        <x:v>Contrats inter-modes</x:v>
      </x:c>
      <x:c r="B17" s="18" t="n">
        <x:f>COUNTA('CROISEMENTS_V137'!$A$5:$A$24)</x:f>
        <x:v>20</x:v>
      </x:c>
      <x:c r="C17" s="18" t="str">
        <x:v>16 contrats V136 conservés + 4 nouveaux</x:v>
      </x:c>
      <x:c r="D17" s="18" t="str">
        <x:v>Sans conquête territoriale automatique</x:v>
      </x:c>
      <x:c r="E17" s="18" t="str">
        <x:v>Registre de scènes V115/V133</x:v>
      </x:c>
      <x:c r="F17" s="18" t="str">
        <x:v>QA synchronisation et persistance</x:v>
      </x:c>
    </x:row>
    <x:row r="18">
      <x:c r="A18" s="18"/>
      <x:c r="B18" s="18"/>
      <x:c r="C18" s="18"/>
      <x:c r="D18" s="18"/>
      <x:c r="E18" s="18"/>
      <x:c r="F18" s="18"/>
    </x:row>
    <x:row r="19" ht="32" customHeight="1">
      <x:c r="A19" s="97" t="str">
        <x:v>CATALOGUE HÉRITÉ</x:v>
      </x:c>
      <x:c r="B19" s="97" t="str">
        <x:v>Volume</x:v>
      </x:c>
      <x:c r="C19" s="97" t="str">
        <x:v>Nature</x:v>
      </x:c>
      <x:c r="D19" s="97" t="str">
        <x:v>Source</x:v>
      </x:c>
      <x:c r="E19" s="97" t="str">
        <x:v>État</x:v>
      </x:c>
      <x:c r="F19" s="97" t="str">
        <x:v>Reste à réaliser</x:v>
      </x:c>
    </x:row>
    <x:row r="20" ht="43" customHeight="1">
      <x:c r="A20" s="18" t="str">
        <x:v>Variantes de missions</x:v>
      </x:c>
      <x:c r="B20" s="18" t="n">
        <x:v>1200</x:v>
      </x:c>
      <x:c r="C20" s="18" t="str">
        <x:v>Fiches design, pas 1 200 niveaux</x:v>
      </x:c>
      <x:c r="D20" s="18" t="str">
        <x:v>PR #34</x:v>
      </x:c>
      <x:c r="E20" s="18" t="str">
        <x:v>Design-only</x:v>
      </x:c>
      <x:c r="F20" s="18" t="str">
        <x:v>Implémentation et QA physique de chaque scénario</x:v>
      </x:c>
    </x:row>
    <x:row r="21" ht="43" customHeight="1">
      <x:c r="A21" s="18" t="str">
        <x:v>Scénarios RTS W3</x:v>
      </x:c>
      <x:c r="B21" s="18" t="n">
        <x:v>24</x:v>
      </x:c>
      <x:c r="C21" s="18" t="str">
        <x:v>Dossiers V6 en prototype multi-escouades</x:v>
      </x:c>
      <x:c r="D21" s="18" t="str">
        <x:v>PR #40/#43</x:v>
      </x:c>
      <x:c r="E21" s="18" t="str">
        <x:v>Partiel — prototype</x:v>
      </x:c>
      <x:c r="F21" s="18" t="str">
        <x:v>Batailles complètes et équilibre</x:v>
      </x:c>
    </x:row>
    <x:row r="22" ht="43" customHeight="1">
      <x:c r="A22" s="18" t="str">
        <x:v>Cartes tactiques W3</x:v>
      </x:c>
      <x:c r="B22" s="18" t="n">
        <x:v>12</x:v>
      </x:c>
      <x:c r="C22" s="18" t="str">
        <x:v>Topologies source-guide</x:v>
      </x:c>
      <x:c r="D22" s="18" t="str">
        <x:v>PR #38</x:v>
      </x:c>
      <x:c r="E22" s="18" t="str">
        <x:v>Partiel — prototype</x:v>
      </x:c>
      <x:c r="F22" s="18" t="str">
        <x:v>Authored scenes et assets 1:1</x:v>
      </x:c>
    </x:row>
    <x:row r="23" ht="43" customHeight="1">
      <x:c r="A23" s="18" t="str">
        <x:v>Missions W5</x:v>
      </x:c>
      <x:c r="B23" s="18" t="n">
        <x:v>36</x:v>
      </x:c>
      <x:c r="C23" s="18" t="str">
        <x:v>Dossiers scénarisés</x:v>
      </x:c>
      <x:c r="D23" s="18" t="str">
        <x:v>PR #29</x:v>
      </x:c>
      <x:c r="E23" s="18" t="str">
        <x:v>Design-only</x:v>
      </x:c>
      <x:c r="F23" s="18" t="str">
        <x:v>Level design et conduite des PNJ</x:v>
      </x:c>
    </x:row>
    <x:row r="25">
      <x:c r="A25" t="str">
        <x:v>Branch source</x:v>
      </x:c>
      <x:c r="B25" t="str">
        <x:v>https://github.com/darknigthmare/yautja-la-longue-chasse/tree/feat/v137-clan-war-four-modes-20261031</x:v>
      </x:c>
    </x:row>
    <x:row r="27" ht="34" customHeight="1">
      <x:c r="A27" s="109" t="str">
        <x:v>RÈGLE LORE : les mécanismes V137 sont originaux pour le jeu. N'attribuer ni leur portée, ni leurs ressources ni leurs délais au canon film/comics/PHG.</x:v>
      </x:c>
      <x:c r="B27" s="109"/>
      <x:c r="C27" s="109"/>
      <x:c r="D27" s="109"/>
      <x:c r="E27" s="109"/>
      <x:c r="F27" s="109"/>
      <x:c r="G27" s="109"/>
      <x:c r="H27" s="109"/>
    </x:row>
    <x:row r="28" ht="34" customHeight="1">
      <x:c r="A28" s="109" t="str">
        <x:v>V137 : extraction vivante, halte logistique, déplacements vers couvert, posture défensive W3. Aucun gain de campagne V85 ou multijoueur serveur livré.</x:v>
      </x:c>
      <x:c r="B28" s="109"/>
      <x:c r="C28" s="109"/>
      <x:c r="D28" s="109"/>
      <x:c r="E28" s="109"/>
      <x:c r="F28" s="109"/>
      <x:c r="G28" s="109"/>
      <x:c r="H28" s="109"/>
    </x:row>
    <x:row r="30" ht="23" customHeight="1">
      <x:c r="A30" s="111" t="str">
        <x:v>Preuve de CI : https://github.com/darknigthmare/yautja-la-longue-chasse/actions/runs/41190458995</x:v>
      </x:c>
      <x:c r="B30" s="111"/>
      <x:c r="C30" s="111"/>
      <x:c r="D30" s="111"/>
      <x:c r="E30" s="111"/>
      <x:c r="F30" s="111"/>
      <x:c r="G30" s="111"/>
      <x:c r="H30" s="111"/>
    </x:row>
  </x:sheetData>
  <x:mergeCells>
    <x:mergeCell ref="A1:H1"/>
    <x:mergeCell ref="A2:H2"/>
    <x:mergeCell ref="B25:H25"/>
    <x:mergeCell ref="A27:H27"/>
    <x:mergeCell ref="A28:H28"/>
    <x:mergeCell ref="A30:H30"/>
  </x:mergeCells>
  <x:pageMargins left="0.7" right="0.7" top="0.75" bottom="0.75" header="0.3" footer="0.3"/>
  <x:drawing xmlns:r="http://schemas.openxmlformats.org/officeDocument/2006/relationships" r:id="R4bfc78c96a1946da"/>
</x:worksheet>
</file>

<file path=xl/worksheets/sheet3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ASSAUT LATÉRAL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CW138-ASS-001</x:v>
      </x:c>
      <x:c r="B5" s="119" t="str">
        <x:v>Assaut latéral</x:v>
      </x:c>
      <x:c r="C5" s="119" t="str">
        <x:v>Percée tactique V138</x:v>
      </x:c>
      <x:c r="D5" s="119" t="str">
        <x:v>Progression ciblée d'un groupe latéral</x:v>
      </x:c>
      <x:c r="E5" s="119" t="str">
        <x:v>V6 même source; escouade réellement déployée et vivante, AP≥12, non tenue ni extraite</x:v>
      </x:c>
      <x:c r="F5" s="119" t="str">
        <x:v>Avance ≤5 unités et s'arrête avant rival physique ou rempart adverse; une seule percée/équipe</x:v>
      </x:c>
      <x:c r="G5" s="119" t="str">
        <x:v>Rival au contact, 11 AP, unité hors combat, tenue active, second ordre : aucun débit</x:v>
      </x:c>
      <x:c r="H5" s="119" t="str">
        <x:v>commandWarAssaultSurgeV138</x:v>
      </x:c>
      <x:c r="I5" s="119" t="str">
        <x:v>P0</x:v>
      </x:c>
      <x:c r="J5" s="133" t="str">
        <x:v>Validé CI ciblée</x:v>
      </x:c>
      <x:c r="K5" s="119" t="str">
        <x:v>Cadence latérale propre au jeu, ni déplacement canonique ni arme inventée</x:v>
      </x:c>
      <x:c r="L5" s="119" t="str">
        <x:v>Animation de percée, IA de contre-attaque, échelles et couloirs réels 1:1</x:v>
      </x:c>
      <x:c r="M5" s="119" t="str">
        <x:v>QA-CW138-ASS-01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CW138-ASS-002</x:v>
      </x:c>
      <x:c r="B6" s="18" t="str">
        <x:v>Assaut latéral</x:v>
      </x:c>
      <x:c r="C6" s="18" t="str">
        <x:v>Extraction physique</x:v>
      </x:c>
      <x:c r="D6" s="18" t="str">
        <x:v>Retrait vivant d'une formation latérale</x:v>
      </x:c>
      <x:c r="E6" s="18" t="str">
        <x:v>Équipe V6 déployée, encore en vie, réellement revenue à x≤18, 10 AP</x:v>
      </x:c>
      <x:c r="F6" s="18" t="str">
        <x:v>L'acteur quitte le champ; son ID reste réservé, aucun retour gratuit ni blessure artificielle</x:v>
      </x:c>
      <x:c r="G6" s="18" t="str">
        <x:v>Hors zone, équipe KO, non déployée ou AP&lt;10: état strictement inchangé; archive forgée refusée</x:v>
      </x:c>
      <x:c r="H6" s="18" t="str">
        <x:v>withdrawWarAssaultSquadV137</x:v>
      </x:c>
      <x:c r="I6" s="18" t="str">
        <x:v>P0</x:v>
      </x:c>
      <x:c r="J6" s="121" t="str">
        <x:v>Validé CI ciblée</x:v>
      </x:c>
      <x:c r="K6" s="18" t="str">
        <x:v>Extraction originale de jeu, sans unité ni technologie attribuée aux films</x:v>
      </x:c>
      <x:c r="L6" s="18" t="str">
        <x:v>QA navigateur de reprise, indication visuelle du retrait et essais manette</x:v>
      </x:c>
      <x:c r="M6" s="18" t="str">
        <x:v>QA-CW138-ASS-02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CW138-ASS-003</x:v>
      </x:c>
      <x:c r="B7" s="18" t="str">
        <x:v>Assaut latéral</x:v>
      </x:c>
      <x:c r="C7" s="18" t="str">
        <x:v>Tenue du bastion</x:v>
      </x:c>
      <x:c r="D7" s="18" t="str">
        <x:v>Ordre tenir la ligne V136</x:v>
      </x:c>
      <x:c r="E7" s="18" t="str">
        <x:v>Équipe V6 engagée vivante, x≤25, 15 AP</x:v>
      </x:c>
      <x:c r="F7" s="18" t="str">
        <x:v>Bloque avance auto exactement 3 tours; tir à portée conservé</x:v>
      </x:c>
      <x:c r="G7" s="18" t="str">
        <x:v>Une fois/équipe, hors zone ou AP&lt;15 : refus sans coût</x:v>
      </x:c>
      <x:c r="H7" s="18" t="str">
        <x:v>orderWarAssaultHoldV136</x:v>
      </x:c>
      <x:c r="I7" s="18" t="str">
        <x:v>P0</x:v>
      </x:c>
      <x:c r="J7" s="121" t="str">
        <x:v>Validé CI ciblée</x:v>
      </x:c>
      <x:c r="K7" s="18" t="str">
        <x:v>Ordre militaire propre au jeu</x:v>
      </x:c>
      <x:c r="L7" s="18" t="str">
        <x:v>Test en conditions de horde; infographie de portée</x:v>
      </x:c>
      <x:c r="M7" s="18" t="str">
        <x:v>QA-CW138-ASS-03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CW138-ASS-004</x:v>
      </x:c>
      <x:c r="B8" s="18" t="str">
        <x:v>Assaut latéral</x:v>
      </x:c>
      <x:c r="C8" s="18" t="str">
        <x:v>Protection de base</x:v>
      </x:c>
      <x:c r="D8" s="18" t="str">
        <x:v>Fortification V135</x:v>
      </x:c>
      <x:c r="E8" s="18" t="str">
        <x:v>Équipe déployée x≤18, bastion endommagé, 18 AP</x:v>
      </x:c>
      <x:c r="F8" s="18" t="str">
        <x:v>DEF V6 restaure ≤8 PV; une seule action par détachement</x:v>
      </x:c>
      <x:c r="G8" s="18" t="str">
        <x:v>Bastion intact, équipe perdue ou AP insuffisants refusés</x:v>
      </x:c>
      <x:c r="H8" s="18" t="str">
        <x:v>reinforceWarAssaultLineV135</x:v>
      </x:c>
      <x:c r="I8" s="18" t="str">
        <x:v>P0</x:v>
      </x:c>
      <x:c r="J8" s="121" t="str">
        <x:v>Validé CI ciblée</x:v>
      </x:c>
      <x:c r="K8" s="18" t="str">
        <x:v>Sans technologie filmique inventée</x:v>
      </x:c>
      <x:c r="L8" s="18" t="str">
        <x:v>Animation visible et rétroaction manette</x:v>
      </x:c>
      <x:c r="M8" s="18" t="str">
        <x:v>QA-CW138-ASS-04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CW138-ASS-005</x:v>
      </x:c>
      <x:c r="B9" s="18" t="str">
        <x:v>Assaut latéral</x:v>
      </x:c>
      <x:c r="C9" s="18" t="str">
        <x:v>Déploiement AP</x:v>
      </x:c>
      <x:c r="D9" s="18" t="str">
        <x:v>Renforts payés</x:v>
      </x:c>
      <x:c r="E9" s="18" t="str">
        <x:v>Équipe réservée en V6, assez AP</x:v>
      </x:c>
      <x:c r="F9" s="18" t="str">
        <x:v>Coût AP corrélé PC; arrivée unique; aucun duplicata</x:v>
      </x:c>
      <x:c r="G9" s="18" t="str">
        <x:v>Pas de recrutement fantôme ni débit RAV double</x:v>
      </x:c>
      <x:c r="H9" s="18" t="str">
        <x:v>deployAssaultUnitV115</x:v>
      </x:c>
      <x:c r="I9" s="18" t="str">
        <x:v>P0</x:v>
      </x:c>
      <x:c r="J9" s="121" t="str">
        <x:v>Validé CI ciblée</x:v>
      </x:c>
      <x:c r="K9" s="18" t="str">
        <x:v>Roster source W3-U, scénario original</x:v>
      </x:c>
      <x:c r="L9" s="18" t="str">
        <x:v>Visibilité point d'apparition, formation</x:v>
      </x:c>
      <x:c r="M9" s="18" t="str">
        <x:v>QA-CW138-ASS-05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CW138-ASS-006</x:v>
      </x:c>
      <x:c r="B10" s="18" t="str">
        <x:v>Assaut latéral</x:v>
      </x:c>
      <x:c r="C10" s="18" t="str">
        <x:v>Feu concentré</x:v>
      </x:c>
      <x:c r="D10" s="18" t="str">
        <x:v>Manœuvre V117</x:v>
      </x:c>
      <x:c r="E10" s="18" t="str">
        <x:v>Équipe engagée, cible vivante à distance V6, 20 AP</x:v>
      </x:c>
      <x:c r="F10" s="18" t="str">
        <x:v>Dégâts source ciblés, consommation unique</x:v>
      </x:c>
      <x:c r="G10" s="18" t="str">
        <x:v>Tir hors portée interdit; no ammo exploitable</x:v>
      </x:c>
      <x:c r="H10" s="18" t="str">
        <x:v>issueWarAssaultSpecialV117</x:v>
      </x:c>
      <x:c r="I10" s="18" t="str">
        <x:v>P0</x:v>
      </x:c>
      <x:c r="J10" s="121" t="str">
        <x:v>Validé CI ciblée</x:v>
      </x:c>
      <x:c r="K10" s="18" t="str">
        <x:v>Armes et silhouettes finales à sourcer</x:v>
      </x:c>
      <x:c r="L10" s="18" t="str">
        <x:v>Choix manuel de cible et LOS horizontale</x:v>
      </x:c>
      <x:c r="M10" s="18" t="str">
        <x:v>QA-CW138-ASS-06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CW138-ASS-007</x:v>
      </x:c>
      <x:c r="B11" s="18" t="str">
        <x:v>Assaut latéral</x:v>
      </x:c>
      <x:c r="C11" s="18" t="str">
        <x:v>Front auto</x:v>
      </x:c>
      <x:c r="D11" s="18" t="str">
        <x:v>Progression et riposte</x:v>
      </x:c>
      <x:c r="E11" s="18" t="str">
        <x:v>Bataille ouverte, ticks limités</x:v>
      </x:c>
      <x:c r="F11" s="18" t="str">
        <x:v>Unité monte en pression, base subit dégâts; rapport unique</x:v>
      </x:c>
      <x:c r="G11" s="18" t="str">
        <x:v>Pas de téléportation d'allié ni d'XP de reset</x:v>
      </x:c>
      <x:c r="H11" s="18" t="str">
        <x:v>stepAssaultV115</x:v>
      </x:c>
      <x:c r="I11" s="18" t="str">
        <x:v>P0</x:v>
      </x:c>
      <x:c r="J11" s="122" t="str">
        <x:v>Partiel — prototype</x:v>
      </x:c>
      <x:c r="K11" s="18" t="str">
        <x:v>Mouvement de guerre non tiré des films</x:v>
      </x:c>
      <x:c r="L11" s="18" t="str">
        <x:v>Équilibrer le nombre de vagues et pertes</x:v>
      </x:c>
      <x:c r="M11" s="18" t="str">
        <x:v>QA-CW138-ASS-07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CW138-ASS-008</x:v>
      </x:c>
      <x:c r="B12" s="18" t="str">
        <x:v>Assaut latéral</x:v>
      </x:c>
      <x:c r="C12" s="18" t="str">
        <x:v>Terrain fidèle</x:v>
      </x:c>
      <x:c r="D12" s="18" t="str">
        <x:v>Obstacles latéraux réels</x:v>
      </x:c>
      <x:c r="E12" s="18" t="str">
        <x:v>Biome planète/source W3 associé à la mission</x:v>
      </x:c>
      <x:c r="F12" s="18" t="str">
        <x:v>Collision, relief, plateforme et couvert distincts</x:v>
      </x:c>
      <x:c r="G12" s="18" t="str">
        <x:v>Refuser neige aléatoire sur désert et milieu spatial au sol</x:v>
      </x:c>
      <x:c r="H12" s="18" t="str">
        <x:v>terrain_assault_v136_TODO</x:v>
      </x:c>
      <x:c r="I12" s="18" t="str">
        <x:v>P0</x:v>
      </x:c>
      <x:c r="J12" s="123" t="str">
        <x:v>À développer</x:v>
      </x:c>
      <x:c r="K12" s="18" t="str">
        <x:v>Biome/plans W3, pas de décors de film prouvés</x:v>
      </x:c>
      <x:c r="L12" s="18" t="str">
        <x:v>Tilesets régionaux et collisions progressives</x:v>
      </x:c>
      <x:c r="M12" s="18" t="str">
        <x:v>QA-CW138-ASS-08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CW138-ASS-009</x:v>
      </x:c>
      <x:c r="B13" s="18" t="str">
        <x:v>Assaut latéral</x:v>
      </x:c>
      <x:c r="C13" s="18" t="str">
        <x:v>Vagues ordonnées</x:v>
      </x:c>
      <x:c r="D13" s="18" t="str">
        <x:v>Spawn par type d'ennemi</x:v>
      </x:c>
      <x:c r="E13" s="18" t="str">
        <x:v>Faction adverse, budget PC/RAV, climat</x:v>
      </x:c>
      <x:c r="F13" s="18" t="str">
        <x:v>Patrouilles, flanqueurs et renforts chronométrés</x:v>
      </x:c>
      <x:c r="G13" s="18" t="str">
        <x:v>Ne pas créer soldats gratuits tous les ticks</x:v>
      </x:c>
      <x:c r="H13" s="18" t="str">
        <x:v>waves_assault_v136_TODO</x:v>
      </x:c>
      <x:c r="I13" s="18" t="str">
        <x:v>P0</x:v>
      </x:c>
      <x:c r="J13" s="123" t="str">
        <x:v>À développer</x:v>
      </x:c>
      <x:c r="K13" s="18" t="str">
        <x:v>Races par continuité et territoire réel</x:v>
      </x:c>
      <x:c r="L13" s="18" t="str">
        <x:v>Tables 24 scripts W3 et quotas IA</x:v>
      </x:c>
      <x:c r="M13" s="18" t="str">
        <x:v>QA-CW138-ASS-09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CW138-ASS-010</x:v>
      </x:c>
      <x:c r="B14" s="18" t="str">
        <x:v>Assaut latéral</x:v>
      </x:c>
      <x:c r="C14" s="18" t="str">
        <x:v>Voies tactiques</x:v>
      </x:c>
      <x:c r="D14" s="18" t="str">
        <x:v>Plusieurs hauteurs</x:v>
      </x:c>
      <x:c r="E14" s="18" t="str">
        <x:v>Trame de relief W3 sans téléportation</x:v>
      </x:c>
      <x:c r="F14" s="18" t="str">
        <x:v>Voie haute, basse et passages physiques</x:v>
      </x:c>
      <x:c r="G14" s="18" t="str">
        <x:v>Blocage mur, liquide dangereux et saut incohérent</x:v>
      </x:c>
      <x:c r="H14" s="18" t="str">
        <x:v>lanes_assault_v136_TODO</x:v>
      </x:c>
      <x:c r="I14" s="18" t="str">
        <x:v>P1</x:v>
      </x:c>
      <x:c r="J14" s="123" t="str">
        <x:v>À développer</x:v>
      </x:c>
      <x:c r="K14" s="18" t="str">
        <x:v>Conserver dimensions et accès de la carte</x:v>
      </x:c>
      <x:c r="L14" s="18" t="str">
        <x:v>Pathfinding 2D et passerelles</x:v>
      </x:c>
      <x:c r="M14" s="18" t="str">
        <x:v>QA-CW138-ASS-10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CW138-ASS-011</x:v>
      </x:c>
      <x:c r="B15" s="18" t="str">
        <x:v>Assaut latéral</x:v>
      </x:c>
      <x:c r="C15" s="18" t="str">
        <x:v>Cibles prioritaires</x:v>
      </x:c>
      <x:c r="D15" s="18" t="str">
        <x:v>Ordres défense/attaque</x:v>
      </x:c>
      <x:c r="E15" s="18" t="str">
        <x:v>Renseignement réellement acquis, équipe disponible</x:v>
      </x:c>
      <x:c r="F15" s="18" t="str">
        <x:v>Ordre défense ou focus exécuté sur unité identifiée</x:v>
      </x:c>
      <x:c r="G15" s="18" t="str">
        <x:v>Pas d'omniscience sur troupe cachée</x:v>
      </x:c>
      <x:c r="H15" s="18" t="str">
        <x:v>target_priority_assault_TODO</x:v>
      </x:c>
      <x:c r="I15" s="18" t="str">
        <x:v>P0</x:v>
      </x:c>
      <x:c r="J15" s="122" t="str">
        <x:v>Partiel — prototype</x:v>
      </x:c>
      <x:c r="K15" s="18" t="str">
        <x:v>Honneur de chasse séparé des règles gameplay</x:v>
      </x:c>
      <x:c r="L15" s="18" t="str">
        <x:v>Sélection en temps réel, portée et LOS</x:v>
      </x:c>
      <x:c r="M15" s="18" t="str">
        <x:v>QA-CW138-ASS-11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CW138-ASS-012</x:v>
      </x:c>
      <x:c r="B16" s="18" t="str">
        <x:v>Assaut latéral</x:v>
      </x:c>
      <x:c r="C16" s="18" t="str">
        <x:v>Montures</x:v>
      </x:c>
      <x:c r="D16" s="18" t="str">
        <x:v>Déploiement de bêtes</x:v>
      </x:c>
      <x:c r="E16" s="18" t="str">
        <x:v>Race et équipement compatibles, accès gabarit</x:v>
      </x:c>
      <x:c r="F16" s="18" t="str">
        <x:v>Monture possède identité et collision, possibilité repli</x:v>
      </x:c>
      <x:c r="G16" s="18" t="str">
        <x:v>Aucune monture de biome contradictoire</x:v>
      </x:c>
      <x:c r="H16" s="18" t="str">
        <x:v>mounted_assault_TODO</x:v>
      </x:c>
      <x:c r="I16" s="18" t="str">
        <x:v>P1</x:v>
      </x:c>
      <x:c r="J16" s="123" t="str">
        <x:v>À développer</x:v>
      </x:c>
      <x:c r="K16" s="18" t="str">
        <x:v>Sources montures par film/comic/source</x:v>
      </x:c>
      <x:c r="L16" s="18" t="str">
        <x:v>Sprites indépendants, animation et IA</x:v>
      </x:c>
      <x:c r="M16" s="18" t="str">
        <x:v>QA-CW138-ASS-12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CW138-ASS-013</x:v>
      </x:c>
      <x:c r="B17" s="18" t="str">
        <x:v>Assaut latéral</x:v>
      </x:c>
      <x:c r="C17" s="18" t="str">
        <x:v>Gros adversaires</x:v>
      </x:c>
      <x:c r="D17" s="18" t="str">
        <x:v>Sièges et boss</x:v>
      </x:c>
      <x:c r="E17" s="18" t="str">
        <x:v>Scénario avec présence canon/documentée</x:v>
      </x:c>
      <x:c r="F17" s="18" t="str">
        <x:v>Bastion boss en plusieurs étapes, ciblage de points</x:v>
      </x:c>
      <x:c r="G17" s="18" t="str">
        <x:v>Ne pas injecter monstre sans justification lore</x:v>
      </x:c>
      <x:c r="H17" s="18" t="str">
        <x:v>boss_assault_TODO</x:v>
      </x:c>
      <x:c r="I17" s="18" t="str">
        <x:v>P1</x:v>
      </x:c>
      <x:c r="J17" s="123" t="str">
        <x:v>À développer</x:v>
      </x:c>
      <x:c r="K17" s="18" t="str">
        <x:v>Séparer canonicalité et création originale</x:v>
      </x:c>
      <x:c r="L17" s="18" t="str">
        <x:v>Scripts destructibles/variantes</x:v>
      </x:c>
      <x:c r="M17" s="18" t="str">
        <x:v>QA-CW138-ASS-12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CW138-ASS-014</x:v>
      </x:c>
      <x:c r="B18" s="18" t="str">
        <x:v>Assaut latéral</x:v>
      </x:c>
      <x:c r="C18" s="18" t="str">
        <x:v>Mode réseau</x:v>
      </x:c>
      <x:c r="D18" s="18" t="str">
        <x:v>Coopérations et résultats</x:v>
      </x:c>
      <x:c r="E18" s="18" t="str">
        <x:v>Hôte autoritaire et équipes liées à compte</x:v>
      </x:c>
      <x:c r="F18" s="18" t="str">
        <x:v>Deux joueurs, absence double XP et reçu idempotent</x:v>
      </x:c>
      <x:c r="G18" s="18" t="str">
        <x:v>Client ne peut s'attribuer armée ou ressources</x:v>
      </x:c>
      <x:c r="H18" s="18" t="str">
        <x:v>net_assault_TODO</x:v>
      </x:c>
      <x:c r="I18" s="18" t="str">
        <x:v>P0</x:v>
      </x:c>
      <x:c r="J18" s="123" t="str">
        <x:v>À développer</x:v>
      </x:c>
      <x:c r="K18" s="18" t="str">
        <x:v>Multijoueur original, aucune norme filmique</x:v>
      </x:c>
      <x:c r="L18" s="18" t="str">
        <x:v>Serveur, matchmaking et anti-triche</x:v>
      </x:c>
      <x:c r="M18" s="18" t="str">
        <x:v>QA-CW138-ASS-12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OUTER OPS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CW138-OUT-001</x:v>
      </x:c>
      <x:c r="B5" s="119" t="str">
        <x:v>Outer Ops</x:v>
      </x:c>
      <x:c r="C5" s="119" t="str">
        <x:v>Rapport de route V138</x:v>
      </x:c>
      <x:c r="D5" s="119" t="str">
        <x:v>Bulletin terrain sans omniscience</x:v>
      </x:c>
      <x:c r="E5" s="119" t="str">
        <x:v>Après mi-parcours de l'échéance initiale et avant retour; vraie équipe toujours affectée</x:v>
      </x:c>
      <x:c r="F5" s="119" t="str">
        <x:v>Terrain V6 visible, nombre de passages et membres aptes; échéance et RAV inchangés</x:v>
      </x:c>
      <x:c r="G5" s="119" t="str">
        <x:v>Avant mi-parcours, rappel, demande répétée ou payload falsifié : aucun renseignement gratuit</x:v>
      </x:c>
      <x:c r="H5" s="119" t="str">
        <x:v>requestWarOuterSignalV138</x:v>
      </x:c>
      <x:c r="I5" s="119" t="str">
        <x:v>P0</x:v>
      </x:c>
      <x:c r="J5" s="133" t="str">
        <x:v>Validé CI ciblée</x:v>
      </x:c>
      <x:c r="K5" s="119" t="str">
        <x:v>Rapport opérationnel original; aucune connaissance de garnison cachée ni résultat canonique</x:v>
      </x:c>
      <x:c r="L5" s="119" t="str">
        <x:v>Lecture mobile détaillée des phases, UI de risque et relecture hors écran</x:v>
      </x:c>
      <x:c r="M5" s="119" t="str">
        <x:v>QA-CW138-OUT-01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CW138-OUT-002</x:v>
      </x:c>
      <x:c r="B6" s="18" t="str">
        <x:v>Outer Ops</x:v>
      </x:c>
      <x:c r="C6" s="18" t="str">
        <x:v>Reconnaissance en route</x:v>
      </x:c>
      <x:c r="D6" s="18" t="str">
        <x:v>Halte de terrain +15 secondes</x:v>
      </x:c>
      <x:c r="E6" s="18" t="str">
        <x:v>Mandat recon/escorte en première moitié de sa route; mêmes personnes et passages V6</x:v>
      </x:c>
      <x:c r="F6" s="18" t="str">
        <x:v>Échéance réellement retardée de 15 s; +3 capacité d'exercice au rapport; aucun résultat anticipé</x:v>
      </x:c>
      <x:c r="G6" s="18" t="str">
        <x:v>Aucun exploit de fenêtre de réorientation/ravitaillement; rappel et sauvegarde cohérents</x:v>
      </x:c>
      <x:c r="H6" s="18" t="str">
        <x:v>orderWarOuterReconHaltV137</x:v>
      </x:c>
      <x:c r="I6" s="18" t="str">
        <x:v>P0</x:v>
      </x:c>
      <x:c r="J6" s="121" t="str">
        <x:v>Validé CI ciblée</x:v>
      </x:c>
      <x:c r="K6" s="18" t="str">
        <x:v>Halte inventée pour gameplay; aucune durée de voyage officielle invoquée</x:v>
      </x:c>
      <x:c r="L6" s="18" t="str">
        <x:v>Reprise hors écran, horloge client et QA des rappels</x:v>
      </x:c>
      <x:c r="M6" s="18" t="str">
        <x:v>QA-CW138-OUT-02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CW138-OUT-003</x:v>
      </x:c>
      <x:c r="B7" s="18" t="str">
        <x:v>Outer Ops</x:v>
      </x:c>
      <x:c r="C7" s="18" t="str">
        <x:v>Soutien en route</x:v>
      </x:c>
      <x:c r="D7" s="18" t="str">
        <x:v>Ravitaillement V136 (2 RAV)</x:v>
      </x:c>
      <x:c r="E7" s="18" t="str">
        <x:v>Mandat actif, équipes réellement engagées, avant mi-temps</x:v>
      </x:c>
      <x:c r="F7" s="18" t="str">
        <x:v>+4 puissance d'exercice à résolution; même route/ETA</x:v>
      </x:c>
      <x:c r="G7" s="18" t="str">
        <x:v>Un seul achat; RAV insuffisant, rappel ou délai expiré rejetés</x:v>
      </x:c>
      <x:c r="H7" s="18" t="str">
        <x:v>supplyWarOuterMissionV136</x:v>
      </x:c>
      <x:c r="I7" s="18" t="str">
        <x:v>P0</x:v>
      </x:c>
      <x:c r="J7" s="121" t="str">
        <x:v>Validé CI ciblée</x:v>
      </x:c>
      <x:c r="K7" s="18" t="str">
        <x:v>Pas de ravitaillement magique; statut fiction</x:v>
      </x:c>
      <x:c r="L7" s="18" t="str">
        <x:v>Transport à simuler et matériel visible</x:v>
      </x:c>
      <x:c r="M7" s="18" t="str">
        <x:v>QA-CW138-OUT-03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CW138-OUT-004</x:v>
      </x:c>
      <x:c r="B8" s="18" t="str">
        <x:v>Outer Ops</x:v>
      </x:c>
      <x:c r="C8" s="18" t="str">
        <x:v>Réorientation</x:v>
      </x:c>
      <x:c r="D8" s="18" t="str">
        <x:v>Changer objectif V135</x:v>
      </x:c>
      <x:c r="E8" s="18" t="str">
        <x:v>Départ effectué, première moitié du mandat</x:v>
      </x:c>
      <x:c r="F8" s="18" t="str">
        <x:v>Recon/interception/escorte réorientées sans nouveau débit</x:v>
      </x:c>
      <x:c r="G8" s="18" t="str">
        <x:v>Double retask et rappel en cours rejetés</x:v>
      </x:c>
      <x:c r="H8" s="18" t="str">
        <x:v>redirectWarOuterOpsV135</x:v>
      </x:c>
      <x:c r="I8" s="18" t="str">
        <x:v>P0</x:v>
      </x:c>
      <x:c r="J8" s="121" t="str">
        <x:v>Validé CI ciblée</x:v>
      </x:c>
      <x:c r="K8" s="18" t="str">
        <x:v>Mandat auteur W3/V6 original</x:v>
      </x:c>
      <x:c r="L8" s="18" t="str">
        <x:v>Rapports narratifs par choix</x:v>
      </x:c>
      <x:c r="M8" s="18" t="str">
        <x:v>QA-CW138-OUT-04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CW138-OUT-005</x:v>
      </x:c>
      <x:c r="B9" s="18" t="str">
        <x:v>Outer Ops</x:v>
      </x:c>
      <x:c r="C9" s="18" t="str">
        <x:v>Retour différé</x:v>
      </x:c>
      <x:c r="D9" s="18" t="str">
        <x:v>Rappel avec temps de trajet</x:v>
      </x:c>
      <x:c r="E9" s="18" t="str">
        <x:v>Mandat existant et non réglé</x:v>
      </x:c>
      <x:c r="F9" s="18" t="str">
        <x:v>Repli réellement retardé, revenu une seule fois</x:v>
      </x:c>
      <x:c r="G9" s="18" t="str">
        <x:v>Pas d'extraction instantanée/XP de retraite</x:v>
      </x:c>
      <x:c r="H9" s="18" t="str">
        <x:v>recallWarOuterMissionV116</x:v>
      </x:c>
      <x:c r="I9" s="18" t="str">
        <x:v>P0</x:v>
      </x:c>
      <x:c r="J9" s="121" t="str">
        <x:v>Validé CI ciblée</x:v>
      </x:c>
      <x:c r="K9" s="18" t="str">
        <x:v>Aucun téléporteur inventé</x:v>
      </x:c>
      <x:c r="L9" s="18" t="str">
        <x:v>Retraits en cours affichés dans atlas</x:v>
      </x:c>
      <x:c r="M9" s="18" t="str">
        <x:v>QA-CW138-OUT-05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CW138-OUT-006</x:v>
      </x:c>
      <x:c r="B10" s="18" t="str">
        <x:v>Outer Ops</x:v>
      </x:c>
      <x:c r="C10" s="18" t="str">
        <x:v>Résolution déterministe</x:v>
      </x:c>
      <x:c r="D10" s="18" t="str">
        <x:v>Trois échanges simulés</x:v>
      </x:c>
      <x:c r="E10" s="18" t="str">
        <x:v>V6 équipes, terrain, itinéraire connu</x:v>
      </x:c>
      <x:c r="F10" s="18" t="str">
        <x:v>3 phases déterministes et une issue unique</x:v>
      </x:c>
      <x:c r="G10" s="18" t="str">
        <x:v>Pas de hasard non reproductible ou de butin caché</x:v>
      </x:c>
      <x:c r="H10" s="18" t="str">
        <x:v>simulateWarOuterMissionV115</x:v>
      </x:c>
      <x:c r="I10" s="18" t="str">
        <x:v>P0</x:v>
      </x:c>
      <x:c r="J10" s="121" t="str">
        <x:v>Validé CI ciblée</x:v>
      </x:c>
      <x:c r="K10" s="18" t="str">
        <x:v>Règles de score de jeu, non canon</x:v>
      </x:c>
      <x:c r="L10" s="18" t="str">
        <x:v>Log détaillé de chaque étape</x:v>
      </x:c>
      <x:c r="M10" s="18" t="str">
        <x:v>QA-CW138-OUT-06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CW138-OUT-007</x:v>
      </x:c>
      <x:c r="B11" s="18" t="str">
        <x:v>Outer Ops</x:v>
      </x:c>
      <x:c r="C11" s="18" t="str">
        <x:v>Mobilisation</x:v>
      </x:c>
      <x:c r="D11" s="18" t="str">
        <x:v>PC et entretien RAV</x:v>
      </x:c>
      <x:c r="E11" s="18" t="str">
        <x:v>1–4 équipes libres, route réelle et budget</x:v>
      </x:c>
      <x:c r="F11" s="18" t="str">
        <x:v>Affectations uniques; entretien déduit au départ</x:v>
      </x:c>
      <x:c r="G11" s="18" t="str">
        <x:v>Aucune double affectation ni double coût</x:v>
      </x:c>
      <x:c r="H11" s="18" t="str">
        <x:v>beginWarOperationV115</x:v>
      </x:c>
      <x:c r="I11" s="18" t="str">
        <x:v>P0</x:v>
      </x:c>
      <x:c r="J11" s="121" t="str">
        <x:v>Validé CI ciblée</x:v>
      </x:c>
      <x:c r="K11" s="18" t="str">
        <x:v>Unités V6 vérifiées</x:v>
      </x:c>
      <x:c r="L11" s="18" t="str">
        <x:v>Types missions nation/clan et UI</x:v>
      </x:c>
      <x:c r="M11" s="18" t="str">
        <x:v>QA-CW138-OUT-07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CW138-OUT-008</x:v>
      </x:c>
      <x:c r="B12" s="18" t="str">
        <x:v>Outer Ops</x:v>
      </x:c>
      <x:c r="C12" s="18" t="str">
        <x:v>Conditions de passage</x:v>
      </x:c>
      <x:c r="D12" s="18" t="str">
        <x:v>Carte des routes V6</x:v>
      </x:c>
      <x:c r="E12" s="18" t="str">
        <x:v>Territoires et passages avec capacités</x:v>
      </x:c>
      <x:c r="F12" s="18" t="str">
        <x:v>Ordre seulement si route parcourable avec PC</x:v>
      </x:c>
      <x:c r="G12" s="18" t="str">
        <x:v>Passage fermé/étranger ou charge interdite rejeté</x:v>
      </x:c>
      <x:c r="H12" s="18" t="str">
        <x:v>warMissionEligibleV115</x:v>
      </x:c>
      <x:c r="I12" s="18" t="str">
        <x:v>P0</x:v>
      </x:c>
      <x:c r="J12" s="122" t="str">
        <x:v>Partiel — prototype</x:v>
      </x:c>
      <x:c r="K12" s="18" t="str">
        <x:v>Korthas fictive, ne pas confondre Terre</x:v>
      </x:c>
      <x:c r="L12" s="18" t="str">
        <x:v>Pannes réseaux, ponts, saisons</x:v>
      </x:c>
      <x:c r="M12" s="18" t="str">
        <x:v>QA-CW138-OUT-08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CW138-OUT-009</x:v>
      </x:c>
      <x:c r="B13" s="18" t="str">
        <x:v>Outer Ops</x:v>
      </x:c>
      <x:c r="C13" s="18" t="str">
        <x:v>Aléas de trajet</x:v>
      </x:c>
      <x:c r="D13" s="18" t="str">
        <x:v>Événements locaux étagés</x:v>
      </x:c>
      <x:c r="E13" s="18" t="str">
        <x:v>Biome, zone, fenêtre climatique documentés</x:v>
      </x:c>
      <x:c r="F13" s="18" t="str">
        <x:v>Incident physique, alternative réelle et délais mis à jour</x:v>
      </x:c>
      <x:c r="G13" s="18" t="str">
        <x:v>Pas de blizzard sur sol brûlant</x:v>
      </x:c>
      <x:c r="H13" s="18" t="str">
        <x:v>outer_incidents_TODO</x:v>
      </x:c>
      <x:c r="I13" s="18" t="str">
        <x:v>P1</x:v>
      </x:c>
      <x:c r="J13" s="123" t="str">
        <x:v>À développer</x:v>
      </x:c>
      <x:c r="K13" s="18" t="str">
        <x:v>Phénomènes cohérents avec planet ID</x:v>
      </x:c>
      <x:c r="L13" s="18" t="str">
        <x:v>Table événements 6 mondes W3</x:v>
      </x:c>
      <x:c r="M13" s="18" t="str">
        <x:v>QA-CW138-OUT-09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CW138-OUT-010</x:v>
      </x:c>
      <x:c r="B14" s="18" t="str">
        <x:v>Outer Ops</x:v>
      </x:c>
      <x:c r="C14" s="18" t="str">
        <x:v>Évacuation blessés</x:v>
      </x:c>
      <x:c r="D14" s="18" t="str">
        <x:v>Extraction médicale multi-cases</x:v>
      </x:c>
      <x:c r="E14" s="18" t="str">
        <x:v>Médic W3-U18 et patiente active</x:v>
      </x:c>
      <x:c r="F14" s="18" t="str">
        <x:v>Retour du même membre avec statut wound, pas clone</x:v>
      </x:c>
      <x:c r="G14" s="18" t="str">
        <x:v>Médic absent ou blessé → soins indisponibles</x:v>
      </x:c>
      <x:c r="H14" s="18" t="str">
        <x:v>outer_medevac_TODO</x:v>
      </x:c>
      <x:c r="I14" s="18" t="str">
        <x:v>P1</x:v>
      </x:c>
      <x:c r="J14" s="122" t="str">
        <x:v>Partiel — prototype</x:v>
      </x:c>
      <x:c r="K14" s="18" t="str">
        <x:v>Dépendance système médical V116</x:v>
      </x:c>
      <x:c r="L14" s="18" t="str">
        <x:v>Transport et temps d'intervention</x:v>
      </x:c>
      <x:c r="M14" s="18" t="str">
        <x:v>QA-CW138-OUT-10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CW138-OUT-011</x:v>
      </x:c>
      <x:c r="B15" s="18" t="str">
        <x:v>Outer Ops</x:v>
      </x:c>
      <x:c r="C15" s="18" t="str">
        <x:v>Spécialités</x:v>
      </x:c>
      <x:c r="D15" s="18" t="str">
        <x:v>Rôles de détachement</x:v>
      </x:c>
      <x:c r="E15" s="18" t="str">
        <x:v>Unité réelle W3-U et expérience</x:v>
      </x:c>
      <x:c r="F15" s="18" t="str">
        <x:v>Différents coefficients selon recon/escorte/interception</x:v>
      </x:c>
      <x:c r="G15" s="18" t="str">
        <x:v>Pas de capacités de race non vérifiées</x:v>
      </x:c>
      <x:c r="H15" s="18" t="str">
        <x:v>outer_role_effects_TODO</x:v>
      </x:c>
      <x:c r="I15" s="18" t="str">
        <x:v>P1</x:v>
      </x:c>
      <x:c r="J15" s="122" t="str">
        <x:v>Partiel — prototype</x:v>
      </x:c>
      <x:c r="K15" s="18" t="str">
        <x:v>Seuils XP V6, non rang Blooded fictif</x:v>
      </x:c>
      <x:c r="L15" s="18" t="str">
        <x:v>Interactions membres, spécialités A/B</x:v>
      </x:c>
      <x:c r="M15" s="18" t="str">
        <x:v>QA-CW138-OUT-11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CW138-OUT-012</x:v>
      </x:c>
      <x:c r="B16" s="18" t="str">
        <x:v>Outer Ops</x:v>
      </x:c>
      <x:c r="C16" s="18" t="str">
        <x:v>Missions W5</x:v>
      </x:c>
      <x:c r="D16" s="18" t="str">
        <x:v>Contrats source W5</x:v>
      </x:c>
      <x:c r="E16" s="18" t="str">
        <x:v>Monde/lore/zone réellement compatibles</x:v>
      </x:c>
      <x:c r="F16" s="18" t="str">
        <x:v>36 dossiers W5 associés à leurs accès et factions</x:v>
      </x:c>
      <x:c r="G16" s="18" t="str">
        <x:v>Pas de mission humaine sur planète étrangère</x:v>
      </x:c>
      <x:c r="H16" s="18" t="str">
        <x:v>outer_w5_bridge_TODO</x:v>
      </x:c>
      <x:c r="I16" s="18" t="str">
        <x:v>P1</x:v>
      </x:c>
      <x:c r="J16" s="123" t="str">
        <x:v>À développer</x:v>
      </x:c>
      <x:c r="K16" s="18" t="str">
        <x:v>Source W5 auteur ≠ canon film</x:v>
      </x:c>
      <x:c r="L16" s="18" t="str">
        <x:v>Écriture 36 scripts uniques</x:v>
      </x:c>
      <x:c r="M16" s="18" t="str">
        <x:v>QA-CW138-OUT-12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CW138-OUT-013</x:v>
      </x:c>
      <x:c r="B17" s="18" t="str">
        <x:v>Outer Ops</x:v>
      </x:c>
      <x:c r="C17" s="18" t="str">
        <x:v>Garnisons</x:v>
      </x:c>
      <x:c r="D17" s="18" t="str">
        <x:v>Rapport stratégique autorisé</x:v>
      </x:c>
      <x:c r="E17" s="18" t="str">
        <x:v>Moteur V85 décide défense et droits</x:v>
      </x:c>
      <x:c r="F17" s="18" t="str">
        <x:v>Mutation serveur idempotente après retour final</x:v>
      </x:c>
      <x:c r="G17" s="18" t="str">
        <x:v>Aucun gain territorial par simple rapport local</x:v>
      </x:c>
      <x:c r="H17" s="18" t="str">
        <x:v>outer_v85_authority_TODO</x:v>
      </x:c>
      <x:c r="I17" s="18" t="str">
        <x:v>P0</x:v>
      </x:c>
      <x:c r="J17" s="123" t="str">
        <x:v>À développer</x:v>
      </x:c>
      <x:c r="K17" s="18" t="str">
        <x:v>Conflit original, traçabilité Bible V6</x:v>
      </x:c>
      <x:c r="L17" s="18" t="str">
        <x:v>Conquête, RAV, fatigue et contrôle</x:v>
      </x:c>
      <x:c r="M17" s="18" t="str">
        <x:v>QA-CW138-OUT-12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CW138-OUT-014</x:v>
      </x:c>
      <x:c r="B18" s="18" t="str">
        <x:v>Outer Ops</x:v>
      </x:c>
      <x:c r="C18" s="18" t="str">
        <x:v>PvP différé</x:v>
      </x:c>
      <x:c r="D18" s="18" t="str">
        <x:v>Conflits simultanés en ligne</x:v>
      </x:c>
      <x:c r="E18" s="18" t="str">
        <x:v>Serveur fixe ordre des tours et temps</x:v>
      </x:c>
      <x:c r="F18" s="18" t="str">
        <x:v>Missions asynchrones avec replay signé</x:v>
      </x:c>
      <x:c r="G18" s="18" t="str">
        <x:v>Client ne choisit pas la défaite adverse</x:v>
      </x:c>
      <x:c r="H18" s="18" t="str">
        <x:v>outer_network_TODO</x:v>
      </x:c>
      <x:c r="I18" s="18" t="str">
        <x:v>P0</x:v>
      </x:c>
      <x:c r="J18" s="123" t="str">
        <x:v>À développer</x:v>
      </x:c>
      <x:c r="K18" s="18" t="str">
        <x:v>Mode réseau auteur</x:v>
      </x:c>
      <x:c r="L18" s="18" t="str">
        <x:v>Serveur, anticheat et synchronisation</x:v>
      </x:c>
      <x:c r="M18" s="18" t="str">
        <x:v>QA-CW138-OUT-12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INFILTRATION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CW138-INF-001</x:v>
      </x:c>
      <x:c r="B5" s="119" t="str">
        <x:v>Infiltration</x:v>
      </x:c>
      <x:c r="C5" s="119" t="str">
        <x:v>Perception V138</x:v>
      </x:c>
      <x:c r="D5" s="119" t="str">
        <x:v>Écoute directionnelle depuis couvert</x:v>
      </x:c>
      <x:c r="E5" s="119" t="str">
        <x:v>Case terrain.cover réelle, patrouille à ≤5 cases, énergie≥1, non camouflé, ≤2 usages</x:v>
      </x:c>
      <x:c r="F5" s="119" t="str">
        <x:v>Un tick et 1 énergie; orientation est/ouest/proche 2 tours; pas de coordonnée ennemie</x:v>
      </x:c>
      <x:c r="G5" s="119" t="str">
        <x:v>À distance, sans couvert, énergie vide ou 3e écoute : refus sans tick; UI masque garde hors vue</x:v>
      </x:c>
      <x:c r="H5" s="119" t="str">
        <x:v>commandStealthV115 listen / warStealthGuardVisibleV138</x:v>
      </x:c>
      <x:c r="I5" s="119" t="str">
        <x:v>P0</x:v>
      </x:c>
      <x:c r="J5" s="133" t="str">
        <x:v>Validé CI ciblée</x:v>
      </x:c>
      <x:c r="K5" s="119" t="str">
        <x:v>Perception locale originale; pas de radar omniscient ou biomasque 1:1 revendiqué</x:v>
      </x:c>
      <x:c r="L5" s="119" t="str">
        <x:v>Effets sonores originaux, angles/occlusion plus réalistes, manette et HUD thermique</x:v>
      </x:c>
      <x:c r="M5" s="119" t="str">
        <x:v>QA-CW138-INF-01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CW138-INF-002</x:v>
      </x:c>
      <x:c r="B6" s="18" t="str">
        <x:v>Infiltration</x:v>
      </x:c>
      <x:c r="C6" s="18" t="str">
        <x:v>Déplacement tactique</x:v>
      </x:c>
      <x:c r="D6" s="18" t="str">
        <x:v>Pas protégé vers couvert adjacent</x:v>
      </x:c>
      <x:c r="E6" s="18" t="str">
        <x:v>Case d'arrivée réellement terrain.cover, 1 énergie, chasseur non camouflé, ≤2 usages</x:v>
      </x:c>
      <x:c r="F6" s="18" t="str">
        <x:v>Un déplacement orthogonal d'une case, sans télésaut; visibilité réduite si garde non adjacent</x:v>
      </x:c>
      <x:c r="G6" s="18" t="str">
        <x:v>Mur, vide, énergie nulle, troisième usage ou faux couvert : refus sans tick</x:v>
      </x:c>
      <x:c r="H6" s="18" t="str">
        <x:v>commandStealthV115 cover-*</x:v>
      </x:c>
      <x:c r="I6" s="18" t="str">
        <x:v>P0</x:v>
      </x:c>
      <x:c r="J6" s="121" t="str">
        <x:v>Validé CI ciblée</x:v>
      </x:c>
      <x:c r="K6" s="18" t="str">
        <x:v>Réaction de patrouille originale; aucun pouvoir extraterrestre inventé</x:v>
      </x:c>
      <x:c r="L6" s="18" t="str">
        <x:v>Animations pied à pied, repères de couvert et manette</x:v>
      </x:c>
      <x:c r="M6" s="18" t="str">
        <x:v>QA-CW138-INF-02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CW138-INF-003</x:v>
      </x:c>
      <x:c r="B7" s="18" t="str">
        <x:v>Infiltration</x:v>
      </x:c>
      <x:c r="C7" s="18" t="str">
        <x:v>Couvert physique</x:v>
      </x:c>
      <x:c r="D7" s="18" t="str">
        <x:v>Se dissimuler V136</x:v>
      </x:c>
      <x:c r="E7" s="18" t="str">
        <x:v>Case de couvert W3, non utilisée; joueur hors vision proche</x:v>
      </x:c>
      <x:c r="F7" s="18" t="str">
        <x:v>Réduit alerte de 1 et regagne ≤1 énergie sur 1 tour</x:v>
      </x:c>
      <x:c r="G7" s="18" t="str">
        <x:v>Garde adjacent peut voir; pas de couverture fictive/illimitée</x:v>
      </x:c>
      <x:c r="H7" s="18" t="str">
        <x:v>commandStealthV115:hide</x:v>
      </x:c>
      <x:c r="I7" s="18" t="str">
        <x:v>P0</x:v>
      </x:c>
      <x:c r="J7" s="121" t="str">
        <x:v>Validé CI ciblée</x:v>
      </x:c>
      <x:c r="K7" s="18" t="str">
        <x:v>Geste original, pas de scène canon inventée</x:v>
      </x:c>
      <x:c r="L7" s="18" t="str">
        <x:v>Animation, occlusion et retour visuel</x:v>
      </x:c>
      <x:c r="M7" s="18" t="str">
        <x:v>QA-CW138-INF-03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CW138-INF-004</x:v>
      </x:c>
      <x:c r="B8" s="18" t="str">
        <x:v>Infiltration</x:v>
      </x:c>
      <x:c r="C8" s="18" t="str">
        <x:v>Diversion sonore</x:v>
      </x:c>
      <x:c r="D8" s="18" t="str">
        <x:v>Détourner patrouille V135</x:v>
      </x:c>
      <x:c r="E8" s="18" t="str">
        <x:v>Pisteur découvert, 2 énergie, une fois</x:v>
      </x:c>
      <x:c r="F8" s="18" t="str">
        <x:v>Garde réagit physiquement pendant 3 décisions</x:v>
      </x:c>
      <x:c r="G8" s="18" t="str">
        <x:v>Pas de leurre téléporté ni sonore infini</x:v>
      </x:c>
      <x:c r="H8" s="18" t="str">
        <x:v>commandStealthV115:decoy</x:v>
      </x:c>
      <x:c r="I8" s="18" t="str">
        <x:v>P0</x:v>
      </x:c>
      <x:c r="J8" s="121" t="str">
        <x:v>Validé CI ciblée</x:v>
      </x:c>
      <x:c r="K8" s="18" t="str">
        <x:v>Gadget abstrait du prototype</x:v>
      </x:c>
      <x:c r="L8" s="18" t="str">
        <x:v>Son spatialisé, rayons d'écoute</x:v>
      </x:c>
      <x:c r="M8" s="18" t="str">
        <x:v>QA-CW138-INF-04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CW138-INF-005</x:v>
      </x:c>
      <x:c r="B9" s="18" t="str">
        <x:v>Infiltration</x:v>
      </x:c>
      <x:c r="C9" s="18" t="str">
        <x:v>Énergie</x:v>
      </x:c>
      <x:c r="D9" s="18" t="str">
        <x:v>Camouflage optique V115</x:v>
      </x:c>
      <x:c r="E9" s="18" t="str">
        <x:v>Batterie disponible, statut du joueur</x:v>
      </x:c>
      <x:c r="F9" s="18" t="str">
        <x:v>Consommation de batterie et retour en visibilité</x:v>
      </x:c>
      <x:c r="G9" s="18" t="str">
        <x:v>Pas de cloak à énergie négative</x:v>
      </x:c>
      <x:c r="H9" s="18" t="str">
        <x:v>commandStealthV115:cloak</x:v>
      </x:c>
      <x:c r="I9" s="18" t="str">
        <x:v>P0</x:v>
      </x:c>
      <x:c r="J9" s="121" t="str">
        <x:v>Validé CI ciblée</x:v>
      </x:c>
      <x:c r="K9" s="18" t="str">
        <x:v>Séparer rendu PHG et stat W3</x:v>
      </x:c>
      <x:c r="L9" s="18" t="str">
        <x:v>Modes de vision et variations capteurs</x:v>
      </x:c>
      <x:c r="M9" s="18" t="str">
        <x:v>QA-CW138-INF-05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CW138-INF-006</x:v>
      </x:c>
      <x:c r="B10" s="18" t="str">
        <x:v>Infiltration</x:v>
      </x:c>
      <x:c r="C10" s="18" t="str">
        <x:v>Détection</x:v>
      </x:c>
      <x:c r="D10" s="18" t="str">
        <x:v>Garde, raycast et alerte</x:v>
      </x:c>
      <x:c r="E10" s="18" t="str">
        <x:v>Ligne de vue réelle et parois régionales</x:v>
      </x:c>
      <x:c r="F10" s="18" t="str">
        <x:v>Alerte progressive, échec à 3</x:v>
      </x:c>
      <x:c r="G10" s="18" t="str">
        <x:v>Aucune vision à travers murs</x:v>
      </x:c>
      <x:c r="H10" s="18" t="str">
        <x:v>warTerrainLineOfSightV116</x:v>
      </x:c>
      <x:c r="I10" s="18" t="str">
        <x:v>P0</x:v>
      </x:c>
      <x:c r="J10" s="121" t="str">
        <x:v>Validé CI ciblée</x:v>
      </x:c>
      <x:c r="K10" s="18" t="str">
        <x:v>Comportement garde jeu original</x:v>
      </x:c>
      <x:c r="L10" s="18" t="str">
        <x:v>Cones de vision et champs dynamiques</x:v>
      </x:c>
      <x:c r="M10" s="18" t="str">
        <x:v>QA-CW138-INF-06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CW138-INF-007</x:v>
      </x:c>
      <x:c r="B11" s="18" t="str">
        <x:v>Infiltration</x:v>
      </x:c>
      <x:c r="C11" s="18" t="str">
        <x:v>Sabotage</x:v>
      </x:c>
      <x:c r="D11" s="18" t="str">
        <x:v>Désactiver relais physique</x:v>
      </x:c>
      <x:c r="E11" s="18" t="str">
        <x:v>A une case du relais, une seule fois</x:v>
      </x:c>
      <x:c r="F11" s="18" t="str">
        <x:v>Relais saboté et retour exigé</x:v>
      </x:c>
      <x:c r="G11" s="18" t="str">
        <x:v>Aucun sabotage à distance</x:v>
      </x:c>
      <x:c r="H11" s="18" t="str">
        <x:v>commandStealthV115:interact</x:v>
      </x:c>
      <x:c r="I11" s="18" t="str">
        <x:v>P0</x:v>
      </x:c>
      <x:c r="J11" s="121" t="str">
        <x:v>Validé CI ciblée</x:v>
      </x:c>
      <x:c r="K11" s="18" t="str">
        <x:v>Référence mission V6 correctement localisée</x:v>
      </x:c>
      <x:c r="L11" s="18" t="str">
        <x:v>Câbles animés, état alimentation, traces</x:v>
      </x:c>
      <x:c r="M11" s="18" t="str">
        <x:v>QA-CW138-INF-07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CW138-INF-008</x:v>
      </x:c>
      <x:c r="B12" s="18" t="str">
        <x:v>Infiltration</x:v>
      </x:c>
      <x:c r="C12" s="18" t="str">
        <x:v>Extraction</x:v>
      </x:c>
      <x:c r="D12" s="18" t="str">
        <x:v>Retour physique</x:v>
      </x:c>
      <x:c r="E12" s="18" t="str">
        <x:v>Relais saboté, départ y4/x1</x:v>
      </x:c>
      <x:c r="F12" s="18" t="str">
        <x:v>Seule la présence à l'extraction déclenche victoire</x:v>
      </x:c>
      <x:c r="G12" s="18" t="str">
        <x:v>Pas de victoire en éliminant un garde</x:v>
      </x:c>
      <x:c r="H12" s="18" t="str">
        <x:v>commandStealthV115</x:v>
      </x:c>
      <x:c r="I12" s="18" t="str">
        <x:v>P0</x:v>
      </x:c>
      <x:c r="J12" s="121" t="str">
        <x:v>Validé CI ciblée</x:v>
      </x:c>
      <x:c r="K12" s="18" t="str">
        <x:v>Mission de chasse fictive</x:v>
      </x:c>
      <x:c r="L12" s="18" t="str">
        <x:v>Navigation alternative et contre-patrouilles</x:v>
      </x:c>
      <x:c r="M12" s="18" t="str">
        <x:v>QA-CW138-INF-08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CW138-INF-009</x:v>
      </x:c>
      <x:c r="B13" s="18" t="str">
        <x:v>Infiltration</x:v>
      </x:c>
      <x:c r="C13" s="18" t="str">
        <x:v>Courant réel</x:v>
      </x:c>
      <x:c r="D13" s="18" t="str">
        <x:v>Panne capteur/porte</x:v>
      </x:c>
      <x:c r="E13" s="18" t="str">
        <x:v>Dispositif alimenté présent sur vraie carte</x:v>
      </x:c>
      <x:c r="F13" s="18" t="str">
        <x:v>Lumière/garde/porte changent suivant panne</x:v>
      </x:c>
      <x:c r="G13" s="18" t="str">
        <x:v>Panne sans générateur ne crée pas effets</x:v>
      </x:c>
      <x:c r="H13" s="18" t="str">
        <x:v>stealth_power_TODO</x:v>
      </x:c>
      <x:c r="I13" s="18" t="str">
        <x:v>P0</x:v>
      </x:c>
      <x:c r="J13" s="123" t="str">
        <x:v>À développer</x:v>
      </x:c>
      <x:c r="K13" s="18" t="str">
        <x:v>Milieux orbitaux/thermiques cohérents</x:v>
      </x:c>
      <x:c r="L13" s="18" t="str">
        <x:v>Circuits, état et restitution</x:v>
      </x:c>
      <x:c r="M13" s="18" t="str">
        <x:v>QA-CW138-INF-09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CW138-INF-010</x:v>
      </x:c>
      <x:c r="B14" s="18" t="str">
        <x:v>Infiltration</x:v>
      </x:c>
      <x:c r="C14" s="18" t="str">
        <x:v>Sabotage multi-étapes</x:v>
      </x:c>
      <x:c r="D14" s="18" t="str">
        <x:v>Réglages et preuves</x:v>
      </x:c>
      <x:c r="E14" s="18" t="str">
        <x:v>Objectifs physiquement distincts</x:v>
      </x:c>
      <x:c r="F14" s="18" t="str">
        <x:v>Approche, dérivation et retour sans téléport</x:v>
      </x:c>
      <x:c r="G14" s="18" t="str">
        <x:v>Rejet si geste/valve hors portée</x:v>
      </x:c>
      <x:c r="H14" s="18" t="str">
        <x:v>stealth_steps_TODO</x:v>
      </x:c>
      <x:c r="I14" s="18" t="str">
        <x:v>P0</x:v>
      </x:c>
      <x:c r="J14" s="122" t="str">
        <x:v>Partiel — prototype</x:v>
      </x:c>
      <x:c r="K14" s="18" t="str">
        <x:v>24 tâches W3 existantes mais autre moteur</x:v>
      </x:c>
      <x:c r="L14" s="18" t="str">
        <x:v>Raccorder V129 à infiltration</x:v>
      </x:c>
      <x:c r="M14" s="18" t="str">
        <x:v>QA-CW138-INF-10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CW138-INF-011</x:v>
      </x:c>
      <x:c r="B15" s="18" t="str">
        <x:v>Infiltration</x:v>
      </x:c>
      <x:c r="C15" s="18" t="str">
        <x:v>Patrouilles locales</x:v>
      </x:c>
      <x:c r="D15" s="18" t="str">
        <x:v>Plusieurs ennemis</x:v>
      </x:c>
      <x:c r="E15" s="18" t="str">
        <x:v>Roster logique d'ennemis par monde</x:v>
      </x:c>
      <x:c r="F15" s="18" t="str">
        <x:v>Perception bruit/thermique/vision et recherche</x:v>
      </x:c>
      <x:c r="G15" s="18" t="str">
        <x:v>Aucun garde humain par défaut sur monde alien</x:v>
      </x:c>
      <x:c r="H15" s="18" t="str">
        <x:v>stealth_ai_TODO</x:v>
      </x:c>
      <x:c r="I15" s="18" t="str">
        <x:v>P1</x:v>
      </x:c>
      <x:c r="J15" s="123" t="str">
        <x:v>À développer</x:v>
      </x:c>
      <x:c r="K15" s="18" t="str">
        <x:v>Types de senseurs sourcés par œuvre</x:v>
      </x:c>
      <x:c r="L15" s="18" t="str">
        <x:v>Trajectoires et investigateurs</x:v>
      </x:c>
      <x:c r="M15" s="18" t="str">
        <x:v>QA-CW138-INF-11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CW138-INF-012</x:v>
      </x:c>
      <x:c r="B16" s="18" t="str">
        <x:v>Infiltration</x:v>
      </x:c>
      <x:c r="C16" s="18" t="str">
        <x:v>Danger climatique</x:v>
      </x:c>
      <x:c r="D16" s="18" t="str">
        <x:v>Biomes et horaires</x:v>
      </x:c>
      <x:c r="E16" s="18" t="str">
        <x:v>Lieux chauds/froids/liquides cohérents</x:v>
      </x:c>
      <x:c r="F16" s="18" t="str">
        <x:v>Vitesse visibilité selon conditions de zone</x:v>
      </x:c>
      <x:c r="G16" s="18" t="str">
        <x:v>Pas d'effet glace pour désert chaud</x:v>
      </x:c>
      <x:c r="H16" s="18" t="str">
        <x:v>stealth_biome_TODO</x:v>
      </x:c>
      <x:c r="I16" s="18" t="str">
        <x:v>P1</x:v>
      </x:c>
      <x:c r="J16" s="123" t="str">
        <x:v>À développer</x:v>
      </x:c>
      <x:c r="K16" s="18" t="str">
        <x:v>Traçabilité worldCode et géographie</x:v>
      </x:c>
      <x:c r="L16" s="18" t="str">
        <x:v>Étude des six mondes</x:v>
      </x:c>
      <x:c r="M16" s="18" t="str">
        <x:v>QA-CW138-INF-12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CW138-INF-013</x:v>
      </x:c>
      <x:c r="B17" s="18" t="str">
        <x:v>Infiltration</x:v>
      </x:c>
      <x:c r="C17" s="18" t="str">
        <x:v>Règles de chasse</x:v>
      </x:c>
      <x:c r="D17" s="18" t="str">
        <x:v>Objectif honorable</x:v>
      </x:c>
      <x:c r="E17" s="18" t="str">
        <x:v>Contexte, cibles, âge/armes source</x:v>
      </x:c>
      <x:c r="F17" s="18" t="str">
        <x:v>Évaluation dépend du mandat, non punition globale</x:v>
      </x:c>
      <x:c r="G17" s="18" t="str">
        <x:v>Pas de règle canon inventée pour tous clans</x:v>
      </x:c>
      <x:c r="H17" s="18" t="str">
        <x:v>stealth_honor_TODO</x:v>
      </x:c>
      <x:c r="I17" s="18" t="str">
        <x:v>P1</x:v>
      </x:c>
      <x:c r="J17" s="123" t="str">
        <x:v>À développer</x:v>
      </x:c>
      <x:c r="K17" s="18" t="str">
        <x:v>Sources films/comics/jeux séparées</x:v>
      </x:c>
      <x:c r="L17" s="18" t="str">
        <x:v>Références et dialogues</x:v>
      </x:c>
      <x:c r="M17" s="18" t="str">
        <x:v>QA-CW138-INF-12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CW138-INF-014</x:v>
      </x:c>
      <x:c r="B18" s="18" t="str">
        <x:v>Infiltration</x:v>
      </x:c>
      <x:c r="C18" s="18" t="str">
        <x:v>Coop sabotage</x:v>
      </x:c>
      <x:c r="D18" s="18" t="str">
        <x:v>Réseau et IA partenaire</x:v>
      </x:c>
      <x:c r="E18" s="18" t="str">
        <x:v>Serveur + deux acteurs physiques</x:v>
      </x:c>
      <x:c r="F18" s="18" t="str">
        <x:v>Séparation de tâches, extraction groupée, reçu unique</x:v>
      </x:c>
      <x:c r="G18" s="18" t="str">
        <x:v>Aucune caisse clonée entre joueurs</x:v>
      </x:c>
      <x:c r="H18" s="18" t="str">
        <x:v>stealth_network_TODO</x:v>
      </x:c>
      <x:c r="I18" s="18" t="str">
        <x:v>P0</x:v>
      </x:c>
      <x:c r="J18" s="123" t="str">
        <x:v>À développer</x:v>
      </x:c>
      <x:c r="K18" s="18" t="str">
        <x:v>Original coop distinct de lore</x:v>
      </x:c>
      <x:c r="L18" s="18" t="str">
        <x:v>Latence, PvP, spectateur</x:v>
      </x:c>
      <x:c r="M18" s="18" t="str">
        <x:v>QA-CW138-INF-12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27" hidden="0" customWidth="1"/>
    <x:col min="4" max="4" width="34" hidden="0" customWidth="1"/>
    <x:col min="5" max="5" width="41" hidden="0" customWidth="1"/>
    <x:col min="6" max="6" width="42" hidden="0" customWidth="1"/>
    <x:col min="7" max="7" width="40" hidden="0" customWidth="1"/>
    <x:col min="8" max="8" width="34" hidden="0" customWidth="1"/>
    <x:col min="9" max="9" width="9" hidden="0" customWidth="1"/>
    <x:col min="10" max="10" width="21" hidden="0" customWidth="1"/>
    <x:col min="11" max="11" width="35" hidden="0" customWidth="1"/>
    <x:col min="12" max="12" width="39" hidden="0" customWidth="1"/>
    <x:col min="13" max="13" width="20" hidden="0" customWidth="1"/>
    <x:col min="14" max="14" width="39" hidden="0" customWidth="1"/>
  </x:cols>
  <x:sheetData>
    <x:row r="1" ht="36" customHeight="1">
      <x:c r="A1" s="113" t="str">
        <x:v>V138 — RTS MULTI-ESCOUADES · ITÉRATION CONCURRENTIELLE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</x:row>
    <x:row r="2" ht="30" customHeight="1">
      <x:c r="A2" s="115" t="str">
        <x:v>31/10/2026 · PR #47 · 82/82 tests Node, TypeScript et ESLint validés. CI ciblée ≠ QA navigateur/manette ni fidélité cinéma 1:1.</x:v>
      </x:c>
      <x:c r="B2" s="115"/>
      <x:c r="C2" s="115"/>
      <x:c r="D2" s="115"/>
      <x:c r="E2" s="115"/>
      <x:c r="F2" s="115"/>
      <x:c r="G2" s="115"/>
      <x:c r="H2" s="115"/>
      <x:c r="I2" s="115"/>
      <x:c r="J2" s="115"/>
      <x:c r="K2" s="115"/>
      <x:c r="L2" s="115"/>
      <x:c r="M2" s="115"/>
      <x:c r="N2" s="115"/>
    </x:row>
    <x:row r="4" ht="34" customHeight="1">
      <x:c r="A4" s="118" t="str">
        <x:v>ID</x:v>
      </x:c>
      <x:c r="B4" s="118" t="str">
        <x:v>Mode</x:v>
      </x:c>
      <x:c r="C4" s="118" t="str">
        <x:v>Axe / système</x:v>
      </x:c>
      <x:c r="D4" s="118" t="str">
        <x:v>Mécanique / exigence</x:v>
      </x:c>
      <x:c r="E4" s="118" t="str">
        <x:v>Préconditions physiques &amp; ressources</x:v>
      </x:c>
      <x:c r="F4" s="118" t="str">
        <x:v>Critère de réussite concret</x:v>
      </x:c>
      <x:c r="G4" s="118" t="str">
        <x:v>Rejet / invariant sauvegarde</x:v>
      </x:c>
      <x:c r="H4" s="118" t="str">
        <x:v>Code / état actuel</x:v>
      </x:c>
      <x:c r="I4" s="118" t="str">
        <x:v>Priorité</x:v>
      </x:c>
      <x:c r="J4" s="118" t="str">
        <x:v>Statut vérifié</x:v>
      </x:c>
      <x:c r="K4" s="118" t="str">
        <x:v>Contrôle de fidélité lore</x:v>
      </x:c>
      <x:c r="L4" s="118" t="str">
        <x:v>Travail restant / UI</x:v>
      </x:c>
      <x:c r="M4" s="118" t="str">
        <x:v>Référence QA</x:v>
      </x:c>
      <x:c r="N4" s="118" t="str">
        <x:v>PR &amp; origine</x:v>
      </x:c>
    </x:row>
    <x:row r="5" ht="50" customHeight="1">
      <x:c r="A5" s="119" t="str">
        <x:v>CW138-RTS-001</x:v>
      </x:c>
      <x:c r="B5" s="119" t="str">
        <x:v>RTS multi-escouades</x:v>
      </x:c>
      <x:c r="C5" s="119" t="str">
        <x:v>Secours W3 V138</x:v>
      </x:c>
      <x:c r="D5" s="119" t="str">
        <x:v>Intervention d'un soigneur W3-U18 à portée réelle</x:v>
      </x:c>
      <x:c r="E5" s="119" t="str">
        <x:v>Soigneur W3-U18 actif; cible alliée neutralisée à exactement une case; RAV≥3</x:v>
      </x:c>
      <x:c r="F5" s="119" t="str">
        <x:v>Un tour, 3 RAV, 2–4 PV du pion rétablis; même ID et nombre de membres; reçu unique</x:v>
      </x:c>
      <x:c r="G5" s="119" t="str">
        <x:v>Distance, faux soigneur, budget nul, double soin ou fausse source : aucune résurrection gratuite</x:v>
      </x:c>
      <x:c r="H5" s="119" t="str">
        <x:v>commandWarRtsMedicV138</x:v>
      </x:c>
      <x:c r="I5" s="119" t="str">
        <x:v>P0</x:v>
      </x:c>
      <x:c r="J5" s="133" t="str">
        <x:v>Validé CI ciblée</x:v>
      </x:c>
      <x:c r="K5" s="119" t="str">
        <x:v>Mécanique médicale expérimentale; aucun rythme de guérison canonique inventé</x:v>
      </x:c>
      <x:c r="L5" s="119" t="str">
        <x:v>Animation/sprite médic, blessures persistantes, campagne V85, triage en environnement hostile</x:v>
      </x:c>
      <x:c r="M5" s="119" t="str">
        <x:v>QA-CW138-RTS-01</x:v>
      </x:c>
      <x:c r="N5" s="119" t="str">
        <x:v>https://github.com/darknigthmare/yautja-la-longue-chasse/tree/feat/v138-four-modes-tactics-intel-medics-20261031</x:v>
      </x:c>
    </x:row>
    <x:row r="6" ht="50" customHeight="1">
      <x:c r="A6" s="18" t="str">
        <x:v>CW138-RTS-002</x:v>
      </x:c>
      <x:c r="B6" s="18" t="str">
        <x:v>RTS multi-escouades</x:v>
      </x:c>
      <x:c r="C6" s="18" t="str">
        <x:v>Défense de terrain</x:v>
      </x:c>
      <x:c r="D6" s="18" t="str">
        <x:v>Posture retranchée sur couvert W3</x:v>
      </x:c>
      <x:c r="E6" s="18" t="str">
        <x:v>Escouade vivante sur une vraie case cover W3, sans ordre de veille concurrent</x:v>
      </x:c>
      <x:c r="F6" s="18" t="str">
        <x:v>Réduction d'un dégât durant deux réactions adverses, usage unique et expiration automatique</x:v>
      </x:c>
      <x:c r="G6" s="18" t="str">
        <x:v>Pas de couvert, équipe KO, marche/ralliement, doublon : aucune invincibilité durable</x:v>
      </x:c>
      <x:c r="H6" s="18" t="str">
        <x:v>commandWarRtsBraceV137</x:v>
      </x:c>
      <x:c r="I6" s="18" t="str">
        <x:v>P0</x:v>
      </x:c>
      <x:c r="J6" s="121" t="str">
        <x:v>Validé CI ciblée</x:v>
      </x:c>
      <x:c r="K6" s="18" t="str">
        <x:v>Bonus défensif de simulation, non une armure canonique</x:v>
      </x:c>
      <x:c r="L6" s="18" t="str">
        <x:v>Tests d'IA en opposition réelle et lisibilité des marqueurs</x:v>
      </x:c>
      <x:c r="M6" s="18" t="str">
        <x:v>QA-CW138-RTS-02</x:v>
      </x:c>
      <x:c r="N6" s="18" t="str">
        <x:v>https://github.com/darknigthmare/yautja-la-longue-chasse/tree/feat/v138-four-modes-tactics-intel-medics-20261031</x:v>
      </x:c>
    </x:row>
    <x:row r="7" ht="50" customHeight="1">
      <x:c r="A7" s="18" t="str">
        <x:v>CW138-RTS-003</x:v>
      </x:c>
      <x:c r="B7" s="18" t="str">
        <x:v>RTS multi-escouades</x:v>
      </x:c>
      <x:c r="C7" s="18" t="str">
        <x:v>Veille de secteur</x:v>
      </x:c>
      <x:c r="D7" s="18" t="str">
        <x:v>Réaction V136</x:v>
      </x:c>
      <x:c r="E7" s="18" t="str">
        <x:v>Escouade active, LOS réelle, RAV disponible</x:v>
      </x:c>
      <x:c r="F7" s="18" t="str">
        <x:v>Un tir après action adverse si cible à portée, 1 RAV si tir</x:v>
      </x:c>
      <x:c r="G7" s="18" t="str">
        <x:v>Aucune cible invisible; expire en 2 tours; mouvement annule</x:v>
      </x:c>
      <x:c r="H7" s="18" t="str">
        <x:v>commandWarRtsOverwatchV136</x:v>
      </x:c>
      <x:c r="I7" s="18" t="str">
        <x:v>P0</x:v>
      </x:c>
      <x:c r="J7" s="121" t="str">
        <x:v>Validé CI ciblée</x:v>
      </x:c>
      <x:c r="K7" s="18" t="str">
        <x:v>Ordre de jeu original, pas nouvelle arme canon</x:v>
      </x:c>
      <x:c r="L7" s="18" t="str">
        <x:v>Animation portée/effets et manette</x:v>
      </x:c>
      <x:c r="M7" s="18" t="str">
        <x:v>QA-CW138-RTS-03</x:v>
      </x:c>
      <x:c r="N7" s="18" t="str">
        <x:v>https://github.com/darknigthmare/yautja-la-longue-chasse/tree/feat/v138-four-modes-tactics-intel-medics-20261031</x:v>
      </x:c>
    </x:row>
    <x:row r="8" ht="50" customHeight="1">
      <x:c r="A8" s="18" t="str">
        <x:v>CW138-RTS-004</x:v>
      </x:c>
      <x:c r="B8" s="18" t="str">
        <x:v>RTS multi-escouades</x:v>
      </x:c>
      <x:c r="C8" s="18" t="str">
        <x:v>Suppression</x:v>
      </x:c>
      <x:c r="D8" s="18" t="str">
        <x:v>Tir de contrôle V135</x:v>
      </x:c>
      <x:c r="E8" s="18" t="str">
        <x:v>Adversaire vu, à portée, 2 RAV</x:v>
      </x:c>
      <x:c r="F8" s="18" t="str">
        <x:v>Bloque exactement une riposte sans dégâts fictifs</x:v>
      </x:c>
      <x:c r="G8" s="18" t="str">
        <x:v>Cible invisible/armée vide → refus</x:v>
      </x:c>
      <x:c r="H8" s="18" t="str">
        <x:v>commandWarRtsSuppressV135</x:v>
      </x:c>
      <x:c r="I8" s="18" t="str">
        <x:v>P0</x:v>
      </x:c>
      <x:c r="J8" s="121" t="str">
        <x:v>Validé CI ciblée</x:v>
      </x:c>
      <x:c r="K8" s="18" t="str">
        <x:v>Distinguer tir et équipement PHG authentiques</x:v>
      </x:c>
      <x:c r="L8" s="18" t="str">
        <x:v>Corps, projectiles et collisions</x:v>
      </x:c>
      <x:c r="M8" s="18" t="str">
        <x:v>QA-CW138-RTS-04</x:v>
      </x:c>
      <x:c r="N8" s="18" t="str">
        <x:v>https://github.com/darknigthmare/yautja-la-longue-chasse/tree/feat/v138-four-modes-tactics-intel-medics-20261031</x:v>
      </x:c>
    </x:row>
    <x:row r="9" ht="50" customHeight="1">
      <x:c r="A9" s="18" t="str">
        <x:v>CW138-RTS-005</x:v>
      </x:c>
      <x:c r="B9" s="18" t="str">
        <x:v>RTS multi-escouades</x:v>
      </x:c>
      <x:c r="C9" s="18" t="str">
        <x:v>Ralliement</x:v>
      </x:c>
      <x:c r="D9" s="18" t="str">
        <x:v>Ordres collectifs V134</x:v>
      </x:c>
      <x:c r="E9" s="18" t="str">
        <x:v>1–4 équipes, point walkable non réservé</x:v>
      </x:c>
      <x:c r="F9" s="18" t="str">
        <x:v>Un tick adverse pour groupe, chaque unité ≤1 case</x:v>
      </x:c>
      <x:c r="G9" s="18" t="str">
        <x:v>Pas de collision, traversée mur ou teleport</x:v>
      </x:c>
      <x:c r="H9" s="18" t="str">
        <x:v>commandWarRtsRallyV134</x:v>
      </x:c>
      <x:c r="I9" s="18" t="str">
        <x:v>P0</x:v>
      </x:c>
      <x:c r="J9" s="121" t="str">
        <x:v>Validé CI ciblée</x:v>
      </x:c>
      <x:c r="K9" s="18" t="str">
        <x:v>Mécanique tactique du jeu</x:v>
      </x:c>
      <x:c r="L9" s="18" t="str">
        <x:v>Formations et encombrement lourd</x:v>
      </x:c>
      <x:c r="M9" s="18" t="str">
        <x:v>QA-CW138-RTS-05</x:v>
      </x:c>
      <x:c r="N9" s="18" t="str">
        <x:v>https://github.com/darknigthmare/yautja-la-longue-chasse/tree/feat/v138-four-modes-tactics-intel-medics-20261031</x:v>
      </x:c>
    </x:row>
    <x:row r="10" ht="50" customHeight="1">
      <x:c r="A10" s="18" t="str">
        <x:v>CW138-RTS-006</x:v>
      </x:c>
      <x:c r="B10" s="18" t="str">
        <x:v>RTS multi-escouades</x:v>
      </x:c>
      <x:c r="C10" s="18" t="str">
        <x:v>Détachements W3</x:v>
      </x:c>
      <x:c r="D10" s="18" t="str">
        <x:v>Composition V133</x:v>
      </x:c>
      <x:c r="E10" s="18" t="str">
        <x:v>Unité source W3-U et PC mission</x:v>
      </x:c>
      <x:c r="F10" s="18" t="str">
        <x:v>2–4 formations, caps PC contrôlés</x:v>
      </x:c>
      <x:c r="G10" s="18" t="str">
        <x:v>Ne crée pas les soldats de campagne V85</x:v>
      </x:c>
      <x:c r="H10" s="18" t="str">
        <x:v>createWarRtsSquadsV133</x:v>
      </x:c>
      <x:c r="I10" s="18" t="str">
        <x:v>P0</x:v>
      </x:c>
      <x:c r="J10" s="121" t="str">
        <x:v>Validé CI ciblée</x:v>
      </x:c>
      <x:c r="K10" s="18" t="str">
        <x:v>Nom/roster de Bible V6</x:v>
      </x:c>
      <x:c r="L10" s="18" t="str">
        <x:v>Lien armurerie/modèles</x:v>
      </x:c>
      <x:c r="M10" s="18" t="str">
        <x:v>QA-CW138-RTS-06</x:v>
      </x:c>
      <x:c r="N10" s="18" t="str">
        <x:v>https://github.com/darknigthmare/yautja-la-longue-chasse/tree/feat/v138-four-modes-tactics-intel-medics-20261031</x:v>
      </x:c>
    </x:row>
    <x:row r="11" ht="50" customHeight="1">
      <x:c r="A11" s="18" t="str">
        <x:v>CW138-RTS-007</x:v>
      </x:c>
      <x:c r="B11" s="18" t="str">
        <x:v>RTS multi-escouades</x:v>
      </x:c>
      <x:c r="C11" s="18" t="str">
        <x:v>Chaîne 72 preuves</x:v>
      </x:c>
      <x:c r="D11" s="18" t="str">
        <x:v>24 scripts W3</x:v>
      </x:c>
      <x:c r="E11" s="18" t="str">
        <x:v>Carte/planète/missions source W3-RTS01..24</x:v>
      </x:c>
      <x:c r="F11" s="18" t="str">
        <x:v>72 tâches, escortes et extraction en mission test</x:v>
      </x:c>
      <x:c r="G11" s="18" t="str">
        <x:v>Aucun gain sans retour et trois preuves</x:v>
      </x:c>
      <x:c r="H11" s="18" t="str">
        <x:v>clanWarRtsSourceMissionsV129</x:v>
      </x:c>
      <x:c r="I11" s="18" t="str">
        <x:v>P0</x:v>
      </x:c>
      <x:c r="J11" s="121" t="str">
        <x:v>Validé CI ciblée</x:v>
      </x:c>
      <x:c r="K11" s="18" t="str">
        <x:v>Source auteur W3, pas scènes filmées</x:v>
      </x:c>
      <x:c r="L11" s="18" t="str">
        <x:v>Jouabilité complète en opposition IA</x:v>
      </x:c>
      <x:c r="M11" s="18" t="str">
        <x:v>QA-CW138-RTS-07</x:v>
      </x:c>
      <x:c r="N11" s="18" t="str">
        <x:v>https://github.com/darknigthmare/yautja-la-longue-chasse/tree/feat/v138-four-modes-tactics-intel-medics-20261031</x:v>
      </x:c>
    </x:row>
    <x:row r="12" ht="50" customHeight="1">
      <x:c r="A12" s="18" t="str">
        <x:v>CW138-RTS-008</x:v>
      </x:c>
      <x:c r="B12" s="18" t="str">
        <x:v>RTS multi-escouades</x:v>
      </x:c>
      <x:c r="C12" s="18" t="str">
        <x:v>Brouillard de guerre</x:v>
      </x:c>
      <x:c r="D12" s="18" t="str">
        <x:v>Info réellement vue</x:v>
      </x:c>
      <x:c r="E12" s="18" t="str">
        <x:v>Portée de ligne de vue et cache positions</x:v>
      </x:c>
      <x:c r="F12" s="18" t="str">
        <x:v>Carte ne montre pas ennemis cachés</x:v>
      </x:c>
      <x:c r="G12" s="18" t="str">
        <x:v>Planificateur ne révèle pas patrouille éloignée</x:v>
      </x:c>
      <x:c r="H12" s="18" t="str">
        <x:v>visibleWarRtsEnemiesV133</x:v>
      </x:c>
      <x:c r="I12" s="18" t="str">
        <x:v>P0</x:v>
      </x:c>
      <x:c r="J12" s="121" t="str">
        <x:v>Validé CI ciblée</x:v>
      </x:c>
      <x:c r="K12" s="18" t="str">
        <x:v>Éviter omniscience IA et joueur</x:v>
      </x:c>
      <x:c r="L12" s="18" t="str">
        <x:v>Exploration FOV et indicateurs derniers vus</x:v>
      </x:c>
      <x:c r="M12" s="18" t="str">
        <x:v>QA-CW138-RTS-08</x:v>
      </x:c>
      <x:c r="N12" s="18" t="str">
        <x:v>https://github.com/darknigthmare/yautja-la-longue-chasse/tree/feat/v138-four-modes-tactics-intel-medics-20261031</x:v>
      </x:c>
    </x:row>
    <x:row r="13" ht="50" customHeight="1">
      <x:c r="A13" s="18" t="str">
        <x:v>CW138-RTS-009</x:v>
      </x:c>
      <x:c r="B13" s="18" t="str">
        <x:v>RTS multi-escouades</x:v>
      </x:c>
      <x:c r="C13" s="18" t="str">
        <x:v>Énergie/portes</x:v>
      </x:c>
      <x:c r="D13" s="18" t="str">
        <x:v>Pannes physiques W3</x:v>
      </x:c>
      <x:c r="E13" s="18" t="str">
        <x:v>Carte avec mécanisme motorisé réel</x:v>
      </x:c>
      <x:c r="F13" s="18" t="str">
        <x:v>Sas/porte/réacteur influencent objectif et accès</x:v>
      </x:c>
      <x:c r="G13" s="18" t="str">
        <x:v>Pas de porte flottante ou système sans courant</x:v>
      </x:c>
      <x:c r="H13" s="18" t="str">
        <x:v>commandWarRtsSquadsV133</x:v>
      </x:c>
      <x:c r="I13" s="18" t="str">
        <x:v>P0</x:v>
      </x:c>
      <x:c r="J13" s="122" t="str">
        <x:v>Partiel — prototype</x:v>
      </x:c>
      <x:c r="K13" s="18" t="str">
        <x:v>MAP12 orbital, MAP10 souterrain</x:v>
      </x:c>
      <x:c r="L13" s="18" t="str">
        <x:v>Réparation, alimentation secondaire</x:v>
      </x:c>
      <x:c r="M13" s="18" t="str">
        <x:v>QA-CW138-RTS-09</x:v>
      </x:c>
      <x:c r="N13" s="18" t="str">
        <x:v>https://github.com/darknigthmare/yautja-la-longue-chasse/tree/feat/v138-four-modes-tactics-intel-medics-20261031</x:v>
      </x:c>
    </x:row>
    <x:row r="14" ht="50" customHeight="1">
      <x:c r="A14" s="18" t="str">
        <x:v>CW138-RTS-010</x:v>
      </x:c>
      <x:c r="B14" s="18" t="str">
        <x:v>RTS multi-escouades</x:v>
      </x:c>
      <x:c r="C14" s="18" t="str">
        <x:v>Escorte</x:v>
      </x:c>
      <x:c r="D14" s="18" t="str">
        <x:v>Charge et neutres</x:v>
      </x:c>
      <x:c r="E14" s="18" t="str">
        <x:v>Personne ou bien préexistant</x:v>
      </x:c>
      <x:c r="F14" s="18" t="str">
        <x:v>Suit par cases; relève possible; sortie ensemble</x:v>
      </x:c>
      <x:c r="G14" s="18" t="str">
        <x:v>Pas de téléportation, statut neutre conservé</x:v>
      </x:c>
      <x:c r="H14" s="18" t="str">
        <x:v>commandWarRtsSquadsV133:pickup</x:v>
      </x:c>
      <x:c r="I14" s="18" t="str">
        <x:v>P0</x:v>
      </x:c>
      <x:c r="J14" s="121" t="str">
        <x:v>Validé CI ciblée</x:v>
      </x:c>
      <x:c r="K14" s="18" t="str">
        <x:v>Différencier humain neutre/ennemi</x:v>
      </x:c>
      <x:c r="L14" s="18" t="str">
        <x:v>Animations PNJ et itinéraires avancés</x:v>
      </x:c>
      <x:c r="M14" s="18" t="str">
        <x:v>QA-CW138-RTS-10</x:v>
      </x:c>
      <x:c r="N14" s="18" t="str">
        <x:v>https://github.com/darknigthmare/yautja-la-longue-chasse/tree/feat/v138-four-modes-tactics-intel-medics-20261031</x:v>
      </x:c>
    </x:row>
    <x:row r="15" ht="50" customHeight="1">
      <x:c r="A15" s="18" t="str">
        <x:v>CW138-RTS-011</x:v>
      </x:c>
      <x:c r="B15" s="18" t="str">
        <x:v>RTS multi-escouades</x:v>
      </x:c>
      <x:c r="C15" s="18" t="str">
        <x:v>A* de groupe</x:v>
      </x:c>
      <x:c r="D15" s="18" t="str">
        <x:v>Gestion embouteillages</x:v>
      </x:c>
      <x:c r="E15" s="18" t="str">
        <x:v>Taille case, volume unité/monture</x:v>
      </x:c>
      <x:c r="F15" s="18" t="str">
        <x:v>Replanification autour obstruction</x:v>
      </x:c>
      <x:c r="G15" s="18" t="str">
        <x:v>Aucune superposition d'escouades</x:v>
      </x:c>
      <x:c r="H15" s="18" t="str">
        <x:v>rts_pathfinding_TODO</x:v>
      </x:c>
      <x:c r="I15" s="18" t="str">
        <x:v>P0</x:v>
      </x:c>
      <x:c r="J15" s="122" t="str">
        <x:v>Partiel — prototype</x:v>
      </x:c>
      <x:c r="K15" s="18" t="str">
        <x:v>Topologie V128 étude non canon</x:v>
      </x:c>
      <x:c r="L15" s="18" t="str">
        <x:v>Congestion, pentes et portes dynamiques</x:v>
      </x:c>
      <x:c r="M15" s="18" t="str">
        <x:v>QA-CW138-RTS-11</x:v>
      </x:c>
      <x:c r="N15" s="18" t="str">
        <x:v>https://github.com/darknigthmare/yautja-la-longue-chasse/tree/feat/v138-four-modes-tactics-intel-medics-20261031</x:v>
      </x:c>
    </x:row>
    <x:row r="16" ht="50" customHeight="1">
      <x:c r="A16" s="18" t="str">
        <x:v>CW138-RTS-012</x:v>
      </x:c>
      <x:c r="B16" s="18" t="str">
        <x:v>RTS multi-escouades</x:v>
      </x:c>
      <x:c r="C16" s="18" t="str">
        <x:v>Fortifications</x:v>
      </x:c>
      <x:c r="D16" s="18" t="str">
        <x:v>Bâtiments et batteries</x:v>
      </x:c>
      <x:c r="E16" s="18" t="str">
        <x:v>Région, ressources, production source</x:v>
      </x:c>
      <x:c r="F16" s="18" t="str">
        <x:v>Construction/destruction, défense et capture</x:v>
      </x:c>
      <x:c r="G16" s="18" t="str">
        <x:v>Aucun bâtiment sans coordonnées ni cout</x:v>
      </x:c>
      <x:c r="H16" s="18" t="str">
        <x:v>rts_structures_TODO</x:v>
      </x:c>
      <x:c r="I16" s="18" t="str">
        <x:v>P1</x:v>
      </x:c>
      <x:c r="J16" s="123" t="str">
        <x:v>À développer</x:v>
      </x:c>
      <x:c r="K16" s="18" t="str">
        <x:v>Architecture Homeworld par source</x:v>
      </x:c>
      <x:c r="L16" s="18" t="str">
        <x:v>Destructibles, textures, stores</x:v>
      </x:c>
      <x:c r="M16" s="18" t="str">
        <x:v>QA-CW138-RTS-12</x:v>
      </x:c>
      <x:c r="N16" s="18" t="str">
        <x:v>https://github.com/darknigthmare/yautja-la-longue-chasse/tree/feat/v138-four-modes-tactics-intel-medics-20261031</x:v>
      </x:c>
    </x:row>
    <x:row r="17" ht="50" customHeight="1">
      <x:c r="A17" s="18" t="str">
        <x:v>CW138-RTS-013</x:v>
      </x:c>
      <x:c r="B17" s="18" t="str">
        <x:v>RTS multi-escouades</x:v>
      </x:c>
      <x:c r="C17" s="18" t="str">
        <x:v>Armées/montures</x:v>
      </x:c>
      <x:c r="D17" s="18" t="str">
        <x:v>Gros combats multi-PC</x:v>
      </x:c>
      <x:c r="E17" s="18" t="str">
        <x:v>Limitations selon races et unités</x:v>
      </x:c>
      <x:c r="F17" s="18" t="str">
        <x:v>Chevaucheurs, véhicules et renforts visibles</x:v>
      </x:c>
      <x:c r="G17" s="18" t="str">
        <x:v>Aucun gabarit de monture non compatible</x:v>
      </x:c>
      <x:c r="H17" s="18" t="str">
        <x:v>rts_mass_troops_TODO</x:v>
      </x:c>
      <x:c r="I17" s="18" t="str">
        <x:v>P1</x:v>
      </x:c>
      <x:c r="J17" s="123" t="str">
        <x:v>À développer</x:v>
      </x:c>
      <x:c r="K17" s="18" t="str">
        <x:v>Races et armures par oeuvre</x:v>
      </x:c>
      <x:c r="L17" s="18" t="str">
        <x:v>Animation unique et IA de formation</x:v>
      </x:c>
      <x:c r="M17" s="18" t="str">
        <x:v>QA-CW138-RTS-12</x:v>
      </x:c>
      <x:c r="N17" s="18" t="str">
        <x:v>https://github.com/darknigthmare/yautja-la-longue-chasse/tree/feat/v138-four-modes-tactics-intel-medics-20261031</x:v>
      </x:c>
    </x:row>
    <x:row r="18" ht="50" customHeight="1">
      <x:c r="A18" s="18" t="str">
        <x:v>CW138-RTS-014</x:v>
      </x:c>
      <x:c r="B18" s="18" t="str">
        <x:v>RTS multi-escouades</x:v>
      </x:c>
      <x:c r="C18" s="18" t="str">
        <x:v>Réseau PvP</x:v>
      </x:c>
      <x:c r="D18" s="18" t="str">
        <x:v>Résolution serveur</x:v>
      </x:c>
      <x:c r="E18" s="18" t="str">
        <x:v>Autorité bataille, snapshots masqués</x:v>
      </x:c>
      <x:c r="F18" s="18" t="str">
        <x:v>Coop et adversaires humains sans triche</x:v>
      </x:c>
      <x:c r="G18" s="18" t="str">
        <x:v>Client ne révèle V85/cases cachées</x:v>
      </x:c>
      <x:c r="H18" s="18" t="str">
        <x:v>rts_server_TODO</x:v>
      </x:c>
      <x:c r="I18" s="18" t="str">
        <x:v>P0</x:v>
      </x:c>
      <x:c r="J18" s="123" t="str">
        <x:v>À développer</x:v>
      </x:c>
      <x:c r="K18" s="18" t="str">
        <x:v>Gameplay unique, pas clone AVP Extinction</x:v>
      </x:c>
      <x:c r="L18" s="18" t="str">
        <x:v>Serveur, rollback et persistance</x:v>
      </x:c>
      <x:c r="M18" s="18" t="str">
        <x:v>QA-CW138-RTS-12</x:v>
      </x:c>
      <x:c r="N18" s="18" t="str">
        <x:v>https://github.com/darknigthmare/yautja-la-longue-chasse/tree/feat/v138-four-modes-tactics-intel-medics-20261031</x:v>
      </x:c>
    </x:row>
  </x:sheetData>
  <x:mergeCells>
    <x:mergeCell ref="A1:N1"/>
    <x:mergeCell ref="A2:N2"/>
  </x:mergeCells>
  <x:dataValidations count="1">
    <x:dataValidation type="list" sqref="J5:J18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5" hidden="0" customWidth="1"/>
    <x:col min="4" max="4" width="43" hidden="0" customWidth="1"/>
    <x:col min="5" max="5" width="42" hidden="0" customWidth="1"/>
    <x:col min="6" max="6" width="45" hidden="0" customWidth="1"/>
    <x:col min="7" max="7" width="23" hidden="0" customWidth="1"/>
    <x:col min="8" max="8" width="33" hidden="0" customWidth="1"/>
    <x:col min="9" max="9" width="43" hidden="0" customWidth="1"/>
    <x:col min="10" max="10" width="45" hidden="0" customWidth="1"/>
  </x:cols>
  <x:sheetData>
    <x:row r="1" ht="36" customHeight="1">
      <x:c r="A1" s="113" t="str">
        <x:v>V138 — ACCEPTATION DES QUATRE MODES · 48 CONTRÔLES</x:v>
      </x:c>
      <x:c r="B1" s="113"/>
      <x:c r="C1" s="113"/>
      <x:c r="D1" s="113"/>
      <x:c r="E1" s="113"/>
      <x:c r="F1" s="113"/>
      <x:c r="G1" s="113"/>
      <x:c r="H1" s="113"/>
      <x:c r="I1" s="113"/>
      <x:c r="J1" s="113"/>
    </x:row>
    <x:row r="2" ht="28" customHeight="1">
      <x:c r="A2" s="115" t="str">
        <x:v>82/82 tests GitHub Actions, TypeScript et ESLint verts. Tests unitaires ≠ homologation navigateur, manette, multijoueur ou assets.</x:v>
      </x:c>
      <x:c r="B2" s="115"/>
      <x:c r="C2" s="115"/>
      <x:c r="D2" s="115"/>
      <x:c r="E2" s="115"/>
      <x:c r="F2" s="115"/>
      <x:c r="G2" s="115"/>
      <x:c r="H2" s="115"/>
      <x:c r="I2" s="115"/>
      <x:c r="J2" s="115"/>
    </x:row>
    <x:row r="4" ht="34" customHeight="1">
      <x:c r="A4" s="118" t="str">
        <x:v>ID QA</x:v>
      </x:c>
      <x:c r="B4" s="118" t="str">
        <x:v>Mode</x:v>
      </x:c>
      <x:c r="C4" s="118" t="str">
        <x:v>Catégorie</x:v>
      </x:c>
      <x:c r="D4" s="118" t="str">
        <x:v>Contrôle / scénario</x:v>
      </x:c>
      <x:c r="E4" s="118" t="str">
        <x:v>Préconditions exactes</x:v>
      </x:c>
      <x:c r="F4" s="118" t="str">
        <x:v>Résultat vérifiable</x:v>
      </x:c>
      <x:c r="G4" s="118" t="str">
        <x:v>Statut</x:v>
      </x:c>
      <x:c r="H4" s="118" t="str">
        <x:v>Preuve (CI/code)</x:v>
      </x:c>
      <x:c r="I4" s="118" t="str">
        <x:v>QA manuelle encore attendue</x:v>
      </x:c>
      <x:c r="J4" s="118" t="str">
        <x:v>Chaîne de PR</x:v>
      </x:c>
    </x:row>
    <x:row r="5" ht="46" customHeight="1">
      <x:c r="A5" s="18" t="str">
        <x:v>QA-CW138-ASS-01</x:v>
      </x:c>
      <x:c r="B5" s="18" t="str">
        <x:v>Assaut latéral</x:v>
      </x:c>
      <x:c r="C5" s="18" t="str">
        <x:v>CI fonctionnelle</x:v>
      </x:c>
      <x:c r="D5" s="18" t="str">
        <x:v>Percée latérale d'une véritable escouade</x:v>
      </x:c>
      <x:c r="E5" s="18" t="str">
        <x:v>Unité V6 engagée, source identique, 12 AP</x:v>
      </x:c>
      <x:c r="F5" s="18" t="str">
        <x:v>Progression ≤5 unités, sans saut ni recrutement; coût AP appliqué</x:v>
      </x:c>
      <x:c r="G5" s="133" t="str">
        <x:v>Validé CI ciblée</x:v>
      </x:c>
      <x:c r="H5" s="18" t="str">
        <x:v>commandWarAssaultSurgeV138</x:v>
      </x:c>
      <x:c r="I5" s="18" t="str">
        <x:v>Session intégrée en navigateur et manette à organiser</x:v>
      </x:c>
      <x:c r="J5" s="18" t="str">
        <x:v>https://github.com/darknigthmare/yautja-la-longue-chasse/tree/feat/v138-four-modes-tactics-intel-medics-20261031</x:v>
      </x:c>
    </x:row>
    <x:row r="6" ht="46" customHeight="1">
      <x:c r="A6" s="18" t="str">
        <x:v>QA-CW138-ASS-02</x:v>
      </x:c>
      <x:c r="B6" s="18" t="str">
        <x:v>Assaut latéral</x:v>
      </x:c>
      <x:c r="C6" s="18" t="str">
        <x:v>CI sécurité</x:v>
      </x:c>
      <x:c r="D6" s="18" t="str">
        <x:v>Percée barrée et budget nul</x:v>
      </x:c>
      <x:c r="E6" s="18" t="str">
        <x:v>Adversaire au contact, unité tenue/KO ou 11 AP</x:v>
      </x:c>
      <x:c r="F6" s="18" t="str">
        <x:v>Rejet sans altérer les tableaux ni la sauvegarde; une fois/équipe</x:v>
      </x:c>
      <x:c r="G6" s="133" t="str">
        <x:v>Validé CI ciblée</x:v>
      </x:c>
      <x:c r="H6" s="18" t="str">
        <x:v>readWarOperationsV115 / commandWarAssaultSurgeV138</x:v>
      </x:c>
      <x:c r="I6" s="18" t="str">
        <x:v>Session intégrée en navigateur et manette à organiser</x:v>
      </x:c>
      <x:c r="J6" s="18" t="str">
        <x:v>https://github.com/darknigthmare/yautja-la-longue-chasse/tree/feat/v138-four-modes-tactics-intel-medics-20261031</x:v>
      </x:c>
    </x:row>
    <x:row r="7" ht="46" customHeight="1">
      <x:c r="A7" s="18" t="str">
        <x:v>QA-CW138-ASS-03</x:v>
      </x:c>
      <x:c r="B7" s="18" t="str">
        <x:v>Assaut latéral</x:v>
      </x:c>
      <x:c r="C7" s="18" t="str">
        <x:v>Extraction réelle et PC/AP</x:v>
      </x:c>
      <x:c r="D7" s="18" t="str">
        <x:v>Faire revenir une équipe vivante au bastion et valider son retrait</x:v>
      </x:c>
      <x:c r="E7" s="18" t="str">
        <x:v>Équipe engagée et réservée, x≤18, 10 AP</x:v>
      </x:c>
      <x:c r="F7" s="18" t="str">
        <x:v>L'acteur sort du combat sans se cloner, son ID demeure dans launched et extractedIds</x:v>
      </x:c>
      <x:c r="G7" s="121" t="str">
        <x:v>Validé CI ciblée</x:v>
      </x:c>
      <x:c r="H7" s="18" t="str">
        <x:v>withdrawWarAssaultSquadV137</x:v>
      </x:c>
      <x:c r="I7" s="18" t="str">
        <x:v>Test réel navigateur et manette, vidéo de session non fournie</x:v>
      </x:c>
      <x:c r="J7" s="18" t="str">
        <x:v>https://github.com/darknigthmare/yautja-la-longue-chasse/tree/feat/v138-four-modes-tactics-intel-medics-20261031</x:v>
      </x:c>
    </x:row>
    <x:row r="8" ht="46" customHeight="1">
      <x:c r="A8" s="18" t="str">
        <x:v>QA-CW138-ASS-04</x:v>
      </x:c>
      <x:c r="B8" s="18" t="str">
        <x:v>Assaut latéral</x:v>
      </x:c>
      <x:c r="C8" s="18" t="str">
        <x:v>Fraude et re-déploiement</x:v>
      </x:c>
      <x:c r="D8" s="18" t="str">
        <x:v>Retrait à distance, KO, 9 AP ou archive avec extraction et acteur actif</x:v>
      </x:c>
      <x:c r="E8" s="18" t="str">
        <x:v>Même source V6, aucun gain gratuit</x:v>
      </x:c>
      <x:c r="F8" s="18" t="str">
        <x:v>Rejets sans écriture; archive forgée refusée; une seule fin de mandat</x:v>
      </x:c>
      <x:c r="G8" s="121" t="str">
        <x:v>Validé CI ciblée</x:v>
      </x:c>
      <x:c r="H8" s="18" t="str">
        <x:v>readWarOperationsV115</x:v>
      </x:c>
      <x:c r="I8" s="18" t="str">
        <x:v>Test réel navigateur et manette, vidéo de session non fournie</x:v>
      </x:c>
      <x:c r="J8" s="18" t="str">
        <x:v>https://github.com/darknigthmare/yautja-la-longue-chasse/tree/feat/v138-four-modes-tactics-intel-medics-20261031</x:v>
      </x:c>
    </x:row>
    <x:row r="9" ht="46" customHeight="1">
      <x:c r="A9" s="18" t="str">
        <x:v>QA-CW138-ASS-05</x:v>
      </x:c>
      <x:c r="B9" s="18" t="str">
        <x:v>Assaut latéral</x:v>
      </x:c>
      <x:c r="C9" s="18" t="str">
        <x:v>CI auto</x:v>
      </x:c>
      <x:c r="D9" s="18" t="str">
        <x:v>Tenue de 3 tours</x:v>
      </x:c>
      <x:c r="E9" s="18" t="str">
        <x:v>Équipe engagée x≤25 et 15 AP</x:v>
      </x:c>
      <x:c r="F9" s="18" t="str">
        <x:v>Ne bouge pas 3 ticks; repart au 4e; RAV V6 constants</x:v>
      </x:c>
      <x:c r="G9" s="121" t="str">
        <x:v>Validé CI ciblée</x:v>
      </x:c>
      <x:c r="H9" s="18" t="str">
        <x:v>orderWarAssaultHoldV136</x:v>
      </x:c>
      <x:c r="I9" s="18" t="str">
        <x:v>Navigateur, manette et charge réelle restent nécessaires</x:v>
      </x:c>
      <x:c r="J9" s="18" t="str">
        <x:v>https://github.com/darknigthmare/yautja-la-longue-chasse/tree/feat/v138-four-modes-tactics-intel-medics-20261031</x:v>
      </x:c>
    </x:row>
    <x:row r="10" ht="46" customHeight="1">
      <x:c r="A10" s="18" t="str">
        <x:v>QA-CW138-ASS-06</x:v>
      </x:c>
      <x:c r="B10" s="18" t="str">
        <x:v>Assaut latéral</x:v>
      </x:c>
      <x:c r="C10" s="18" t="str">
        <x:v>CI auto</x:v>
      </x:c>
      <x:c r="D10" s="18" t="str">
        <x:v>Rejets position et AP</x:v>
      </x:c>
      <x:c r="E10" s="18" t="str">
        <x:v>Acteur hors base, équipe non déployée, 14 AP</x:v>
      </x:c>
      <x:c r="F10" s="18" t="str">
        <x:v>Refus sans tick ni réécriture</x:v>
      </x:c>
      <x:c r="G10" s="121" t="str">
        <x:v>Validé CI ciblée</x:v>
      </x:c>
      <x:c r="H10" s="18" t="str">
        <x:v>orderWarAssaultHoldV136</x:v>
      </x:c>
      <x:c r="I10" s="18" t="str">
        <x:v>Navigateur, manette et charge réelle restent nécessaires</x:v>
      </x:c>
      <x:c r="J10" s="18" t="str">
        <x:v>https://github.com/darknigthmare/yautja-la-longue-chasse/tree/feat/v138-four-modes-tactics-intel-medics-20261031</x:v>
      </x:c>
    </x:row>
    <x:row r="11" ht="46" customHeight="1">
      <x:c r="A11" s="18" t="str">
        <x:v>QA-CW138-ASS-07</x:v>
      </x:c>
      <x:c r="B11" s="18" t="str">
        <x:v>Assaut latéral</x:v>
      </x:c>
      <x:c r="C11" s="18" t="str">
        <x:v>CI auto</x:v>
      </x:c>
      <x:c r="D11" s="18" t="str">
        <x:v>Archive forgée</x:v>
      </x:c>
      <x:c r="E11" s="18" t="str">
        <x:v>heldUntil &gt; mission.tick+4 ou fausse équipe</x:v>
      </x:c>
      <x:c r="F11" s="18" t="str">
        <x:v>Archive V115 refusée</x:v>
      </x:c>
      <x:c r="G11" s="121" t="str">
        <x:v>Validé CI ciblée</x:v>
      </x:c>
      <x:c r="H11" s="18" t="str">
        <x:v>readWarOperationsV115</x:v>
      </x:c>
      <x:c r="I11" s="18" t="str">
        <x:v>Navigateur, manette et charge réelle restent nécessaires</x:v>
      </x:c>
      <x:c r="J11" s="18" t="str">
        <x:v>https://github.com/darknigthmare/yautja-la-longue-chasse/tree/feat/v138-four-modes-tactics-intel-medics-20261031</x:v>
      </x:c>
    </x:row>
    <x:row r="12" ht="46" customHeight="1">
      <x:c r="A12" s="18" t="str">
        <x:v>QA-CW138-ASS-08</x:v>
      </x:c>
      <x:c r="B12" s="18" t="str">
        <x:v>Assaut latéral</x:v>
      </x:c>
      <x:c r="C12" s="18" t="str">
        <x:v>Régression CI</x:v>
      </x:c>
      <x:c r="D12" s="18" t="str">
        <x:v>Protection et AP V135</x:v>
      </x:c>
      <x:c r="E12" s="18" t="str">
        <x:v>Déploiement existant, bastion endommagé</x:v>
      </x:c>
      <x:c r="F12" s="18" t="str">
        <x:v>Anciennes dépenses et manœuvres sans doublons</x:v>
      </x:c>
      <x:c r="G12" s="121" t="str">
        <x:v>Validé CI ciblée</x:v>
      </x:c>
      <x:c r="H12" s="18" t="str">
        <x:v>reinforceWarAssaultLineV135</x:v>
      </x:c>
      <x:c r="I12" s="18" t="str">
        <x:v>Navigateur, manette et charge réelle restent nécessaires</x:v>
      </x:c>
      <x:c r="J12" s="18" t="str">
        <x:v>https://github.com/darknigthmare/yautja-la-longue-chasse/tree/feat/v138-four-modes-tactics-intel-medics-20261031</x:v>
      </x:c>
    </x:row>
    <x:row r="13" ht="46" customHeight="1">
      <x:c r="A13" s="18" t="str">
        <x:v>QA-CW138-ASS-09</x:v>
      </x:c>
      <x:c r="B13" s="18" t="str">
        <x:v>Assaut latéral</x:v>
      </x:c>
      <x:c r="C13" s="18" t="str">
        <x:v>QA manuelle</x:v>
      </x:c>
      <x:c r="D13" s="18" t="str">
        <x:v>Ergonomie des ordres</x:v>
      </x:c>
      <x:c r="E13" s="18" t="str">
        <x:v>Vue active, 2–4 équipes, manette</x:v>
      </x:c>
      <x:c r="F13" s="18" t="str">
        <x:v>Libellés, boutons et état de tenue non équivoques</x:v>
      </x:c>
      <x:c r="G13" s="124" t="str">
        <x:v>À exécuter manuellement</x:v>
      </x:c>
      <x:c r="H13" s="18" t="str">
        <x:v>ClanWarOperationsV115.tsx</x:v>
      </x:c>
      <x:c r="I13" s="18" t="str">
        <x:v>Aucune preuve visuelle/serveur fournie</x:v>
      </x:c>
      <x:c r="J13" s="18" t="str">
        <x:v>https://github.com/darknigthmare/yautja-la-longue-chasse/tree/feat/v138-four-modes-tactics-intel-medics-20261031</x:v>
      </x:c>
    </x:row>
    <x:row r="14" ht="46" customHeight="1">
      <x:c r="A14" s="18" t="str">
        <x:v>QA-CW138-ASS-10</x:v>
      </x:c>
      <x:c r="B14" s="18" t="str">
        <x:v>Assaut latéral</x:v>
      </x:c>
      <x:c r="C14" s="18" t="str">
        <x:v>QA manuelle</x:v>
      </x:c>
      <x:c r="D14" s="18" t="str">
        <x:v>Hordes IA et FPS</x:v>
      </x:c>
      <x:c r="E14" s="18" t="str">
        <x:v>Scénarios W3 long terme et dommages</x:v>
      </x:c>
      <x:c r="F14" s="18" t="str">
        <x:v>Aucun softlock ni vague gratuite ni chute de FPS</x:v>
      </x:c>
      <x:c r="G14" s="124" t="str">
        <x:v>À exécuter manuellement</x:v>
      </x:c>
      <x:c r="H14" s="18" t="str">
        <x:v>stepAssaultV115</x:v>
      </x:c>
      <x:c r="I14" s="18" t="str">
        <x:v>Aucune preuve visuelle/serveur fournie</x:v>
      </x:c>
      <x:c r="J14" s="18" t="str">
        <x:v>https://github.com/darknigthmare/yautja-la-longue-chasse/tree/feat/v138-four-modes-tactics-intel-medics-20261031</x:v>
      </x:c>
    </x:row>
    <x:row r="15" ht="46" customHeight="1">
      <x:c r="A15" s="18" t="str">
        <x:v>QA-CW138-ASS-11</x:v>
      </x:c>
      <x:c r="B15" s="18" t="str">
        <x:v>Assaut latéral</x:v>
      </x:c>
      <x:c r="C15" s="18" t="str">
        <x:v>Lore manuel</x:v>
      </x:c>
      <x:c r="D15" s="18" t="str">
        <x:v>Architecture et planète</x:v>
      </x:c>
      <x:c r="E15" s="18" t="str">
        <x:v>Biome/atmosphère W3 par mission</x:v>
      </x:c>
      <x:c r="F15" s="18" t="str">
        <x:v>Aucun élément Terre déplacé sur monde alien</x:v>
      </x:c>
      <x:c r="G15" s="124" t="str">
        <x:v>À exécuter manuellement</x:v>
      </x:c>
      <x:c r="H15" s="18" t="str">
        <x:v>terrain_assault_v136_TODO</x:v>
      </x:c>
      <x:c r="I15" s="18" t="str">
        <x:v>Aucune preuve visuelle/serveur fournie</x:v>
      </x:c>
      <x:c r="J15" s="18" t="str">
        <x:v>https://github.com/darknigthmare/yautja-la-longue-chasse/tree/feat/v138-four-modes-tactics-intel-medics-20261031</x:v>
      </x:c>
    </x:row>
    <x:row r="16" ht="46" customHeight="1">
      <x:c r="A16" s="18" t="str">
        <x:v>QA-CW138-ASS-12</x:v>
      </x:c>
      <x:c r="B16" s="18" t="str">
        <x:v>Assaut latéral</x:v>
      </x:c>
      <x:c r="C16" s="18" t="str">
        <x:v>QA réseau</x:v>
      </x:c>
      <x:c r="D16" s="18" t="str">
        <x:v>Résultat en coopération</x:v>
      </x:c>
      <x:c r="E16" s="18" t="str">
        <x:v>Reconnexion serveur + reçus signés</x:v>
      </x:c>
      <x:c r="F16" s="18" t="str">
        <x:v>Pas de gain V85 non autorisé ou clone</x:v>
      </x:c>
      <x:c r="G16" s="124" t="str">
        <x:v>À exécuter manuellement</x:v>
      </x:c>
      <x:c r="H16" s="18" t="str">
        <x:v>net_assault_TODO</x:v>
      </x:c>
      <x:c r="I16" s="18" t="str">
        <x:v>Aucune preuve visuelle/serveur fournie</x:v>
      </x:c>
      <x:c r="J16" s="18" t="str">
        <x:v>https://github.com/darknigthmare/yautja-la-longue-chasse/tree/feat/v138-four-modes-tactics-intel-medics-20261031</x:v>
      </x:c>
    </x:row>
    <x:row r="17" ht="46" customHeight="1">
      <x:c r="A17" s="18" t="str">
        <x:v>QA-CW138-OUT-01</x:v>
      </x:c>
      <x:c r="B17" s="18" t="str">
        <x:v>Outer Ops</x:v>
      </x:c>
      <x:c r="C17" s="18" t="str">
        <x:v>CI fonctionnelle</x:v>
      </x:c>
      <x:c r="D17" s="18" t="str">
        <x:v>Bulletin au milieu du vrai trajet</x:v>
      </x:c>
      <x:c r="E17" s="18" t="str">
        <x:v>Mandat engagé, moitié de la durée initiale franchie</x:v>
      </x:c>
      <x:c r="F17" s="18" t="str">
        <x:v>Uniquement passages, terrain visible et membres aptes; aucun résultat avant l'échéance</x:v>
      </x:c>
      <x:c r="G17" s="133" t="str">
        <x:v>Validé CI ciblée</x:v>
      </x:c>
      <x:c r="H17" s="18" t="str">
        <x:v>requestWarOuterSignalV138</x:v>
      </x:c>
      <x:c r="I17" s="18" t="str">
        <x:v>Session intégrée en navigateur et manette à organiser</x:v>
      </x:c>
      <x:c r="J17" s="18" t="str">
        <x:v>https://github.com/darknigthmare/yautja-la-longue-chasse/tree/feat/v138-four-modes-tactics-intel-medics-20261031</x:v>
      </x:c>
    </x:row>
    <x:row r="18" ht="46" customHeight="1">
      <x:c r="A18" s="18" t="str">
        <x:v>QA-CW138-OUT-02</x:v>
      </x:c>
      <x:c r="B18" s="18" t="str">
        <x:v>Outer Ops</x:v>
      </x:c>
      <x:c r="C18" s="18" t="str">
        <x:v>CI sécurité</x:v>
      </x:c>
      <x:c r="D18" s="18" t="str">
        <x:v>Bulletin en doublon, rappel ou contenu forgé</x:v>
      </x:c>
      <x:c r="E18" s="18" t="str">
        <x:v>Mandat absent/terminé, heure incorrecte ou payload altéré</x:v>
      </x:c>
      <x:c r="F18" s="18" t="str">
        <x:v>Aucune prévision d'ennemi, aucune récompense ni rapport doublé</x:v>
      </x:c>
      <x:c r="G18" s="133" t="str">
        <x:v>Validé CI ciblée</x:v>
      </x:c>
      <x:c r="H18" s="18" t="str">
        <x:v>readWarOperationsV115 / settleWarOuterOpsV115</x:v>
      </x:c>
      <x:c r="I18" s="18" t="str">
        <x:v>Session intégrée en navigateur et manette à organiser</x:v>
      </x:c>
      <x:c r="J18" s="18" t="str">
        <x:v>https://github.com/darknigthmare/yautja-la-longue-chasse/tree/feat/v138-four-modes-tactics-intel-medics-20261031</x:v>
      </x:c>
    </x:row>
    <x:row r="19" ht="46" customHeight="1">
      <x:c r="A19" s="18" t="str">
        <x:v>QA-CW138-OUT-03</x:v>
      </x:c>
      <x:c r="B19" s="18" t="str">
        <x:v>Outer Ops</x:v>
      </x:c>
      <x:c r="C19" s="18" t="str">
        <x:v>Halte et délai réel</x:v>
      </x:c>
      <x:c r="D19" s="18" t="str">
        <x:v>Ralentir une mission d'observation avant la mi-route</x:v>
      </x:c>
      <x:c r="E19" s="18" t="str">
        <x:v>Même groupe et itinéraire; +15 secondes de durée</x:v>
      </x:c>
      <x:c r="F19" s="18" t="str">
        <x:v>Aucune résolution à l'ancienne échéance, +3 capacité seulement au rapport</x:v>
      </x:c>
      <x:c r="G19" s="121" t="str">
        <x:v>Validé CI ciblée</x:v>
      </x:c>
      <x:c r="H19" s="18" t="str">
        <x:v>orderWarOuterReconHaltV137</x:v>
      </x:c>
      <x:c r="I19" s="18" t="str">
        <x:v>Test réel navigateur et manette, vidéo de session non fournie</x:v>
      </x:c>
      <x:c r="J19" s="18" t="str">
        <x:v>https://github.com/darknigthmare/yautja-la-longue-chasse/tree/feat/v138-four-modes-tactics-intel-medics-20261031</x:v>
      </x:c>
    </x:row>
    <x:row r="20" ht="46" customHeight="1">
      <x:c r="A20" s="18" t="str">
        <x:v>QA-CW138-OUT-04</x:v>
      </x:c>
      <x:c r="B20" s="18" t="str">
        <x:v>Outer Ops</x:v>
      </x:c>
      <x:c r="C20" s="18" t="str">
        <x:v>Rappel et horloge</x:v>
      </x:c>
      <x:c r="D20" s="18" t="str">
        <x:v>Tenter réorientation/appro après la mi-route, rappeler après la halte</x:v>
      </x:c>
      <x:c r="E20" s="18" t="str">
        <x:v>Heure valide, même source et ordre engagé</x:v>
      </x:c>
      <x:c r="F20" s="18" t="str">
        <x:v>Les contrôles utilisent le deadline initial; aucun double rapport</x:v>
      </x:c>
      <x:c r="G20" s="121" t="str">
        <x:v>Validé CI ciblée</x:v>
      </x:c>
      <x:c r="H20" s="18" t="str">
        <x:v>readWarOperationsV115</x:v>
      </x:c>
      <x:c r="I20" s="18" t="str">
        <x:v>Test réel navigateur et manette, vidéo de session non fournie</x:v>
      </x:c>
      <x:c r="J20" s="18" t="str">
        <x:v>https://github.com/darknigthmare/yautja-la-longue-chasse/tree/feat/v138-four-modes-tactics-intel-medics-20261031</x:v>
      </x:c>
    </x:row>
    <x:row r="21" ht="46" customHeight="1">
      <x:c r="A21" s="18" t="str">
        <x:v>QA-CW138-OUT-05</x:v>
      </x:c>
      <x:c r="B21" s="18" t="str">
        <x:v>Outer Ops</x:v>
      </x:c>
      <x:c r="C21" s="18" t="str">
        <x:v>CI auto</x:v>
      </x:c>
      <x:c r="D21" s="18" t="str">
        <x:v>RAV d'approvisionnement</x:v>
      </x:c>
      <x:c r="E21" s="18" t="str">
        <x:v>Mission réelle avant mi-trajet, RAV ≥2</x:v>
      </x:c>
      <x:c r="F21" s="18" t="str">
        <x:v>Débit 2 RAV unique et bonus +4 calculé en résolution</x:v>
      </x:c>
      <x:c r="G21" s="121" t="str">
        <x:v>Validé CI ciblée</x:v>
      </x:c>
      <x:c r="H21" s="18" t="str">
        <x:v>supplyWarOuterMissionV136</x:v>
      </x:c>
      <x:c r="I21" s="18" t="str">
        <x:v>Navigateur, manette et charge réelle restent nécessaires</x:v>
      </x:c>
      <x:c r="J21" s="18" t="str">
        <x:v>https://github.com/darknigthmare/yautja-la-longue-chasse/tree/feat/v138-four-modes-tactics-intel-medics-20261031</x:v>
      </x:c>
    </x:row>
    <x:row r="22" ht="46" customHeight="1">
      <x:c r="A22" s="18" t="str">
        <x:v>QA-CW138-OUT-06</x:v>
      </x:c>
      <x:c r="B22" s="18" t="str">
        <x:v>Outer Ops</x:v>
      </x:c>
      <x:c r="C22" s="18" t="str">
        <x:v>CI auto</x:v>
      </x:c>
      <x:c r="D22" s="18" t="str">
        <x:v>Aucune livraison tardive</x:v>
      </x:c>
      <x:c r="E22" s="18" t="str">
        <x:v>Rappel, seconde tentative, date hors fenêtre</x:v>
      </x:c>
      <x:c r="F22" s="18" t="str">
        <x:v>Refus sans débit ni accélération d'ETA</x:v>
      </x:c>
      <x:c r="G22" s="121" t="str">
        <x:v>Validé CI ciblée</x:v>
      </x:c>
      <x:c r="H22" s="18" t="str">
        <x:v>supplyWarOuterMissionV136</x:v>
      </x:c>
      <x:c r="I22" s="18" t="str">
        <x:v>Navigateur, manette et charge réelle restent nécessaires</x:v>
      </x:c>
      <x:c r="J22" s="18" t="str">
        <x:v>https://github.com/darknigthmare/yautja-la-longue-chasse/tree/feat/v138-four-modes-tactics-intel-medics-20261031</x:v>
      </x:c>
    </x:row>
    <x:row r="23" ht="46" customHeight="1">
      <x:c r="A23" s="18" t="str">
        <x:v>QA-CW138-OUT-07</x:v>
      </x:c>
      <x:c r="B23" s="18" t="str">
        <x:v>Outer Ops</x:v>
      </x:c>
      <x:c r="C23" s="18" t="str">
        <x:v>CI auto</x:v>
      </x:c>
      <x:c r="D23" s="18" t="str">
        <x:v>Contrôle des reçus</x:v>
      </x:c>
      <x:c r="E23" s="18" t="str">
        <x:v>Ordre supporté et rapport arrivé à dueAt</x:v>
      </x:c>
      <x:c r="F23" s="18" t="str">
        <x:v>Un rapport final, log des fournitures, pas de gain anticipé</x:v>
      </x:c>
      <x:c r="G23" s="121" t="str">
        <x:v>Validé CI ciblée</x:v>
      </x:c>
      <x:c r="H23" s="18" t="str">
        <x:v>settleWarOuterOpsV115</x:v>
      </x:c>
      <x:c r="I23" s="18" t="str">
        <x:v>Navigateur, manette et charge réelle restent nécessaires</x:v>
      </x:c>
      <x:c r="J23" s="18" t="str">
        <x:v>https://github.com/darknigthmare/yautja-la-longue-chasse/tree/feat/v138-four-modes-tactics-intel-medics-20261031</x:v>
      </x:c>
    </x:row>
    <x:row r="24" ht="46" customHeight="1">
      <x:c r="A24" s="18" t="str">
        <x:v>QA-CW138-OUT-08</x:v>
      </x:c>
      <x:c r="B24" s="18" t="str">
        <x:v>Outer Ops</x:v>
      </x:c>
      <x:c r="C24" s="18" t="str">
        <x:v>Régression CI</x:v>
      </x:c>
      <x:c r="D24" s="18" t="str">
        <x:v>Réorientation + rappel</x:v>
      </x:c>
      <x:c r="E24" s="18" t="str">
        <x:v>Mandat réorienté puis rappel physique</x:v>
      </x:c>
      <x:c r="F24" s="18" t="str">
        <x:v>Date/route/membres cohérents, retraite sans XP gratuit</x:v>
      </x:c>
      <x:c r="G24" s="121" t="str">
        <x:v>Validé CI ciblée</x:v>
      </x:c>
      <x:c r="H24" s="18" t="str">
        <x:v>redirectWarOuterOpsV135</x:v>
      </x:c>
      <x:c r="I24" s="18" t="str">
        <x:v>Navigateur, manette et charge réelle restent nécessaires</x:v>
      </x:c>
      <x:c r="J24" s="18" t="str">
        <x:v>https://github.com/darknigthmare/yautja-la-longue-chasse/tree/feat/v138-four-modes-tactics-intel-medics-20261031</x:v>
      </x:c>
    </x:row>
    <x:row r="25" ht="46" customHeight="1">
      <x:c r="A25" s="18" t="str">
        <x:v>QA-CW138-OUT-09</x:v>
      </x:c>
      <x:c r="B25" s="18" t="str">
        <x:v>Outer Ops</x:v>
      </x:c>
      <x:c r="C25" s="18" t="str">
        <x:v>QA manuelle</x:v>
      </x:c>
      <x:c r="D25" s="18" t="str">
        <x:v>Chronomètre en arrière-plan</x:v>
      </x:c>
      <x:c r="E25" s="18" t="str">
        <x:v>Navigateur fermé / puis réouvert</x:v>
      </x:c>
      <x:c r="F25" s="18" t="str">
        <x:v>Rapports arrivent seulement à l'échéance</x:v>
      </x:c>
      <x:c r="G25" s="124" t="str">
        <x:v>À exécuter manuellement</x:v>
      </x:c>
      <x:c r="H25" s="18" t="str">
        <x:v>ClanWarOperationsV115.tsx</x:v>
      </x:c>
      <x:c r="I25" s="18" t="str">
        <x:v>Aucune preuve visuelle/serveur fournie</x:v>
      </x:c>
      <x:c r="J25" s="18" t="str">
        <x:v>https://github.com/darknigthmare/yautja-la-longue-chasse/tree/feat/v138-four-modes-tactics-intel-medics-20261031</x:v>
      </x:c>
    </x:row>
    <x:row r="26" ht="46" customHeight="1">
      <x:c r="A26" s="18" t="str">
        <x:v>QA-CW138-OUT-10</x:v>
      </x:c>
      <x:c r="B26" s="18" t="str">
        <x:v>Outer Ops</x:v>
      </x:c>
      <x:c r="C26" s="18" t="str">
        <x:v>QA manuelle</x:v>
      </x:c>
      <x:c r="D26" s="18" t="str">
        <x:v>Contrôle de ressource</x:v>
      </x:c>
      <x:c r="E26" s="18" t="str">
        <x:v>0/1/2/3 RAV en réserve et 3 Outer Ops</x:v>
      </x:c>
      <x:c r="F26" s="18" t="str">
        <x:v>Aucun achat impossible ni double assignation</x:v>
      </x:c>
      <x:c r="G26" s="124" t="str">
        <x:v>À exécuter manuellement</x:v>
      </x:c>
      <x:c r="H26" s="18" t="str">
        <x:v>supplyWarOuterMissionV136</x:v>
      </x:c>
      <x:c r="I26" s="18" t="str">
        <x:v>Aucune preuve visuelle/serveur fournie</x:v>
      </x:c>
      <x:c r="J26" s="18" t="str">
        <x:v>https://github.com/darknigthmare/yautja-la-longue-chasse/tree/feat/v138-four-modes-tactics-intel-medics-20261031</x:v>
      </x:c>
    </x:row>
    <x:row r="27" ht="46" customHeight="1">
      <x:c r="A27" s="18" t="str">
        <x:v>QA-CW138-OUT-11</x:v>
      </x:c>
      <x:c r="B27" s="18" t="str">
        <x:v>Outer Ops</x:v>
      </x:c>
      <x:c r="C27" s="18" t="str">
        <x:v>Lore manuel</x:v>
      </x:c>
      <x:c r="D27" s="18" t="str">
        <x:v>Incidents locaux</x:v>
      </x:c>
      <x:c r="E27" s="18" t="str">
        <x:v>Six biomes de W3, terre vs alien</x:v>
      </x:c>
      <x:c r="F27" s="18" t="str">
        <x:v>Météo et passages compatibles géographie</x:v>
      </x:c>
      <x:c r="G27" s="124" t="str">
        <x:v>À exécuter manuellement</x:v>
      </x:c>
      <x:c r="H27" s="18" t="str">
        <x:v>outer_incidents_TODO</x:v>
      </x:c>
      <x:c r="I27" s="18" t="str">
        <x:v>Aucune preuve visuelle/serveur fournie</x:v>
      </x:c>
      <x:c r="J27" s="18" t="str">
        <x:v>https://github.com/darknigthmare/yautja-la-longue-chasse/tree/feat/v138-four-modes-tactics-intel-medics-20261031</x:v>
      </x:c>
    </x:row>
    <x:row r="28" ht="46" customHeight="1">
      <x:c r="A28" s="18" t="str">
        <x:v>QA-CW138-OUT-12</x:v>
      </x:c>
      <x:c r="B28" s="18" t="str">
        <x:v>Outer Ops</x:v>
      </x:c>
      <x:c r="C28" s="18" t="str">
        <x:v>QA réseau</x:v>
      </x:c>
      <x:c r="D28" s="18" t="str">
        <x:v>Ordres concurrents</x:v>
      </x:c>
      <x:c r="E28" s="18" t="str">
        <x:v>Deux sessions sur même mandat</x:v>
      </x:c>
      <x:c r="F28" s="18" t="str">
        <x:v>Un seul ravitaillement et un seul résultat</x:v>
      </x:c>
      <x:c r="G28" s="124" t="str">
        <x:v>À exécuter manuellement</x:v>
      </x:c>
      <x:c r="H28" s="18" t="str">
        <x:v>outer_network_TODO</x:v>
      </x:c>
      <x:c r="I28" s="18" t="str">
        <x:v>Aucune preuve visuelle/serveur fournie</x:v>
      </x:c>
      <x:c r="J28" s="18" t="str">
        <x:v>https://github.com/darknigthmare/yautja-la-longue-chasse/tree/feat/v138-four-modes-tactics-intel-medics-20261031</x:v>
      </x:c>
    </x:row>
    <x:row r="29" ht="46" customHeight="1">
      <x:c r="A29" s="18" t="str">
        <x:v>QA-CW138-INF-01</x:v>
      </x:c>
      <x:c r="B29" s="18" t="str">
        <x:v>Infiltration</x:v>
      </x:c>
      <x:c r="C29" s="18" t="str">
        <x:v>CI perception</x:v>
      </x:c>
      <x:c r="D29" s="18" t="str">
        <x:v>Écoute depuis couverture locale</x:v>
      </x:c>
      <x:c r="E29" s="18" t="str">
        <x:v>Case terrain.cover, garde ≤5, 1 énergie, maximum deux usages</x:v>
      </x:c>
      <x:c r="F29" s="18" t="str">
        <x:v>Bearing est/ouest/proche pendant deux tours, sans position x/y sur le HUD</x:v>
      </x:c>
      <x:c r="G29" s="133" t="str">
        <x:v>Validé CI ciblée</x:v>
      </x:c>
      <x:c r="H29" s="18" t="str">
        <x:v>commandStealthV115 listen / warStealthSoundBearingV138</x:v>
      </x:c>
      <x:c r="I29" s="18" t="str">
        <x:v>Session intégrée en navigateur et manette à organiser</x:v>
      </x:c>
      <x:c r="J29" s="18" t="str">
        <x:v>https://github.com/darknigthmare/yautja-la-longue-chasse/tree/feat/v138-four-modes-tactics-intel-medics-20261031</x:v>
      </x:c>
    </x:row>
    <x:row r="30" ht="46" customHeight="1">
      <x:c r="A30" s="18" t="str">
        <x:v>QA-CW138-INF-02</x:v>
      </x:c>
      <x:c r="B30" s="18" t="str">
        <x:v>Infiltration</x:v>
      </x:c>
      <x:c r="C30" s="18" t="str">
        <x:v>CI anti-omniscience</x:v>
      </x:c>
      <x:c r="D30" s="18" t="str">
        <x:v>Patrouille hors ligne de vue et écoute périmée</x:v>
      </x:c>
      <x:c r="E30" s="18" t="str">
        <x:v>Gardes loin du joueur, obstacles opaques ou compteur d'écoutes épuisé</x:v>
      </x:c>
      <x:c r="F30" s="18" t="str">
        <x:v>Aucune icône G distante, aucun scan absolu et sauvegardes invalides refusées</x:v>
      </x:c>
      <x:c r="G30" s="133" t="str">
        <x:v>Validé CI ciblée</x:v>
      </x:c>
      <x:c r="H30" s="18" t="str">
        <x:v>warStealthGuardVisibleV138 / readWarOperationsV115</x:v>
      </x:c>
      <x:c r="I30" s="18" t="str">
        <x:v>Session intégrée en navigateur et manette à organiser</x:v>
      </x:c>
      <x:c r="J30" s="18" t="str">
        <x:v>https://github.com/darknigthmare/yautja-la-longue-chasse/tree/feat/v138-four-modes-tactics-intel-medics-20261031</x:v>
      </x:c>
    </x:row>
    <x:row r="31" ht="46" customHeight="1">
      <x:c r="A31" s="18" t="str">
        <x:v>QA-CW138-INF-03</x:v>
      </x:c>
      <x:c r="B31" s="18" t="str">
        <x:v>Infiltration</x:v>
      </x:c>
      <x:c r="C31" s="18" t="str">
        <x:v>Avancée physique couverte</x:v>
      </x:c>
      <x:c r="D31" s="18" t="str">
        <x:v>Aller d'une case vers un vrai couvert régional sans camouflage</x:v>
      </x:c>
      <x:c r="E31" s="18" t="str">
        <x:v>Case adjacente traversable et terrain.cover, énergie≥1</x:v>
      </x:c>
      <x:c r="F31" s="18" t="str">
        <x:v>Un déplacement; -1 énergie; deux utilisations max et sans vision magique</x:v>
      </x:c>
      <x:c r="G31" s="121" t="str">
        <x:v>Validé CI ciblée</x:v>
      </x:c>
      <x:c r="H31" s="18" t="str">
        <x:v>commandStealthV115 cover-*</x:v>
      </x:c>
      <x:c r="I31" s="18" t="str">
        <x:v>Test réel navigateur et manette, vidéo de session non fournie</x:v>
      </x:c>
      <x:c r="J31" s="18" t="str">
        <x:v>https://github.com/darknigthmare/yautja-la-longue-chasse/tree/feat/v138-four-modes-tactics-intel-medics-20261031</x:v>
      </x:c>
    </x:row>
    <x:row r="32" ht="46" customHeight="1">
      <x:c r="A32" s="18" t="str">
        <x:v>QA-CW138-INF-04</x:v>
      </x:c>
      <x:c r="B32" s="18" t="str">
        <x:v>Infiltration</x:v>
      </x:c>
      <x:c r="C32" s="18" t="str">
        <x:v>Énergie et limites</x:v>
      </x:c>
      <x:c r="D32" s="18" t="str">
        <x:v>Tester mur, destination hors couvert, troisième usage et garde adjacent</x:v>
      </x:c>
      <x:c r="E32" s="18" t="str">
        <x:v>État d'origine immuable si action rejetée</x:v>
      </x:c>
      <x:c r="F32" s="18" t="str">
        <x:v>Aucun tick fictif; compteur de sauvegarde borné à deux</x:v>
      </x:c>
      <x:c r="G32" s="121" t="str">
        <x:v>Validé CI ciblée</x:v>
      </x:c>
      <x:c r="H32" s="18" t="str">
        <x:v>readWarOperationsV115</x:v>
      </x:c>
      <x:c r="I32" s="18" t="str">
        <x:v>Test réel navigateur et manette, vidéo de session non fournie</x:v>
      </x:c>
      <x:c r="J32" s="18" t="str">
        <x:v>https://github.com/darknigthmare/yautja-la-longue-chasse/tree/feat/v138-four-modes-tactics-intel-medics-20261031</x:v>
      </x:c>
    </x:row>
    <x:row r="33" ht="46" customHeight="1">
      <x:c r="A33" s="18" t="str">
        <x:v>QA-CW138-INF-05</x:v>
      </x:c>
      <x:c r="B33" s="18" t="str">
        <x:v>Infiltration</x:v>
      </x:c>
      <x:c r="C33" s="18" t="str">
        <x:v>CI auto</x:v>
      </x:c>
      <x:c r="D33" s="18" t="str">
        <x:v>Couvert physique</x:v>
      </x:c>
      <x:c r="E33" s="18" t="str">
        <x:v>Case réelle terrain.cover, alarm2, energie2</x:v>
      </x:c>
      <x:c r="F33" s="18" t="str">
        <x:v>Alerte-1, énergie+1, tick+1</x:v>
      </x:c>
      <x:c r="G33" s="121" t="str">
        <x:v>Validé CI ciblée</x:v>
      </x:c>
      <x:c r="H33" s="18" t="str">
        <x:v>commandStealthV115:hide</x:v>
      </x:c>
      <x:c r="I33" s="18" t="str">
        <x:v>Navigateur, manette et charge réelle restent nécessaires</x:v>
      </x:c>
      <x:c r="J33" s="18" t="str">
        <x:v>https://github.com/darknigthmare/yautja-la-longue-chasse/tree/feat/v138-four-modes-tactics-intel-medics-20261031</x:v>
      </x:c>
    </x:row>
    <x:row r="34" ht="46" customHeight="1">
      <x:c r="A34" s="18" t="str">
        <x:v>QA-CW138-INF-06</x:v>
      </x:c>
      <x:c r="B34" s="18" t="str">
        <x:v>Infiltration</x:v>
      </x:c>
      <x:c r="C34" s="18" t="str">
        <x:v>CI auto</x:v>
      </x:c>
      <x:c r="D34" s="18" t="str">
        <x:v>Refus et anti-exploit</x:v>
      </x:c>
      <x:c r="E34" s="18" t="str">
        <x:v>Départ hors couvert, même couvert deux fois</x:v>
      </x:c>
      <x:c r="F34" s="18" t="str">
        <x:v>Ordre refusé sans effet; archive malformée refusée</x:v>
      </x:c>
      <x:c r="G34" s="121" t="str">
        <x:v>Validé CI ciblée</x:v>
      </x:c>
      <x:c r="H34" s="18" t="str">
        <x:v>readWarOperationsV115</x:v>
      </x:c>
      <x:c r="I34" s="18" t="str">
        <x:v>Navigateur, manette et charge réelle restent nécessaires</x:v>
      </x:c>
      <x:c r="J34" s="18" t="str">
        <x:v>https://github.com/darknigthmare/yautja-la-longue-chasse/tree/feat/v138-four-modes-tactics-intel-medics-20261031</x:v>
      </x:c>
    </x:row>
    <x:row r="35" ht="46" customHeight="1">
      <x:c r="A35" s="18" t="str">
        <x:v>QA-CW138-INF-07</x:v>
      </x:c>
      <x:c r="B35" s="18" t="str">
        <x:v>Infiltration</x:v>
      </x:c>
      <x:c r="C35" s="18" t="str">
        <x:v>CI auto</x:v>
      </x:c>
      <x:c r="D35" s="18" t="str">
        <x:v>Patrouille adjacente</x:v>
      </x:c>
      <x:c r="E35" s="18" t="str">
        <x:v>Garde à une case de la couverture</x:v>
      </x:c>
      <x:c r="F35" s="18" t="str">
        <x:v>Le couvert ne rend pas invisible au contact</x:v>
      </x:c>
      <x:c r="G35" s="121" t="str">
        <x:v>Validé CI ciblée</x:v>
      </x:c>
      <x:c r="H35" s="18" t="str">
        <x:v>commandStealthV115:hide</x:v>
      </x:c>
      <x:c r="I35" s="18" t="str">
        <x:v>Navigateur, manette et charge réelle restent nécessaires</x:v>
      </x:c>
      <x:c r="J35" s="18" t="str">
        <x:v>https://github.com/darknigthmare/yautja-la-longue-chasse/tree/feat/v138-four-modes-tactics-intel-medics-20261031</x:v>
      </x:c>
    </x:row>
    <x:row r="36" ht="46" customHeight="1">
      <x:c r="A36" s="18" t="str">
        <x:v>QA-CW138-INF-08</x:v>
      </x:c>
      <x:c r="B36" s="18" t="str">
        <x:v>Infiltration</x:v>
      </x:c>
      <x:c r="C36" s="18" t="str">
        <x:v>Régression CI</x:v>
      </x:c>
      <x:c r="D36" s="18" t="str">
        <x:v>Cloak/diversion/relai</x:v>
      </x:c>
      <x:c r="E36" s="18" t="str">
        <x:v>Trajet W3 source, énergie et relais</x:v>
      </x:c>
      <x:c r="F36" s="18" t="str">
        <x:v>Extraction et reconnaissance restent physiques</x:v>
      </x:c>
      <x:c r="G36" s="121" t="str">
        <x:v>Validé CI ciblée</x:v>
      </x:c>
      <x:c r="H36" s="18" t="str">
        <x:v>commandStealthV115</x:v>
      </x:c>
      <x:c r="I36" s="18" t="str">
        <x:v>Navigateur, manette et charge réelle restent nécessaires</x:v>
      </x:c>
      <x:c r="J36" s="18" t="str">
        <x:v>https://github.com/darknigthmare/yautja-la-longue-chasse/tree/feat/v138-four-modes-tactics-intel-medics-20261031</x:v>
      </x:c>
    </x:row>
    <x:row r="37" ht="46" customHeight="1">
      <x:c r="A37" s="18" t="str">
        <x:v>QA-CW138-INF-09</x:v>
      </x:c>
      <x:c r="B37" s="18" t="str">
        <x:v>Infiltration</x:v>
      </x:c>
      <x:c r="C37" s="18" t="str">
        <x:v>QA manuelle</x:v>
      </x:c>
      <x:c r="D37" s="18" t="str">
        <x:v>Lisibilité des couverts</x:v>
      </x:c>
      <x:c r="E37" s="18" t="str">
        <x:v>Vue grille et différentes couleurs de terrain</x:v>
      </x:c>
      <x:c r="F37" s="18" t="str">
        <x:v>▤ visible, info réaliste et contrôles adaptés</x:v>
      </x:c>
      <x:c r="G37" s="124" t="str">
        <x:v>À exécuter manuellement</x:v>
      </x:c>
      <x:c r="H37" s="18" t="str">
        <x:v>ClanWarOperationsV115.tsx</x:v>
      </x:c>
      <x:c r="I37" s="18" t="str">
        <x:v>Aucune preuve visuelle/serveur fournie</x:v>
      </x:c>
      <x:c r="J37" s="18" t="str">
        <x:v>https://github.com/darknigthmare/yautja-la-longue-chasse/tree/feat/v138-four-modes-tactics-intel-medics-20261031</x:v>
      </x:c>
    </x:row>
    <x:row r="38" ht="46" customHeight="1">
      <x:c r="A38" s="18" t="str">
        <x:v>QA-CW138-INF-10</x:v>
      </x:c>
      <x:c r="B38" s="18" t="str">
        <x:v>Infiltration</x:v>
      </x:c>
      <x:c r="C38" s="18" t="str">
        <x:v>QA manuelle</x:v>
      </x:c>
      <x:c r="D38" s="18" t="str">
        <x:v>Camouflage/alarme</x:v>
      </x:c>
      <x:c r="E38" s="18" t="str">
        <x:v>Patrouilles 2D et son, faible batterie</x:v>
      </x:c>
      <x:c r="F38" s="18" t="str">
        <x:v>Pas de vision magique ni de position bloquée</x:v>
      </x:c>
      <x:c r="G38" s="124" t="str">
        <x:v>À exécuter manuellement</x:v>
      </x:c>
      <x:c r="H38" s="18" t="str">
        <x:v>commandStealthV115</x:v>
      </x:c>
      <x:c r="I38" s="18" t="str">
        <x:v>Aucune preuve visuelle/serveur fournie</x:v>
      </x:c>
      <x:c r="J38" s="18" t="str">
        <x:v>https://github.com/darknigthmare/yautja-la-longue-chasse/tree/feat/v138-four-modes-tactics-intel-medics-20261031</x:v>
      </x:c>
    </x:row>
    <x:row r="39" ht="46" customHeight="1">
      <x:c r="A39" s="18" t="str">
        <x:v>QA-CW138-INF-11</x:v>
      </x:c>
      <x:c r="B39" s="18" t="str">
        <x:v>Infiltration</x:v>
      </x:c>
      <x:c r="C39" s="18" t="str">
        <x:v>Lore manuel</x:v>
      </x:c>
      <x:c r="D39" s="18" t="str">
        <x:v>Cibles et honneur</x:v>
      </x:c>
      <x:c r="E39" s="18" t="str">
        <x:v>Œuvre, continuité et nature de la cible</x:v>
      </x:c>
      <x:c r="F39" s="18" t="str">
        <x:v>Aucune règle canon inventée pour tous clans</x:v>
      </x:c>
      <x:c r="G39" s="124" t="str">
        <x:v>À exécuter manuellement</x:v>
      </x:c>
      <x:c r="H39" s="18" t="str">
        <x:v>stealth_honor_TODO</x:v>
      </x:c>
      <x:c r="I39" s="18" t="str">
        <x:v>Aucune preuve visuelle/serveur fournie</x:v>
      </x:c>
      <x:c r="J39" s="18" t="str">
        <x:v>https://github.com/darknigthmare/yautja-la-longue-chasse/tree/feat/v138-four-modes-tactics-intel-medics-20261031</x:v>
      </x:c>
    </x:row>
    <x:row r="40" ht="46" customHeight="1">
      <x:c r="A40" s="18" t="str">
        <x:v>QA-CW138-INF-12</x:v>
      </x:c>
      <x:c r="B40" s="18" t="str">
        <x:v>Infiltration</x:v>
      </x:c>
      <x:c r="C40" s="18" t="str">
        <x:v>QA réseau</x:v>
      </x:c>
      <x:c r="D40" s="18" t="str">
        <x:v>Extraction coop</x:v>
      </x:c>
      <x:c r="E40" s="18" t="str">
        <x:v>Deux agents/escortes sur carte multi-étapes</x:v>
      </x:c>
      <x:c r="F40" s="18" t="str">
        <x:v>Aucun compagnon téléporté ni double preuve</x:v>
      </x:c>
      <x:c r="G40" s="124" t="str">
        <x:v>À exécuter manuellement</x:v>
      </x:c>
      <x:c r="H40" s="18" t="str">
        <x:v>stealth_network_TODO</x:v>
      </x:c>
      <x:c r="I40" s="18" t="str">
        <x:v>Aucune preuve visuelle/serveur fournie</x:v>
      </x:c>
      <x:c r="J40" s="18" t="str">
        <x:v>https://github.com/darknigthmare/yautja-la-longue-chasse/tree/feat/v138-four-modes-tactics-intel-medics-20261031</x:v>
      </x:c>
    </x:row>
    <x:row r="41" ht="46" customHeight="1">
      <x:c r="A41" s="18" t="str">
        <x:v>QA-CW138-RTS-01</x:v>
      </x:c>
      <x:c r="B41" s="18" t="str">
        <x:v>RTS multi-escouades</x:v>
      </x:c>
      <x:c r="C41" s="18" t="str">
        <x:v>CI soins</x:v>
      </x:c>
      <x:c r="D41" s="18" t="str">
        <x:v>Secours d'une vraie escouade neutralisée</x:v>
      </x:c>
      <x:c r="E41" s="18" t="str">
        <x:v>Soigneur W3-U18 réellement déployé à une case et 3 RAV disponibles</x:v>
      </x:c>
      <x:c r="F41" s="18" t="str">
        <x:v>Restauration 2–4 PV, nombre de membres et ID inchangés, un seul reçu</x:v>
      </x:c>
      <x:c r="G41" s="133" t="str">
        <x:v>Validé CI ciblée</x:v>
      </x:c>
      <x:c r="H41" s="18" t="str">
        <x:v>commandWarRtsMedicV138</x:v>
      </x:c>
      <x:c r="I41" s="18" t="str">
        <x:v>Session intégrée en navigateur et manette à organiser</x:v>
      </x:c>
      <x:c r="J41" s="18" t="str">
        <x:v>https://github.com/darknigthmare/yautja-la-longue-chasse/tree/feat/v138-four-modes-tactics-intel-medics-20261031</x:v>
      </x:c>
    </x:row>
    <x:row r="42" ht="46" customHeight="1">
      <x:c r="A42" s="18" t="str">
        <x:v>QA-CW138-RTS-02</x:v>
      </x:c>
      <x:c r="B42" s="18" t="str">
        <x:v>RTS multi-escouades</x:v>
      </x:c>
      <x:c r="C42" s="18" t="str">
        <x:v>CI sécurité</x:v>
      </x:c>
      <x:c r="D42" s="18" t="str">
        <x:v>Refuser soin distant, faux médecin et re-soin</x:v>
      </x:c>
      <x:c r="E42" s="18" t="str">
        <x:v>Mauvaise unité, distance &gt;1, 2 RAV ou patient déjà soigné</x:v>
      </x:c>
      <x:c r="F42" s="18" t="str">
        <x:v>Refus sans aucun nouveau membre/ressource/reçu; sauvegarde de campagne intacte</x:v>
      </x:c>
      <x:c r="G42" s="133" t="str">
        <x:v>Validé CI ciblée</x:v>
      </x:c>
      <x:c r="H42" s="18" t="str">
        <x:v>commandWarRtsMedicV138</x:v>
      </x:c>
      <x:c r="I42" s="18" t="str">
        <x:v>Session intégrée en navigateur et manette à organiser</x:v>
      </x:c>
      <x:c r="J42" s="18" t="str">
        <x:v>https://github.com/darknigthmare/yautja-la-longue-chasse/tree/feat/v138-four-modes-tactics-intel-medics-20261031</x:v>
      </x:c>
    </x:row>
    <x:row r="43" ht="46" customHeight="1">
      <x:c r="A43" s="18" t="str">
        <x:v>QA-CW138-RTS-03</x:v>
      </x:c>
      <x:c r="B43" s="18" t="str">
        <x:v>RTS multi-escouades</x:v>
      </x:c>
      <x:c r="C43" s="18" t="str">
        <x:v>Défense en couvert</x:v>
      </x:c>
      <x:c r="D43" s="18" t="str">
        <x:v>Rendre une escouade active défensive sur une vraie case W3 cover</x:v>
      </x:c>
      <x:c r="E43" s="18" t="str">
        <x:v>Groupe vivant sur couvert, pas d'overwatch concurrent</x:v>
      </x:c>
      <x:c r="F43" s="18" t="str">
        <x:v>Dégâts réduits durant exactement deux réactions, une seule décision</x:v>
      </x:c>
      <x:c r="G43" s="121" t="str">
        <x:v>Validé CI ciblée</x:v>
      </x:c>
      <x:c r="H43" s="18" t="str">
        <x:v>commandWarRtsBraceV137</x:v>
      </x:c>
      <x:c r="I43" s="18" t="str">
        <x:v>Test réel navigateur et manette, vidéo de session non fournie</x:v>
      </x:c>
      <x:c r="J43" s="18" t="str">
        <x:v>https://github.com/darknigthmare/yautja-la-longue-chasse/tree/feat/v138-four-modes-tactics-intel-medics-20261031</x:v>
      </x:c>
    </x:row>
    <x:row r="44" ht="46" customHeight="1">
      <x:c r="A44" s="18" t="str">
        <x:v>QA-CW138-RTS-04</x:v>
      </x:c>
      <x:c r="B44" s="18" t="str">
        <x:v>RTS multi-escouades</x:v>
      </x:c>
      <x:c r="C44" s="18" t="str">
        <x:v>Durée et mouvements</x:v>
      </x:c>
      <x:c r="D44" s="18" t="str">
        <x:v>Tester expiration au troisième tour, déplacement, ordre collectif, KO</x:v>
      </x:c>
      <x:c r="E44" s="18" t="str">
        <x:v>Carte avec obstacles, opposition en LOS</x:v>
      </x:c>
      <x:c r="F44" s="18" t="str">
        <x:v>Bonus disparu après départ ou échéance; pas de RAV ou XP créés</x:v>
      </x:c>
      <x:c r="G44" s="121" t="str">
        <x:v>Validé CI ciblée</x:v>
      </x:c>
      <x:c r="H44" s="18" t="str">
        <x:v>commandWarRtsSquadsV133</x:v>
      </x:c>
      <x:c r="I44" s="18" t="str">
        <x:v>Test réel navigateur et manette, vidéo de session non fournie</x:v>
      </x:c>
      <x:c r="J44" s="18" t="str">
        <x:v>https://github.com/darknigthmare/yautja-la-longue-chasse/tree/feat/v138-four-modes-tactics-intel-medics-20261031</x:v>
      </x:c>
    </x:row>
    <x:row r="45" ht="46" customHeight="1">
      <x:c r="A45" s="18" t="str">
        <x:v>QA-CW138-RTS-05</x:v>
      </x:c>
      <x:c r="B45" s="18" t="str">
        <x:v>RTS multi-escouades</x:v>
      </x:c>
      <x:c r="C45" s="18" t="str">
        <x:v>CI auto</x:v>
      </x:c>
      <x:c r="D45" s="18" t="str">
        <x:v>Veille avec cible visible</x:v>
      </x:c>
      <x:c r="E45" s="18" t="str">
        <x:v>Escouade apte, RAV≥1, cible à portée</x:v>
      </x:c>
      <x:c r="F45" s="18" t="str">
        <x:v>Un tir après réaction, 1 RAV et jamais deux</x:v>
      </x:c>
      <x:c r="G45" s="121" t="str">
        <x:v>Validé CI ciblée</x:v>
      </x:c>
      <x:c r="H45" s="18" t="str">
        <x:v>commandWarRtsOverwatchV136</x:v>
      </x:c>
      <x:c r="I45" s="18" t="str">
        <x:v>Navigateur, manette et charge réelle restent nécessaires</x:v>
      </x:c>
      <x:c r="J45" s="18" t="str">
        <x:v>https://github.com/darknigthmare/yautja-la-longue-chasse/tree/feat/v138-four-modes-tactics-intel-medics-20261031</x:v>
      </x:c>
    </x:row>
    <x:row r="46" ht="46" customHeight="1">
      <x:c r="A46" s="18" t="str">
        <x:v>QA-CW138-RTS-06</x:v>
      </x:c>
      <x:c r="B46" s="18" t="str">
        <x:v>RTS multi-escouades</x:v>
      </x:c>
      <x:c r="C46" s="18" t="str">
        <x:v>CI auto</x:v>
      </x:c>
      <x:c r="D46" s="18" t="str">
        <x:v>Veille sans cible</x:v>
      </x:c>
      <x:c r="E46" s="18" t="str">
        <x:v>Ennemi hors portée ou caché</x:v>
      </x:c>
      <x:c r="F46" s="18" t="str">
        <x:v>Aucune munition consommée; expiration après 2 ticks</x:v>
      </x:c>
      <x:c r="G46" s="121" t="str">
        <x:v>Validé CI ciblée</x:v>
      </x:c>
      <x:c r="H46" s="18" t="str">
        <x:v>commandWarRtsOverwatchV136</x:v>
      </x:c>
      <x:c r="I46" s="18" t="str">
        <x:v>Navigateur, manette et charge réelle restent nécessaires</x:v>
      </x:c>
      <x:c r="J46" s="18" t="str">
        <x:v>https://github.com/darknigthmare/yautja-la-longue-chasse/tree/feat/v138-four-modes-tactics-intel-medics-20261031</x:v>
      </x:c>
    </x:row>
    <x:row r="47" ht="46" customHeight="1">
      <x:c r="A47" s="18" t="str">
        <x:v>QA-CW138-RTS-07</x:v>
      </x:c>
      <x:c r="B47" s="18" t="str">
        <x:v>RTS multi-escouades</x:v>
      </x:c>
      <x:c r="C47" s="18" t="str">
        <x:v>CI auto</x:v>
      </x:c>
      <x:c r="D47" s="18" t="str">
        <x:v>Annulation déplacement</x:v>
      </x:c>
      <x:c r="E47" s="18" t="str">
        <x:v>Déplacement physique, groupe en rassemblement</x:v>
      </x:c>
      <x:c r="F47" s="18" t="str">
        <x:v>Veille supprimée, aucun tir en mouvement</x:v>
      </x:c>
      <x:c r="G47" s="121" t="str">
        <x:v>Validé CI ciblée</x:v>
      </x:c>
      <x:c r="H47" s="18" t="str">
        <x:v>commandWarRtsRallyV134</x:v>
      </x:c>
      <x:c r="I47" s="18" t="str">
        <x:v>Navigateur, manette et charge réelle restent nécessaires</x:v>
      </x:c>
      <x:c r="J47" s="18" t="str">
        <x:v>https://github.com/darknigthmare/yautja-la-longue-chasse/tree/feat/v138-four-modes-tactics-intel-medics-20261031</x:v>
      </x:c>
    </x:row>
    <x:row r="48" ht="46" customHeight="1">
      <x:c r="A48" s="18" t="str">
        <x:v>QA-CW138-RTS-08</x:v>
      </x:c>
      <x:c r="B48" s="18" t="str">
        <x:v>RTS multi-escouades</x:v>
      </x:c>
      <x:c r="C48" s="18" t="str">
        <x:v>Régression CI</x:v>
      </x:c>
      <x:c r="D48" s="18" t="str">
        <x:v>24 contrats W3</x:v>
      </x:c>
      <x:c r="E48" s="18" t="str">
        <x:v>24 ID/12 maps, budgets, 72 objectifs</x:v>
      </x:c>
      <x:c r="F48" s="18" t="str">
        <x:v>Ralliement, suppression, escortes encore possibles</x:v>
      </x:c>
      <x:c r="G48" s="121" t="str">
        <x:v>Validé CI ciblée</x:v>
      </x:c>
      <x:c r="H48" s="18" t="str">
        <x:v>auditWarRtsSquadsV133</x:v>
      </x:c>
      <x:c r="I48" s="18" t="str">
        <x:v>Navigateur, manette et charge réelle restent nécessaires</x:v>
      </x:c>
      <x:c r="J48" s="18" t="str">
        <x:v>https://github.com/darknigthmare/yautja-la-longue-chasse/tree/feat/v138-four-modes-tactics-intel-medics-20261031</x:v>
      </x:c>
    </x:row>
    <x:row r="49" ht="46" customHeight="1">
      <x:c r="A49" s="18" t="str">
        <x:v>QA-CW138-RTS-09</x:v>
      </x:c>
      <x:c r="B49" s="18" t="str">
        <x:v>RTS multi-escouades</x:v>
      </x:c>
      <x:c r="C49" s="18" t="str">
        <x:v>QA manuelle</x:v>
      </x:c>
      <x:c r="D49" s="18" t="str">
        <x:v>Ordres sur carte</x:v>
      </x:c>
      <x:c r="E49" s="18" t="str">
        <x:v>Menu veille/suppression/attente + manette</x:v>
      </x:c>
      <x:c r="F49" s="18" t="str">
        <x:v>Bon bouton et représentation tirs/couvert</x:v>
      </x:c>
      <x:c r="G49" s="124" t="str">
        <x:v>À exécuter manuellement</x:v>
      </x:c>
      <x:c r="H49" s="18" t="str">
        <x:v>ClanWarRtsSquadsV133.tsx</x:v>
      </x:c>
      <x:c r="I49" s="18" t="str">
        <x:v>Aucune preuve visuelle/serveur fournie</x:v>
      </x:c>
      <x:c r="J49" s="18" t="str">
        <x:v>https://github.com/darknigthmare/yautja-la-longue-chasse/tree/feat/v138-four-modes-tactics-intel-medics-20261031</x:v>
      </x:c>
    </x:row>
    <x:row r="50" ht="46" customHeight="1">
      <x:c r="A50" s="18" t="str">
        <x:v>QA-CW138-RTS-10</x:v>
      </x:c>
      <x:c r="B50" s="18" t="str">
        <x:v>RTS multi-escouades</x:v>
      </x:c>
      <x:c r="C50" s="18" t="str">
        <x:v>QA manuelle</x:v>
      </x:c>
      <x:c r="D50" s="18" t="str">
        <x:v>Congestion des formations</x:v>
      </x:c>
      <x:c r="E50" s="18" t="str">
        <x:v>4 escouades, portes sans courant, grille W3</x:v>
      </x:c>
      <x:c r="F50" s="18" t="str">
        <x:v>Aucune superposition ni téléportation</x:v>
      </x:c>
      <x:c r="G50" s="124" t="str">
        <x:v>À exécuter manuellement</x:v>
      </x:c>
      <x:c r="H50" s="18" t="str">
        <x:v>planWarRtsRallyV134</x:v>
      </x:c>
      <x:c r="I50" s="18" t="str">
        <x:v>Aucune preuve visuelle/serveur fournie</x:v>
      </x:c>
      <x:c r="J50" s="18" t="str">
        <x:v>https://github.com/darknigthmare/yautja-la-longue-chasse/tree/feat/v138-four-modes-tactics-intel-medics-20261031</x:v>
      </x:c>
    </x:row>
    <x:row r="51" ht="46" customHeight="1">
      <x:c r="A51" s="18" t="str">
        <x:v>QA-CW138-RTS-11</x:v>
      </x:c>
      <x:c r="B51" s="18" t="str">
        <x:v>RTS multi-escouades</x:v>
      </x:c>
      <x:c r="C51" s="18" t="str">
        <x:v>Lore manuel</x:v>
      </x:c>
      <x:c r="D51" s="18" t="str">
        <x:v>Planètes et lieux</x:v>
      </x:c>
      <x:c r="E51" s="18" t="str">
        <x:v>MAP12 orbital, MAP10 souterrain, Earth WGS84</x:v>
      </x:c>
      <x:c r="F51" s="18" t="str">
        <x:v>Pas de ville Terre sur mondes alien</x:v>
      </x:c>
      <x:c r="G51" s="124" t="str">
        <x:v>À exécuter manuellement</x:v>
      </x:c>
      <x:c r="H51" s="18" t="str">
        <x:v>auditWarSourceMapsV128</x:v>
      </x:c>
      <x:c r="I51" s="18" t="str">
        <x:v>Aucune preuve visuelle/serveur fournie</x:v>
      </x:c>
      <x:c r="J51" s="18" t="str">
        <x:v>https://github.com/darknigthmare/yautja-la-longue-chasse/tree/feat/v138-four-modes-tactics-intel-medics-20261031</x:v>
      </x:c>
    </x:row>
    <x:row r="52" ht="46" customHeight="1">
      <x:c r="A52" s="18" t="str">
        <x:v>QA-CW138-RTS-12</x:v>
      </x:c>
      <x:c r="B52" s="18" t="str">
        <x:v>RTS multi-escouades</x:v>
      </x:c>
      <x:c r="C52" s="18" t="str">
        <x:v>QA réseau</x:v>
      </x:c>
      <x:c r="D52" s="18" t="str">
        <x:v>Fog of war PvP</x:v>
      </x:c>
      <x:c r="E52" s="18" t="str">
        <x:v>Deux clients et serveur autoritaire</x:v>
      </x:c>
      <x:c r="F52" s="18" t="str">
        <x:v>Aucun ID invisible dans snapshot de client</x:v>
      </x:c>
      <x:c r="G52" s="124" t="str">
        <x:v>À exécuter manuellement</x:v>
      </x:c>
      <x:c r="H52" s="18" t="str">
        <x:v>rts_server_TODO</x:v>
      </x:c>
      <x:c r="I52" s="18" t="str">
        <x:v>Aucune preuve visuelle/serveur fournie</x:v>
      </x:c>
      <x:c r="J52" s="18" t="str">
        <x:v>https://github.com/darknigthmare/yautja-la-longue-chasse/tree/feat/v138-four-modes-tactics-intel-medics-20261031</x:v>
      </x:c>
    </x:row>
  </x:sheetData>
  <x:mergeCells>
    <x:mergeCell ref="A1:J1"/>
    <x:mergeCell ref="A2:J2"/>
  </x:mergeCells>
  <x:dataValidations count="1">
    <x:dataValidation type="list" sqref="G5:G52">
      <x:formula1>"CI en cours,Validé CI ciblée,Partiel — prototype,À développer"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7" hidden="0" customWidth="1"/>
    <x:col min="5" max="5" width="46" hidden="0" customWidth="1"/>
    <x:col min="6" max="6" width="41" hidden="0" customWidth="1"/>
    <x:col min="7" max="7" width="40" hidden="0" customWidth="1"/>
    <x:col min="8" max="8" width="22" hidden="0" customWidth="1"/>
    <x:col min="9" max="9" width="47" hidden="0" customWidth="1"/>
  </x:cols>
  <x:sheetData>
    <x:row r="1" ht="36" customHeight="1">
      <x:c r="A1" s="113" t="str">
        <x:v>V138 — INTERACTIONS ENTRE ASSAUT, OUTER OPS, INFILTRATION ET RTS</x:v>
      </x:c>
      <x:c r="B1" s="113"/>
      <x:c r="C1" s="113"/>
      <x:c r="D1" s="113"/>
      <x:c r="E1" s="113"/>
      <x:c r="F1" s="113"/>
      <x:c r="G1" s="113"/>
      <x:c r="H1" s="113"/>
      <x:c r="I1" s="113"/>
    </x:row>
    <x:row r="2" ht="28" customHeight="1">
      <x:c r="A2" s="115" t="str">
        <x:v>20 interactions héritées V137, quatre nouveaux points de cohérence. Séparer les sources V6, les simulations V133 et la campagne V85.</x:v>
      </x:c>
      <x:c r="B2" s="115"/>
      <x:c r="C2" s="115"/>
      <x:c r="D2" s="115"/>
      <x:c r="E2" s="115"/>
      <x:c r="F2" s="115"/>
      <x:c r="G2" s="115"/>
      <x:c r="H2" s="115"/>
      <x:c r="I2" s="115"/>
    </x:row>
    <x:row r="4" ht="34" customHeight="1">
      <x:c r="A4" s="118" t="str">
        <x:v>ID</x:v>
      </x:c>
      <x:c r="B4" s="118" t="str">
        <x:v>Source</x:v>
      </x:c>
      <x:c r="C4" s="118" t="str">
        <x:v>Destination</x:v>
      </x:c>
      <x:c r="D4" s="118" t="str">
        <x:v>Donnée commune</x:v>
      </x:c>
      <x:c r="E4" s="118" t="str">
        <x:v>Événement / contrainte</x:v>
      </x:c>
      <x:c r="F4" s="118" t="str">
        <x:v>Preuve exigée</x:v>
      </x:c>
      <x:c r="G4" s="118" t="str">
        <x:v>Invariant</x:v>
      </x:c>
      <x:c r="H4" s="118" t="str">
        <x:v>Statut</x:v>
      </x:c>
      <x:c r="I4" s="118" t="str">
        <x:v>Code &amp; PR</x:v>
      </x:c>
    </x:row>
    <x:row r="5" ht="47" customHeight="1">
      <x:c r="A5" s="18" t="str">
        <x:v>INT-CW138-001</x:v>
      </x:c>
      <x:c r="B5" s="18" t="str">
        <x:v>Assaut latéral</x:v>
      </x:c>
      <x:c r="C5" s="18" t="str">
        <x:v>Assaut latéral</x:v>
      </x:c>
      <x:c r="D5" s="18" t="str">
        <x:v>AP et unités</x:v>
      </x:c>
      <x:c r="E5" s="18" t="str">
        <x:v>Tenue V136 puis protection V135</x:v>
      </x:c>
      <x:c r="F5" s="18" t="str">
        <x:v>Deux commandes distinctes, chacune payée en AP, même équipe déjà déployée</x:v>
      </x:c>
      <x:c r="G5" s="18" t="str">
        <x:v>Aucun double mouvement ou gratuité</x:v>
      </x:c>
      <x:c r="H5" s="18" t="str">
        <x:v>Partiel — prototype</x:v>
      </x:c>
      <x:c r="I5" s="18" t="str">
        <x:v>orderWarAssaultHoldV136 / reinforceWarAssaultLineV135</x:v>
      </x:c>
    </x:row>
    <x:row r="6" ht="47" customHeight="1">
      <x:c r="A6" s="18" t="str">
        <x:v>INT-CW138-002</x:v>
      </x:c>
      <x:c r="B6" s="18" t="str">
        <x:v>Assaut latéral</x:v>
      </x:c>
      <x:c r="C6" s="18" t="str">
        <x:v>Outer Ops</x:v>
      </x:c>
      <x:c r="D6" s="18" t="str">
        <x:v>Pression territoriale V115</x:v>
      </x:c>
      <x:c r="E6" s="18" t="str">
        <x:v>Victoire d'assaut → pressure[target]</x:v>
      </x:c>
      <x:c r="F6" s="18" t="str">
        <x:v>L'Outer Ops lit ensuite ce compteur sans annexion</x:v>
      </x:c>
      <x:c r="G6" s="18" t="str">
        <x:v>Ne pas traiter la pression comme capture V85</x:v>
      </x:c>
      <x:c r="H6" s="18" t="str">
        <x:v>Validé CI ciblée</x:v>
      </x:c>
      <x:c r="I6" s="18" t="str">
        <x:v>recordOutcome / simulateWarOuterMissionV115</x:v>
      </x:c>
    </x:row>
    <x:row r="7" ht="47" customHeight="1">
      <x:c r="A7" s="18" t="str">
        <x:v>INT-CW138-003</x:v>
      </x:c>
      <x:c r="B7" s="18" t="str">
        <x:v>Assaut latéral</x:v>
      </x:c>
      <x:c r="C7" s="18" t="str">
        <x:v>Infiltration</x:v>
      </x:c>
      <x:c r="D7" s="18" t="str">
        <x:v>État du bastion</x:v>
      </x:c>
      <x:c r="E7" s="18" t="str">
        <x:v>Pression ennemie → infiltration du site</x:v>
      </x:c>
      <x:c r="F7" s="18" t="str">
        <x:v>Planifier vigilance/alarme et contrôle réel</x:v>
      </x:c>
      <x:c r="G7" s="18" t="str">
        <x:v>Aucun effet de simulation V115 non testé sur patrouille</x:v>
      </x:c>
      <x:c r="H7" s="18" t="str">
        <x:v>À développer</x:v>
      </x:c>
      <x:c r="I7" s="18" t="str">
        <x:v>stealth_pressure_TODO</x:v>
      </x:c>
    </x:row>
    <x:row r="8" ht="47" customHeight="1">
      <x:c r="A8" s="18" t="str">
        <x:v>INT-CW138-004</x:v>
      </x:c>
      <x:c r="B8" s="18" t="str">
        <x:v>Assaut latéral</x:v>
      </x:c>
      <x:c r="C8" s="18" t="str">
        <x:v>RTS multi-escouades</x:v>
      </x:c>
      <x:c r="D8" s="18" t="str">
        <x:v>Moral / garnison</x:v>
      </x:c>
      <x:c r="E8" s="18" t="str">
        <x:v>Assaut et RTS partagent détachements de source V6</x:v>
      </x:c>
      <x:c r="F8" s="18" t="str">
        <x:v>Réservation des mêmes membres, coûts uniques selon mission</x:v>
      </x:c>
      <x:c r="G8" s="18" t="str">
        <x:v>Ne jamais transférer acteur V133 local dans sauvegarde V115</x:v>
      </x:c>
      <x:c r="H8" s="18" t="str">
        <x:v>Partiel — prototype</x:v>
      </x:c>
      <x:c r="I8" s="18" t="str">
        <x:v>warMissionEligibleV115</x:v>
      </x:c>
    </x:row>
    <x:row r="9" ht="47" customHeight="1">
      <x:c r="A9" s="18" t="str">
        <x:v>INT-CW138-005</x:v>
      </x:c>
      <x:c r="B9" s="18" t="str">
        <x:v>Outer Ops</x:v>
      </x:c>
      <x:c r="C9" s="18" t="str">
        <x:v>Assaut latéral</x:v>
      </x:c>
      <x:c r="D9" s="18" t="str">
        <x:v>Renseignement V115</x:v>
      </x:c>
      <x:c r="E9" s="18" t="str">
        <x:v>Recon Outer Ops → AP d'assaut</x:v>
      </x:c>
      <x:c r="F9" s="18" t="str">
        <x:v>Après rapport réel de recon, les AP de départ peuvent augmenter</x:v>
      </x:c>
      <x:c r="G9" s="18" t="str">
        <x:v>Aucun intel sans report arrivé à échéance</x:v>
      </x:c>
      <x:c r="H9" s="18" t="str">
        <x:v>Validé CI ciblée</x:v>
      </x:c>
      <x:c r="I9" s="18" t="str">
        <x:v>recordOutcome / beginWarOperationV115</x:v>
      </x:c>
    </x:row>
    <x:row r="10" ht="47" customHeight="1">
      <x:c r="A10" s="18" t="str">
        <x:v>INT-CW138-006</x:v>
      </x:c>
      <x:c r="B10" s="18" t="str">
        <x:v>Outer Ops</x:v>
      </x:c>
      <x:c r="C10" s="18" t="str">
        <x:v>Outer Ops</x:v>
      </x:c>
      <x:c r="D10" s="18" t="str">
        <x:v>Affectations et délais</x:v>
      </x:c>
      <x:c r="E10" s="18" t="str">
        <x:v>Trois mandats délégués simultanés</x:v>
      </x:c>
      <x:c r="F10" s="18" t="str">
        <x:v>Aucun membre ne peut être dans deux mandats</x:v>
      </x:c>
      <x:c r="G10" s="18" t="str">
        <x:v>Pas de rémunération du rappel prématuré</x:v>
      </x:c>
      <x:c r="H10" s="18" t="str">
        <x:v>Validé CI ciblée</x:v>
      </x:c>
      <x:c r="I10" s="18" t="str">
        <x:v>beginWarOperationV115 / settleWarOuterOpsV115</x:v>
      </x:c>
    </x:row>
    <x:row r="11" ht="47" customHeight="1">
      <x:c r="A11" s="18" t="str">
        <x:v>INT-CW138-007</x:v>
      </x:c>
      <x:c r="B11" s="18" t="str">
        <x:v>Outer Ops</x:v>
      </x:c>
      <x:c r="C11" s="18" t="str">
        <x:v>Infiltration</x:v>
      </x:c>
      <x:c r="D11" s="18" t="str">
        <x:v>Recon du terrain</x:v>
      </x:c>
      <x:c r="E11" s="18" t="str">
        <x:v>Rapport de recon → passages d'infiltration mieux visibles</x:v>
      </x:c>
      <x:c r="F11" s="18" t="str">
        <x:v>Prévoir relevés réels après retour</x:v>
      </x:c>
      <x:c r="G11" s="18" t="str">
        <x:v>Pas de révélation automatique d'une IA cachée</x:v>
      </x:c>
      <x:c r="H11" s="18" t="str">
        <x:v>À développer</x:v>
      </x:c>
      <x:c r="I11" s="18" t="str">
        <x:v>stealth_intel_bridge_TODO</x:v>
      </x:c>
    </x:row>
    <x:row r="12" ht="47" customHeight="1">
      <x:c r="A12" s="18" t="str">
        <x:v>INT-CW138-008</x:v>
      </x:c>
      <x:c r="B12" s="18" t="str">
        <x:v>Outer Ops</x:v>
      </x:c>
      <x:c r="C12" s="18" t="str">
        <x:v>RTS multi-escouades</x:v>
      </x:c>
      <x:c r="D12" s="18" t="str">
        <x:v>RAV et logistique</x:v>
      </x:c>
      <x:c r="E12" s="18" t="str">
        <x:v>Ravitaillement Outer Ops → défense RTS par chaîne signée</x:v>
      </x:c>
      <x:c r="F12" s="18" t="str">
        <x:v>Une route et un report validés affectent le front</x:v>
      </x:c>
      <x:c r="G12" s="18" t="str">
        <x:v>Ne jamais créditer V133 sans autorité V85</x:v>
      </x:c>
      <x:c r="H12" s="18" t="str">
        <x:v>À développer</x:v>
      </x:c>
      <x:c r="I12" s="18" t="str">
        <x:v>outer_rts_supplies_TODO</x:v>
      </x:c>
    </x:row>
    <x:row r="13" ht="47" customHeight="1">
      <x:c r="A13" s="18" t="str">
        <x:v>INT-CW138-009</x:v>
      </x:c>
      <x:c r="B13" s="18" t="str">
        <x:v>Infiltration</x:v>
      </x:c>
      <x:c r="C13" s="18" t="str">
        <x:v>Assaut latéral</x:v>
      </x:c>
      <x:c r="D13" s="18" t="str">
        <x:v>Relais affaibli</x:v>
      </x:c>
      <x:c r="E13" s="18" t="str">
        <x:v>Sabotage V115 → bastion rival moins résistant</x:v>
      </x:c>
      <x:c r="F13" s="18" t="str">
        <x:v>Même territoire V6, weakenedIds lors d'une victoire réelle</x:v>
      </x:c>
      <x:c r="G13" s="18" t="str">
        <x:v>Pas de malus sur un autre monde/territoire</x:v>
      </x:c>
      <x:c r="H13" s="18" t="str">
        <x:v>Validé CI ciblée</x:v>
      </x:c>
      <x:c r="I13" s="18" t="str">
        <x:v>recordOutcome / beginWarOperationV115</x:v>
      </x:c>
    </x:row>
    <x:row r="14" ht="47" customHeight="1">
      <x:c r="A14" s="18" t="str">
        <x:v>INT-CW138-010</x:v>
      </x:c>
      <x:c r="B14" s="18" t="str">
        <x:v>Infiltration</x:v>
      </x:c>
      <x:c r="C14" s="18" t="str">
        <x:v>Outer Ops</x:v>
      </x:c>
      <x:c r="D14" s="18" t="str">
        <x:v>Affaiblissement du relais</x:v>
      </x:c>
      <x:c r="E14" s="18" t="str">
        <x:v>Sabotage V115 → bonus de simulation Outer Ops</x:v>
      </x:c>
      <x:c r="F14" s="18" t="str">
        <x:v>Seulement même site après preuve et extraction</x:v>
      </x:c>
      <x:c r="G14" s="18" t="str">
        <x:v>Ne pas activer avant le rapport unique</x:v>
      </x:c>
      <x:c r="H14" s="18" t="str">
        <x:v>Validé CI ciblée</x:v>
      </x:c>
      <x:c r="I14" s="18" t="str">
        <x:v>simulateWarOuterMissionV115</x:v>
      </x:c>
    </x:row>
    <x:row r="15" ht="47" customHeight="1">
      <x:c r="A15" s="18" t="str">
        <x:v>INT-CW138-011</x:v>
      </x:c>
      <x:c r="B15" s="18" t="str">
        <x:v>Infiltration</x:v>
      </x:c>
      <x:c r="C15" s="18" t="str">
        <x:v>Infiltration</x:v>
      </x:c>
      <x:c r="D15" s="18" t="str">
        <x:v>Camouflage, cover et alarmes</x:v>
      </x:c>
      <x:c r="E15" s="18" t="str">
        <x:v>Alerte/couvert persistent dans mission V115</x:v>
      </x:c>
      <x:c r="F15" s="18" t="str">
        <x:v>Un couvert physique utilisé ne peut l'être deux fois</x:v>
      </x:c>
      <x:c r="G15" s="18" t="str">
        <x:v>Aucun camouflage infini et sauvegarde source mismatch</x:v>
      </x:c>
      <x:c r="H15" s="18" t="str">
        <x:v>Validé CI ciblée</x:v>
      </x:c>
      <x:c r="I15" s="18" t="str">
        <x:v>commandStealthV115:hide</x:v>
      </x:c>
    </x:row>
    <x:row r="16" ht="47" customHeight="1">
      <x:c r="A16" s="18" t="str">
        <x:v>INT-CW138-012</x:v>
      </x:c>
      <x:c r="B16" s="18" t="str">
        <x:v>Infiltration</x:v>
      </x:c>
      <x:c r="C16" s="18" t="str">
        <x:v>RTS multi-escouades</x:v>
      </x:c>
      <x:c r="D16" s="18" t="str">
        <x:v>Information relais</x:v>
      </x:c>
      <x:c r="E16" s="18" t="str">
        <x:v>Sabotage V115 → faiblesse d'ennemis en RTS V115</x:v>
      </x:c>
      <x:c r="F16" s="18" t="str">
        <x:v>La reconstitution 9×6 existante peut lire weakenedIds</x:v>
      </x:c>
      <x:c r="G16" s="18" t="str">
        <x:v>Pas d'effet magique sur les 24 W3 du sandbox V133</x:v>
      </x:c>
      <x:c r="H16" s="18" t="str">
        <x:v>Partiel — prototype</x:v>
      </x:c>
      <x:c r="I16" s="18" t="str">
        <x:v>beginWarOperationV115 / V133 isolation</x:v>
      </x:c>
    </x:row>
    <x:row r="17" ht="47" customHeight="1">
      <x:c r="A17" s="18" t="str">
        <x:v>INT-CW138-013</x:v>
      </x:c>
      <x:c r="B17" s="18" t="str">
        <x:v>RTS multi-escouades</x:v>
      </x:c>
      <x:c r="C17" s="18" t="str">
        <x:v>Assaut latéral</x:v>
      </x:c>
      <x:c r="D17" s="18" t="str">
        <x:v>Pression V115</x:v>
      </x:c>
      <x:c r="E17" s="18" t="str">
        <x:v>Victoire RTS libre → pression d'exercice</x:v>
      </x:c>
      <x:c r="F17" s="18" t="str">
        <x:v>En assaut suivant, source de pression réutilisée</x:v>
      </x:c>
      <x:c r="G17" s="18" t="str">
        <x:v>Aucun transfert direct de victoire locale V133</x:v>
      </x:c>
      <x:c r="H17" s="18" t="str">
        <x:v>Validé CI ciblée</x:v>
      </x:c>
      <x:c r="I17" s="18" t="str">
        <x:v>recordOutcome / beginWarOperationV115</x:v>
      </x:c>
    </x:row>
    <x:row r="18" ht="47" customHeight="1">
      <x:c r="A18" s="18" t="str">
        <x:v>INT-CW138-014</x:v>
      </x:c>
      <x:c r="B18" s="18" t="str">
        <x:v>RTS multi-escouades</x:v>
      </x:c>
      <x:c r="C18" s="18" t="str">
        <x:v>Outer Ops</x:v>
      </x:c>
      <x:c r="D18" s="18" t="str">
        <x:v>Pression du front</x:v>
      </x:c>
      <x:c r="E18" s="18" t="str">
        <x:v>Résultat RTS V115 → simulation Outer Ops</x:v>
      </x:c>
      <x:c r="F18" s="18" t="str">
        <x:v>Un compteur pressure validé augmente une force simulée</x:v>
      </x:c>
      <x:c r="G18" s="18" t="str">
        <x:v>Aucune unité ennemie crée à partir du rapport</x:v>
      </x:c>
      <x:c r="H18" s="18" t="str">
        <x:v>Validé CI ciblée</x:v>
      </x:c>
      <x:c r="I18" s="18" t="str">
        <x:v>simulateWarOuterMissionV115</x:v>
      </x:c>
    </x:row>
    <x:row r="19" ht="47" customHeight="1">
      <x:c r="A19" s="18" t="str">
        <x:v>INT-CW138-015</x:v>
      </x:c>
      <x:c r="B19" s="18" t="str">
        <x:v>RTS multi-escouades</x:v>
      </x:c>
      <x:c r="C19" s="18" t="str">
        <x:v>Infiltration</x:v>
      </x:c>
      <x:c r="D19" s="18" t="str">
        <x:v>Couverture et patrouille</x:v>
      </x:c>
      <x:c r="E19" s="18" t="str">
        <x:v>Reconnaissance tactique → infiltration crédible</x:v>
      </x:c>
      <x:c r="F19" s="18" t="str">
        <x:v>Nécessite une autorité de renseignement de carte</x:v>
      </x:c>
      <x:c r="G19" s="18" t="str">
        <x:v>Ne pas donner la carte entière avant observation</x:v>
      </x:c>
      <x:c r="H19" s="18" t="str">
        <x:v>À développer</x:v>
      </x:c>
      <x:c r="I19" s="18" t="str">
        <x:v>rts_stealth_intel_TODO</x:v>
      </x:c>
    </x:row>
    <x:row r="20" ht="47" customHeight="1">
      <x:c r="A20" s="18" t="str">
        <x:v>INT-CW138-016</x:v>
      </x:c>
      <x:c r="B20" s="18" t="str">
        <x:v>RTS multi-escouades</x:v>
      </x:c>
      <x:c r="C20" s="18" t="str">
        <x:v>RTS multi-escouades</x:v>
      </x:c>
      <x:c r="D20" s="18" t="str">
        <x:v>Sources de monde W3</x:v>
      </x:c>
      <x:c r="E20" s="18" t="str">
        <x:v>24 contrats V129 et règles V133–V136</x:v>
      </x:c>
      <x:c r="F20" s="18" t="str">
        <x:v>24 missions / 12 cartes; unités identifiées et veille physique</x:v>
      </x:c>
      <x:c r="G20" s="18" t="str">
        <x:v>Aucun PvP serveur ni scène filmique 1:1 déclarés</x:v>
      </x:c>
      <x:c r="H20" s="18" t="str">
        <x:v>Partiel — prototype</x:v>
      </x:c>
      <x:c r="I20" s="18" t="str">
        <x:v>clanWarRtsSquadsV133</x:v>
      </x:c>
    </x:row>
    <x:row r="21" ht="47" customHeight="1">
      <x:c r="A21" s="18" t="str">
        <x:v>INT-CW138-017</x:v>
      </x:c>
      <x:c r="B21" s="18" t="str">
        <x:v>Assaut latéral</x:v>
      </x:c>
      <x:c r="C21" s="18" t="str">
        <x:v>Outer Ops</x:v>
      </x:c>
      <x:c r="D21" s="18" t="str">
        <x:v>Identité des équipes</x:v>
      </x:c>
      <x:c r="E21" s="18" t="str">
        <x:v>Une formation retirée du bastion ne devient pas libre pour une autre mission tant que la bataille n'est pas close</x:v>
      </x:c>
      <x:c r="F21" s="18" t="str">
        <x:v>Réservation maintenue en V115; aucun lancement concurrent accepté</x:v>
      </x:c>
      <x:c r="G21" s="18" t="str">
        <x:v>Pas de double affectation de membres</x:v>
      </x:c>
      <x:c r="H21" s="18" t="str">
        <x:v>CI en cours</x:v>
      </x:c>
      <x:c r="I21" s="18" t="str">
        <x:v>withdrawWarAssaultSquadV137 / warMissionEligibleV115</x:v>
      </x:c>
    </x:row>
    <x:row r="22" ht="47" customHeight="1">
      <x:c r="A22" s="18" t="str">
        <x:v>INT-CW138-018</x:v>
      </x:c>
      <x:c r="B22" s="18" t="str">
        <x:v>Outer Ops</x:v>
      </x:c>
      <x:c r="C22" s="18" t="str">
        <x:v>Infiltration</x:v>
      </x:c>
      <x:c r="D22" s="18" t="str">
        <x:v>Renseignement et délai</x:v>
      </x:c>
      <x:c r="E22" s="18" t="str">
        <x:v>Une reconnaissance après halte n'accorde aucun renseignement avant son échéance retardée</x:v>
      </x:c>
      <x:c r="F22" s="18" t="str">
        <x:v>Accès au renseignement uniquement après le rapport final daté</x:v>
      </x:c>
      <x:c r="G22" s="18" t="str">
        <x:v>Pas d'intel globale anticipée</x:v>
      </x:c>
      <x:c r="H22" s="18" t="str">
        <x:v>CI en cours</x:v>
      </x:c>
      <x:c r="I22" s="18" t="str">
        <x:v>orderWarOuterReconHaltV137 / settleWarOuterOpsV115</x:v>
      </x:c>
    </x:row>
    <x:row r="23" ht="47" customHeight="1">
      <x:c r="A23" s="18" t="str">
        <x:v>INT-CW138-019</x:v>
      </x:c>
      <x:c r="B23" s="18" t="str">
        <x:v>Infiltration</x:v>
      </x:c>
      <x:c r="C23" s="18" t="str">
        <x:v>RTS multi-escouades</x:v>
      </x:c>
      <x:c r="D23" s="18" t="str">
        <x:v>Informations de couverture</x:v>
      </x:c>
      <x:c r="E23" s="18" t="str">
        <x:v>Un pas vers un couvert réel n'invente aucun bonus d'armure RTS ni ennemi connu</x:v>
      </x:c>
      <x:c r="F23" s="18" t="str">
        <x:v>Sources V6 distinctes; aucun changement du moteur V133</x:v>
      </x:c>
      <x:c r="G23" s="18" t="str">
        <x:v>Ni téléportation ni connaissance omnisciente</x:v>
      </x:c>
      <x:c r="H23" s="18" t="str">
        <x:v>CI en cours</x:v>
      </x:c>
      <x:c r="I23" s="18" t="str">
        <x:v>commandStealthV115 / commandWarRtsBraceV137</x:v>
      </x:c>
    </x:row>
    <x:row r="24" ht="47" customHeight="1">
      <x:c r="A24" s="18" t="str">
        <x:v>INT-CW138-020</x:v>
      </x:c>
      <x:c r="B24" s="18" t="str">
        <x:v>RTS multi-escouades</x:v>
      </x:c>
      <x:c r="C24" s="18" t="str">
        <x:v>Assaut latéral</x:v>
      </x:c>
      <x:c r="D24" s="18" t="str">
        <x:v>Aucune XP ou prise de territoire</x:v>
      </x:c>
      <x:c r="E24" s="18" t="str">
        <x:v>La posture défensive RTS ne modifie ni l'AP latéral ni la campagne V85</x:v>
      </x:c>
      <x:c r="F24" s="18" t="str">
        <x:v>Simulation W3 libre; pas de reçu de conquête</x:v>
      </x:c>
      <x:c r="G24" s="18" t="str">
        <x:v>Le protocole V85 reste isolé</x:v>
      </x:c>
      <x:c r="H24" s="18" t="str">
        <x:v>CI en cours</x:v>
      </x:c>
      <x:c r="I24" s="18" t="str">
        <x:v>commandWarRtsBraceV137 / receipt V133</x:v>
      </x:c>
    </x:row>
    <x:row r="25" ht="47" customHeight="1">
      <x:c r="A25" s="18" t="str">
        <x:v>INT-CW138-021</x:v>
      </x:c>
      <x:c r="B25" s="18" t="str">
        <x:v>Assaut latéral</x:v>
      </x:c>
      <x:c r="C25" s="18" t="str">
        <x:v>Outer Ops</x:v>
      </x:c>
      <x:c r="D25" s="18" t="str">
        <x:v>Réservation des équipes et PC</x:v>
      </x:c>
      <x:c r="E25" s="18" t="str">
        <x:v>Une percée de front ne permet pas de réaffecter une équipe déjà engagée</x:v>
      </x:c>
      <x:c r="F25" s="18" t="str">
        <x:v>Mandat Outer Ops refuse la même identité avant le reçu de fin</x:v>
      </x:c>
      <x:c r="G25" s="18" t="str">
        <x:v>Pas de doublon de personne ni AP convertis gratuitement en RAV</x:v>
      </x:c>
      <x:c r="H25" s="18" t="str">
        <x:v>CI en cours</x:v>
      </x:c>
      <x:c r="I25" s="18" t="str">
        <x:v>commandWarAssaultSurgeV138 / warMissionEligibleV115</x:v>
      </x:c>
    </x:row>
    <x:row r="26" ht="47" customHeight="1">
      <x:c r="A26" s="18" t="str">
        <x:v>INT-CW138-022</x:v>
      </x:c>
      <x:c r="B26" s="18" t="str">
        <x:v>Outer Ops</x:v>
      </x:c>
      <x:c r="C26" s="18" t="str">
        <x:v>Infiltration</x:v>
      </x:c>
      <x:c r="D26" s="18" t="str">
        <x:v>Renseignements connus et bruit local</x:v>
      </x:c>
      <x:c r="E26" s="18" t="str">
        <x:v>Un bulletin de route ne donne pas la position d'une garde sur une autre carte</x:v>
      </x:c>
      <x:c r="F26" s="18" t="str">
        <x:v>Aucun X/Y ennemi, écoute locale seulement en couvert</x:v>
      </x:c>
      <x:c r="G26" s="18" t="str">
        <x:v>Pas d'omniprésence d'information entre systèmes</x:v>
      </x:c>
      <x:c r="H26" s="18" t="str">
        <x:v>CI en cours</x:v>
      </x:c>
      <x:c r="I26" s="18" t="str">
        <x:v>requestWarOuterSignalV138 / warStealthSoundBearingV138</x:v>
      </x:c>
    </x:row>
    <x:row r="27" ht="47" customHeight="1">
      <x:c r="A27" s="18" t="str">
        <x:v>INT-CW138-023</x:v>
      </x:c>
      <x:c r="B27" s="18" t="str">
        <x:v>Infiltration</x:v>
      </x:c>
      <x:c r="C27" s="18" t="str">
        <x:v>RTS multi-escouades</x:v>
      </x:c>
      <x:c r="D27" s="18" t="str">
        <x:v>Reconnaissance et terrain</x:v>
      </x:c>
      <x:c r="E27" s="18" t="str">
        <x:v>La perception sonore de patrouille ne peut pas révéler une garnison W3 cachée</x:v>
      </x:c>
      <x:c r="F27" s="18" t="str">
        <x:v>UI masque le garde hors perception ; RTS utilise sa LOS propre</x:v>
      </x:c>
      <x:c r="G27" s="18" t="str">
        <x:v>Garde-fou anti-fog-of-war commun</x:v>
      </x:c>
      <x:c r="H27" s="18" t="str">
        <x:v>CI en cours</x:v>
      </x:c>
      <x:c r="I27" s="18" t="str">
        <x:v>warStealthGuardVisibleV138 / visibleWarRtsEnemiesV133</x:v>
      </x:c>
    </x:row>
    <x:row r="28" ht="47" customHeight="1">
      <x:c r="A28" s="18" t="str">
        <x:v>INT-CW138-024</x:v>
      </x:c>
      <x:c r="B28" s="18" t="str">
        <x:v>RTS multi-escouades</x:v>
      </x:c>
      <x:c r="C28" s="18" t="str">
        <x:v>Assaut latéral</x:v>
      </x:c>
      <x:c r="D28" s="18" t="str">
        <x:v>Blessures et garnison</x:v>
      </x:c>
      <x:c r="E28" s="18" t="str">
        <x:v>Le triage W3-U18 ne crée aucun soldat pour l'assaut ni blessure de campagne V85</x:v>
      </x:c>
      <x:c r="F28" s="18" t="str">
        <x:v>Membres conservés par identifiant; budget W3 RAV exact</x:v>
      </x:c>
      <x:c r="G28" s="18" t="str">
        <x:v>Aucun XP, annexion ou recrutement fictif</x:v>
      </x:c>
      <x:c r="H28" s="18" t="str">
        <x:v>CI en cours</x:v>
      </x:c>
      <x:c r="I28" s="18" t="str">
        <x:v>commandWarRtsMedicV138 / applyWarResultV6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40" hidden="0" customWidth="1"/>
    <x:col min="4" max="4" width="46" hidden="0" customWidth="1"/>
    <x:col min="5" max="5" width="39" hidden="0" customWidth="1"/>
    <x:col min="6" max="6" width="41" hidden="0" customWidth="1"/>
    <x:col min="7" max="7" width="15" hidden="0" customWidth="1"/>
    <x:col min="8" max="8" width="15" hidden="0" customWidth="1"/>
  </x:cols>
  <x:sheetData>
    <x:row r="1" ht="40" customHeight="1">
      <x:c r="A1" s="125" t="str">
        <x:v>GUERRE DES CLANS — PILOTAGE COORDONNÉ V138</x:v>
      </x:c>
      <x:c r="B1" s="125"/>
      <x:c r="C1" s="125"/>
      <x:c r="D1" s="125"/>
      <x:c r="E1" s="125"/>
      <x:c r="F1" s="125"/>
      <x:c r="G1" s="125"/>
      <x:c r="H1" s="125"/>
    </x:row>
    <x:row r="2" ht="30" customHeight="1">
      <x:c r="A2" s="115" t="str">
        <x:v>31 octobre 2026 · PR #47 · 82 tests Node sur 82, TypeScript et ESLint validés. Statut d'intégration ciblé, pas jeu final.</x:v>
      </x:c>
      <x:c r="B2" s="115"/>
      <x:c r="C2" s="115"/>
      <x:c r="D2" s="115"/>
      <x:c r="E2" s="115"/>
      <x:c r="F2" s="115"/>
      <x:c r="G2" s="115"/>
      <x:c r="H2" s="115"/>
    </x:row>
    <x:row r="4" ht="32" customHeight="1">
      <x:c r="A4" s="118" t="str">
        <x:v>Mode</x:v>
      </x:c>
      <x:c r="B4" s="118" t="str">
        <x:v>Exigences V138</x:v>
      </x:c>
      <x:c r="C4" s="118" t="str">
        <x:v>CI ciblée validée</x:v>
      </x:c>
      <x:c r="D4" s="118" t="str">
        <x:v>Prototype partiel</x:v>
      </x:c>
      <x:c r="E4" s="118" t="str">
        <x:v>À développer</x:v>
      </x:c>
      <x:c r="F4" s="118" t="str">
        <x:v>CI en cours</x:v>
      </x:c>
    </x:row>
    <x:row r="5" ht="28" customHeight="1">
      <x:c r="A5" t="str">
        <x:v>Assaut latéral</x:v>
      </x:c>
      <x:c r="B5" t="n">
        <x:f>COUNTA('ASSAUT_V138'!$A$5:$A$18)</x:f>
        <x:v>14</x:v>
      </x:c>
      <x:c r="C5" t="n">
        <x:f>COUNTIF('ASSAUT_V138'!$J$5:$J$18,"Validé CI ciblée")</x:f>
        <x:v>6</x:v>
      </x:c>
      <x:c r="D5" t="n">
        <x:f>COUNTIF('ASSAUT_V138'!$J$5:$J$18,"Partiel — prototype")</x:f>
        <x:v>2</x:v>
      </x:c>
      <x:c r="E5" t="n">
        <x:f>COUNTIF('ASSAUT_V138'!$J$5:$J$18,"À développer")</x:f>
        <x:v>6</x:v>
      </x:c>
      <x:c r="F5" t="n">
        <x:f>COUNTIF('ASSAUT_V138'!$J$5:$J$18,"CI en cours")</x:f>
        <x:v>0</x:v>
      </x:c>
    </x:row>
    <x:row r="6" ht="28" customHeight="1">
      <x:c r="A6" t="str">
        <x:v>Outer Ops</x:v>
      </x:c>
      <x:c r="B6" t="n">
        <x:f>COUNTA('OUTER_OPS_V138'!$A$5:$A$18)</x:f>
        <x:v>14</x:v>
      </x:c>
      <x:c r="C6" t="n">
        <x:f>COUNTIF('OUTER_OPS_V138'!$J$5:$J$18,"Validé CI ciblée")</x:f>
        <x:v>7</x:v>
      </x:c>
      <x:c r="D6" t="n">
        <x:f>COUNTIF('OUTER_OPS_V138'!$J$5:$J$18,"Partiel — prototype")</x:f>
        <x:v>3</x:v>
      </x:c>
      <x:c r="E6" t="n">
        <x:f>COUNTIF('OUTER_OPS_V138'!$J$5:$J$18,"À développer")</x:f>
        <x:v>4</x:v>
      </x:c>
      <x:c r="F6" t="n">
        <x:f>COUNTIF('OUTER_OPS_V138'!$J$5:$J$18,"CI en cours")</x:f>
        <x:v>0</x:v>
      </x:c>
    </x:row>
    <x:row r="7" ht="28" customHeight="1">
      <x:c r="A7" t="str">
        <x:v>Infiltration</x:v>
      </x:c>
      <x:c r="B7" t="n">
        <x:f>COUNTA('INFILTRATION_V138'!$A$5:$A$18)</x:f>
        <x:v>14</x:v>
      </x:c>
      <x:c r="C7" t="n">
        <x:f>COUNTIF('INFILTRATION_V138'!$J$5:$J$18,"Validé CI ciblée")</x:f>
        <x:v>8</x:v>
      </x:c>
      <x:c r="D7" t="n">
        <x:f>COUNTIF('INFILTRATION_V138'!$J$5:$J$18,"Partiel — prototype")</x:f>
        <x:v>1</x:v>
      </x:c>
      <x:c r="E7" t="n">
        <x:f>COUNTIF('INFILTRATION_V138'!$J$5:$J$18,"À développer")</x:f>
        <x:v>5</x:v>
      </x:c>
      <x:c r="F7" t="n">
        <x:f>COUNTIF('INFILTRATION_V138'!$J$5:$J$18,"CI en cours")</x:f>
        <x:v>0</x:v>
      </x:c>
    </x:row>
    <x:row r="8" ht="28" customHeight="1">
      <x:c r="A8" t="str">
        <x:v>RTS multi-escouades</x:v>
      </x:c>
      <x:c r="B8" t="n">
        <x:f>COUNTA('RTS_V138'!$A$5:$A$18)</x:f>
        <x:v>14</x:v>
      </x:c>
      <x:c r="C8" t="n">
        <x:f>COUNTIF('RTS_V138'!$J$5:$J$18,"Validé CI ciblée")</x:f>
        <x:v>9</x:v>
      </x:c>
      <x:c r="D8" t="n">
        <x:f>COUNTIF('RTS_V138'!$J$5:$J$18,"Partiel — prototype")</x:f>
        <x:v>2</x:v>
      </x:c>
      <x:c r="E8" t="n">
        <x:f>COUNTIF('RTS_V138'!$J$5:$J$18,"À développer")</x:f>
        <x:v>3</x:v>
      </x:c>
      <x:c r="F8" t="n">
        <x:f>COUNTIF('RTS_V138'!$J$5:$J$18,"CI en cours")</x:f>
        <x:v>0</x:v>
      </x:c>
    </x:row>
    <x:row r="9" ht="28" customHeight="1">
      <x:c r="A9" s="127" t="str">
        <x:v>TOTAL</x:v>
      </x:c>
      <x:c r="B9" s="127" t="n">
        <x:f>SUM(B5:B8)</x:f>
        <x:v>56</x:v>
      </x:c>
      <x:c r="C9" s="127" t="n">
        <x:f>SUM(C5:C8)</x:f>
        <x:v>30</x:v>
      </x:c>
      <x:c r="D9" s="127" t="n">
        <x:f>SUM(D5:D8)</x:f>
        <x:v>8</x:v>
      </x:c>
      <x:c r="E9" s="127" t="n">
        <x:f>SUM(E5:E8)</x:f>
        <x:v>18</x:v>
      </x:c>
      <x:c r="F9" s="127" t="n">
        <x:f>SUM(F5:F8)</x:f>
        <x:v>0</x:v>
      </x:c>
    </x:row>
    <x:row r="12" ht="32" customHeight="1">
      <x:c r="A12" s="118" t="str">
        <x:v>Indicateur</x:v>
      </x:c>
      <x:c r="B12" s="118" t="str">
        <x:v>Volume / valeur</x:v>
      </x:c>
      <x:c r="C12" s="118" t="str">
        <x:v>État exact</x:v>
      </x:c>
      <x:c r="D12" s="118" t="str">
        <x:v>Limite de la preuve</x:v>
      </x:c>
      <x:c r="E12" s="118" t="str">
        <x:v>Référence</x:v>
      </x:c>
      <x:c r="F12" s="118" t="str">
        <x:v>Travail restant</x:v>
      </x:c>
    </x:row>
    <x:row r="13" ht="42" customHeight="1">
      <x:c r="A13" t="str">
        <x:v>QA V138</x:v>
      </x:c>
      <x:c r="B13" t="n">
        <x:f>COUNTA('QA_V138'!$A$5:$A$52)</x:f>
        <x:v>48</x:v>
      </x:c>
      <x:c r="C13" t="str">
        <x:v>8 nouveaux + 40 hérités V137</x:v>
      </x:c>
      <x:c r="D13" t="str">
        <x:v>Tests Node ≠ sessions manette et navigateur</x:v>
      </x:c>
      <x:c r="E13" t="str">
        <x:v>https://github.com/darknigthmare/yautja-la-longue-chasse/tree/feat/v138-four-modes-tactics-intel-medics-20261031</x:v>
      </x:c>
      <x:c r="F13" t="str">
        <x:v>Tests manuels, navigation, latence</x:v>
      </x:c>
    </x:row>
    <x:row r="14" ht="42" customHeight="1">
      <x:c r="A14" t="str">
        <x:v>QA passées en CI</x:v>
      </x:c>
      <x:c r="B14" t="n">
        <x:f>COUNTIF('QA_V138'!$G$5:$G$52,"Validé CI ciblée")</x:f>
        <x:v>32</x:v>
      </x:c>
      <x:c r="C14" t="str">
        <x:v>D'après statuts propres à QA_V138</x:v>
      </x:c>
      <x:c r="D14" t="str">
        <x:v>Ne certifie ni sprites ni fidélité d'œuvre</x:v>
      </x:c>
      <x:c r="E14" t="str">
        <x:v>https://github.com/darknigthmare/yautja-la-longue-chasse/tree/feat/v138-four-modes-tactics-intel-medics-20261031</x:v>
      </x:c>
      <x:c r="F14" t="str">
        <x:v>Vérification du rendu et scénarios</x:v>
      </x:c>
    </x:row>
    <x:row r="15" ht="42" customHeight="1">
      <x:c r="A15" t="str">
        <x:v>QA CI en cours</x:v>
      </x:c>
      <x:c r="B15" t="n">
        <x:f>COUNTIF('QA_V138'!$G$5:$G$52,"CI en cours")</x:f>
        <x:v>0</x:v>
      </x:c>
      <x:c r="C15" t="str">
        <x:v>Mesure calculée via champs statut</x:v>
      </x:c>
      <x:c r="D15" t="str">
        <x:v>À finaliser sur commit exact</x:v>
      </x:c>
      <x:c r="E15" t="str">
        <x:v>https://github.com/darknigthmare/yautja-la-longue-chasse/tree/feat/v138-four-modes-tactics-intel-medics-20261031</x:v>
      </x:c>
      <x:c r="F15" t="str">
        <x:v>GitHub Actions du dernier commit</x:v>
      </x:c>
    </x:row>
    <x:row r="16" ht="42" customHeight="1">
      <x:c r="A16" t="str">
        <x:v>Interactions entre modes</x:v>
      </x:c>
      <x:c r="B16" t="n">
        <x:f>COUNTA('CROISEMENTS_V138'!$A$5:$A$28)</x:f>
        <x:v>24</x:v>
      </x:c>
      <x:c r="C16" t="str">
        <x:v>20 historiques et quatre supplémentaires</x:v>
      </x:c>
      <x:c r="D16" t="str">
        <x:v>Aucune copie de troupe entre simulations V115/V133</x:v>
      </x:c>
      <x:c r="E16" t="str">
        <x:v>https://github.com/darknigthmare/yautja-la-longue-chasse/tree/feat/v138-four-modes-tactics-intel-medics-20261031</x:v>
      </x:c>
      <x:c r="F16" t="str">
        <x:v>Raccord aux vrais membres de V85</x:v>
      </x:c>
    </x:row>
    <x:row r="19" ht="32" customHeight="1">
      <x:c r="A19" s="118" t="str">
        <x:v>Catalogues préservés</x:v>
      </x:c>
      <x:c r="B19" s="118" t="str">
        <x:v>Volume</x:v>
      </x:c>
      <x:c r="C19" s="118" t="str">
        <x:v>Niveau de finition</x:v>
      </x:c>
      <x:c r="D19" s="118" t="str">
        <x:v>Provenance</x:v>
      </x:c>
      <x:c r="E19" s="118" t="str">
        <x:v>À ne pas déclarer</x:v>
      </x:c>
      <x:c r="F19" s="118" t="str">
        <x:v>Suite attendue</x:v>
      </x:c>
    </x:row>
    <x:row r="20" ht="46" customHeight="1">
      <x:c r="A20" s="18" t="str">
        <x:v>Variantes géographiques V120</x:v>
      </x:c>
      <x:c r="B20" s="18" t="n">
        <x:v>1200</x:v>
      </x:c>
      <x:c r="C20" s="18" t="str">
        <x:v>Design-only</x:v>
      </x:c>
      <x:c r="D20" s="18" t="str">
        <x:v>PR #34</x:v>
      </x:c>
      <x:c r="E20" s="18" t="str">
        <x:v>1 200 niveaux jouables</x:v>
      </x:c>
      <x:c r="F20" s="18" t="str">
        <x:v>Adapter et tester chaque rencontre en jeu</x:v>
      </x:c>
    </x:row>
    <x:row r="21" ht="46" customHeight="1">
      <x:c r="A21" s="18" t="str">
        <x:v>Missions RTS W3</x:v>
      </x:c>
      <x:c r="B21" s="18" t="n">
        <x:v>24</x:v>
      </x:c>
      <x:c r="C21" s="18" t="str">
        <x:v>Étude tactique jouable en sandbox</x:v>
      </x:c>
      <x:c r="D21" s="18" t="str">
        <x:v>PR #40, #43, #45</x:v>
      </x:c>
      <x:c r="E21" s="18" t="str">
        <x:v>RTS d'armée totale livré</x:v>
      </x:c>
      <x:c r="F21" s="18" t="str">
        <x:v>Convois / garnison / IA militaire</x:v>
      </x:c>
    </x:row>
    <x:row r="22" ht="46" customHeight="1">
      <x:c r="A22" s="18" t="str">
        <x:v>Cartes source W3</x:v>
      </x:c>
      <x:c r="B22" s="18" t="n">
        <x:v>12</x:v>
      </x:c>
      <x:c r="C22" s="18" t="str">
        <x:v>Géométrie guidée, non scène film 1:1</x:v>
      </x:c>
      <x:c r="D22" s="18" t="str">
        <x:v>PR #38</x:v>
      </x:c>
      <x:c r="E22" s="18" t="str">
        <x:v>Décors cinématographiques finis</x:v>
      </x:c>
      <x:c r="F22" s="18" t="str">
        <x:v>3D/2.5D et level design manuel</x:v>
      </x:c>
    </x:row>
    <x:row r="23" ht="46" customHeight="1">
      <x:c r="A23" s="18" t="str">
        <x:v>Missions W5</x:v>
      </x:c>
      <x:c r="B23" s="18" t="n">
        <x:v>36</x:v>
      </x:c>
      <x:c r="C23" s="18" t="str">
        <x:v>Dossiers source</x:v>
      </x:c>
      <x:c r="D23" s="18" t="str">
        <x:v>PR #29</x:v>
      </x:c>
      <x:c r="E23" s="18" t="str">
        <x:v>Campagne W5 achevée</x:v>
      </x:c>
      <x:c r="F23" s="18" t="str">
        <x:v>Script, personnages, objectifs et QA</x:v>
      </x:c>
    </x:row>
    <x:row r="26" ht="32" customHeight="1">
      <x:c r="A26" s="130" t="str">
        <x:v>IMPORTANT — fidélité 1:1 : citer œuvre, époque, continuité et source visuelle. Les règles AP, RAV, audio et soin sont originales à notre jeu.</x:v>
      </x:c>
      <x:c r="B26" s="130"/>
      <x:c r="C26" s="130"/>
      <x:c r="D26" s="130"/>
      <x:c r="E26" s="130"/>
      <x:c r="F26" s="130"/>
      <x:c r="G26" s="130"/>
      <x:c r="H26" s="130"/>
    </x:row>
    <x:row r="27" ht="32" customHeight="1">
      <x:c r="A27" s="130" t="str">
        <x:v>AUCUNE CONQUÊTE V85, AUCUN SERVEUR MULTIJOUEUR NI 1 200 SCÈNES TERMINÉES ne sont démontrés par les tests CI.</x:v>
      </x:c>
      <x:c r="B27" s="130"/>
      <x:c r="C27" s="130"/>
      <x:c r="D27" s="130"/>
      <x:c r="E27" s="130"/>
      <x:c r="F27" s="130"/>
      <x:c r="G27" s="130"/>
      <x:c r="H27" s="130"/>
    </x:row>
    <x:row r="29" ht="23" customHeight="1">
      <x:c r="A29" s="132" t="str">
        <x:v>https://github.com/darknigthmare/yautja-la-longue-chasse/tree/feat/v138-four-modes-tactics-intel-medics-20261031</x:v>
      </x:c>
      <x:c r="B29" s="132"/>
      <x:c r="C29" s="132"/>
      <x:c r="D29" s="132"/>
      <x:c r="E29" s="132"/>
      <x:c r="F29" s="132"/>
      <x:c r="G29" s="132"/>
      <x:c r="H29" s="132"/>
    </x:row>
    <x:row r="31" ht="26" customHeight="1">
      <x:c r="A31" s="135" t="str">
        <x:v>CI vérifiée : https://github.com/darknigthmare/yautja-la-longue-chasse/actions/runs/41195937740</x:v>
      </x:c>
      <x:c r="B31" s="135"/>
      <x:c r="C31" s="135"/>
      <x:c r="D31" s="135"/>
      <x:c r="E31" s="135"/>
      <x:c r="F31" s="135"/>
      <x:c r="G31" s="135"/>
      <x:c r="H31" s="135"/>
    </x:row>
  </x:sheetData>
  <x:mergeCells>
    <x:mergeCell ref="A1:H1"/>
    <x:mergeCell ref="A2:H2"/>
    <x:mergeCell ref="A26:H26"/>
    <x:mergeCell ref="A27:H27"/>
    <x:mergeCell ref="A29:H29"/>
    <x:mergeCell ref="A31:H31"/>
  </x:mergeCells>
  <x:pageMargins left="0.7" right="0.7" top="0.75" bottom="0.75" header="0.3" footer="0.3"/>
  <x:drawing xmlns:r="http://schemas.openxmlformats.org/officeDocument/2006/relationships" r:id="R760bbb4aa7134669"/>
</x:worksheet>
</file>