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4a5902cccd43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f8de2a76faf4456b"/>
    <x:sheet xmlns:r="http://schemas.openxmlformats.org/officeDocument/2006/relationships" name="Index maître" sheetId="2" r:id="Ra6ca9330c361477e"/>
    <x:sheet xmlns:r="http://schemas.openxmlformats.org/officeDocument/2006/relationships" name="Films &amp; animation" sheetId="3" r:id="R336eb9b2b25a417d"/>
    <x:sheet xmlns:r="http://schemas.openxmlformats.org/officeDocument/2006/relationships" name="Jeux vidéo" sheetId="4" r:id="R4bb4323b9e684c08"/>
    <x:sheet xmlns:r="http://schemas.openxmlformats.org/officeDocument/2006/relationships" name="Comics &amp; romans" sheetId="5" r:id="R777d93a283fa42d8"/>
    <x:sheet xmlns:r="http://schemas.openxmlformats.org/officeDocument/2006/relationships" name="Kenner" sheetId="6" r:id="R3d84198fe4c347b3"/>
    <x:sheet xmlns:r="http://schemas.openxmlformats.org/officeDocument/2006/relationships" name="NECA" sheetId="7" r:id="R6bf0535b785743e6"/>
    <x:sheet xmlns:r="http://schemas.openxmlformats.org/officeDocument/2006/relationships" name="Fan-films" sheetId="8" r:id="R124484f606034195"/>
    <x:sheet xmlns:r="http://schemas.openxmlformats.org/officeDocument/2006/relationships" name="Alias &amp; doublons" sheetId="9" r:id="R427da625542742f9"/>
    <x:sheet xmlns:r="http://schemas.openxmlformats.org/officeDocument/2006/relationships" name="Clans &amp; classes" sheetId="10" r:id="R44f70d2e9db543f7"/>
    <x:sheet xmlns:r="http://schemas.openxmlformats.org/officeDocument/2006/relationships" name="Exclusions" sheetId="11" r:id="Rbe1074756e3a47bb"/>
    <x:sheet xmlns:r="http://schemas.openxmlformats.org/officeDocument/2006/relationships" name="Sources" sheetId="12" r:id="R0f2d14a0036e4f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20"/>
      <x:color rgb="FFD9B56D"/>
      <x:name val="Carlito"/>
    </x:font>
    <x:font>
      <x:i/>
      <x:sz val="11"/>
      <x:color rgb="FF1C2524"/>
      <x:name val="Carlito"/>
    </x:font>
    <x:font>
      <x:b/>
      <x:sz val="12"/>
      <x:color rgb="FFFFFFFF"/>
      <x:name val="Carlito"/>
    </x:font>
    <x:font>
      <x:b/>
      <x:sz val="13"/>
      <x:color rgb="FF1C2524"/>
      <x:name val="Carlito"/>
    </x:font>
    <x:font>
      <x:sz val="11"/>
      <x:color rgb="FF1C2524"/>
      <x:name val="Carlito"/>
    </x:font>
    <x:font>
      <x:b/>
      <x:sz val="11"/>
      <x:color rgb="FFFFFFFF"/>
      <x:name val="Carlito"/>
    </x:font>
    <x:font>
      <x:sz val="10"/>
      <x:color rgb="FF1C252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C2524"/>
      </x:patternFill>
    </x:fill>
    <x:fill>
      <x:patternFill patternType="solid">
        <x:fgColor rgb="FFF4F0E6"/>
      </x:patternFill>
    </x:fill>
    <x:fill>
      <x:patternFill patternType="solid">
        <x:fgColor rgb="FFA87832"/>
      </x:patternFill>
    </x:fill>
    <x:fill>
      <x:patternFill patternType="solid">
        <x:fgColor rgb="FFE8EEE9"/>
      </x:patternFill>
    </x:fill>
    <x:fill>
      <x:patternFill patternType="solid">
        <x:fgColor rgb="FFF3F5F4"/>
      </x:patternFill>
    </x:fill>
  </x:fills>
  <x:borders count="6">
    <x:border/>
    <x:border/>
    <x:border>
      <x:bottom style="hair">
        <x:color rgb="FFCDD3D0"/>
      </x:bottom>
    </x:border>
    <x:border>
      <x:bottom style="hair">
        <x:color rgb="FFCDD3D0"/>
      </x:bottom>
    </x:border>
    <x:border>
      <x:bottom style="thin">
        <x:color rgb="FFA87832"/>
      </x:bottom>
    </x:border>
    <x:border>
      <x:bottom style="thin">
        <x:color rgb="FFA87832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vertical="center"/>
    </x:xf>
    <x:xf numFmtId="0" fontId="0" fillId="5" borderId="3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4" xfId="0" applyNumberFormat="1" applyFont="1" applyFill="1" applyBorder="1"/>
    <x:xf numFmtId="0" fontId="6" fillId="2" borderId="4" xfId="0" applyNumberFormat="1" applyFont="1" applyFill="1" applyBorder="1" applyAlignment="1">
      <x:alignment wrapText="1"/>
    </x:xf>
    <x:xf numFmtId="0" fontId="6" fillId="2" borderId="4" xfId="0" applyNumberFormat="1" applyFont="1" applyFill="1" applyBorder="1" applyAlignment="1">
      <x:alignment horizontal="center" wrapText="1"/>
    </x:xf>
    <x:xf numFmtId="0" fontId="6" fillId="2" borderId="4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/>
    <x:xf numFmtId="0" fontId="6" fillId="2" borderId="5" xfId="0" applyNumberFormat="1" applyFont="1" applyFill="1" applyBorder="1"/>
    <x:xf numFmtId="0" fontId="6" fillId="2" borderId="5" xfId="0" applyNumberFormat="1" applyFont="1" applyFill="1" applyBorder="1" applyAlignment="1">
      <x:alignment wrapText="1"/>
    </x:xf>
    <x:xf numFmtId="0" fontId="6" fillId="2" borderId="5" xfId="0" applyNumberFormat="1" applyFont="1" applyFill="1" applyBorder="1" applyAlignment="1">
      <x:alignment horizontal="center" wrapText="1"/>
    </x:xf>
    <x:xf numFmtId="0" fontId="6" fillId="2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top" wrapText="1"/>
    </x:xf>
    <x:xf numFmtId="0" fontId="6" fillId="2" borderId="4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6" fillId="2" borderId="5" xfId="0" applyNumberFormat="1" applyFont="1" applyFill="1" applyBorder="1" applyAlignment="1">
      <x:alignment horizontal="center" vertical="top" wrapText="1"/>
    </x:xf>
    <x:xf numFmtId="0" fontId="7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20552A"/>
      </x:font>
      <x:fill>
        <x:patternFill patternType="solid">
          <x:bgColor rgb="FFE3F2E7"/>
        </x:patternFill>
      </x:fill>
    </x:dxf>
    <x:dxf>
      <x:font>
        <x:color rgb="FF7A5700"/>
      </x:font>
      <x:fill>
        <x:patternFill patternType="solid">
          <x:bgColor rgb="FFFFF2CC"/>
        </x:patternFill>
      </x:fill>
    </x:dxf>
    <x:dxf>
      <x:font>
        <x:color rgb="FF66706D"/>
      </x:font>
      <x:fill>
        <x:patternFill patternType="solid">
          <x:bgColor rgb="FFF3F5F4"/>
        </x:patternFill>
      </x:fill>
    </x:dxf>
    <x:dxf>
      <x:font>
        <x:b/>
        <x:color rgb="FF8B1E1E"/>
      </x:font>
      <x:fill>
        <x:patternFill patternType="solid">
          <x:bgColor rgb="FFFBE4E4"/>
        </x:patternFill>
      </x:fill>
    </x:dxf>
    <x:dxf>
      <x:font>
        <x:color rgb="FF8B1E1E"/>
      </x:font>
      <x:fill>
        <x:patternFill patternType="solid">
          <x:bgColor rgb="FFFB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5130d5d44c40e8" /><Relationship Type="http://schemas.openxmlformats.org/officeDocument/2006/relationships/theme" Target="/xl/theme/theme1.xml" Id="Rd17ae88b466240bc" /><Relationship Type="http://schemas.openxmlformats.org/officeDocument/2006/relationships/sharedStrings" Target="/xl/sharedStrings.xml" Id="R5a04077685704321" /><Relationship Type="http://schemas.openxmlformats.org/officeDocument/2006/relationships/worksheet" Target="/xl/worksheets/sheet1.xml" Id="Rf8de2a76faf4456b" /><Relationship Type="http://schemas.openxmlformats.org/officeDocument/2006/relationships/worksheet" Target="/xl/worksheets/sheet2.xml" Id="Ra6ca9330c361477e" /><Relationship Type="http://schemas.openxmlformats.org/officeDocument/2006/relationships/worksheet" Target="/xl/worksheets/sheet3.xml" Id="R336eb9b2b25a417d" /><Relationship Type="http://schemas.openxmlformats.org/officeDocument/2006/relationships/worksheet" Target="/xl/worksheets/sheet4.xml" Id="R4bb4323b9e684c08" /><Relationship Type="http://schemas.openxmlformats.org/officeDocument/2006/relationships/worksheet" Target="/xl/worksheets/sheet5.xml" Id="R777d93a283fa42d8" /><Relationship Type="http://schemas.openxmlformats.org/officeDocument/2006/relationships/worksheet" Target="/xl/worksheets/sheet6.xml" Id="R3d84198fe4c347b3" /><Relationship Type="http://schemas.openxmlformats.org/officeDocument/2006/relationships/worksheet" Target="/xl/worksheets/sheet7.xml" Id="R6bf0535b785743e6" /><Relationship Type="http://schemas.openxmlformats.org/officeDocument/2006/relationships/worksheet" Target="/xl/worksheets/sheet8.xml" Id="R124484f606034195" /><Relationship Type="http://schemas.openxmlformats.org/officeDocument/2006/relationships/worksheet" Target="/xl/worksheets/sheet9.xml" Id="R427da625542742f9" /><Relationship Type="http://schemas.openxmlformats.org/officeDocument/2006/relationships/worksheet" Target="/xl/worksheets/sheet10.xml" Id="R44f70d2e9db543f7" /><Relationship Type="http://schemas.openxmlformats.org/officeDocument/2006/relationships/worksheet" Target="/xl/worksheets/sheet11.xml" Id="Rbe1074756e3a47bb" /><Relationship Type="http://schemas.openxmlformats.org/officeDocument/2006/relationships/worksheet" Target="/xl/worksheets/sheet12.xml" Id="R0f2d14a0036e4f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d29b8c948f0466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Désignations par média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Nombre de désignations</c:v>
          </c:tx>
          <c:cat>
            <c:strRef>
              <c:f>'Synthèse'!$A$17:$A$23</c:f>
              <c:strCache>
                <c:ptCount val="0"/>
              </c:strCache>
            </c:strRef>
          </c:cat>
          <c:val>
            <c:numRef>
              <c:f>'Synthèse'!$B$17:$B$23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15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29b8c948f0466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YautjaMasterTable" displayName="YautjaMasterTable" ref="A1:K256" headerRowCount="1">
  <x:tableColumns count="11">
    <x:tableColumn id="1" name="ID"/>
    <x:tableColumn id="2" name="Nom principal"/>
    <x:tableColumn id="3" name="Alias / autres noms"/>
    <x:tableColumn id="4" name="Type"/>
    <x:tableColumn id="5" name="Média(x)"/>
    <x:tableColumn id="6" name="Œuvre / ligne principale"/>
    <x:tableColumn id="7" name="Statut"/>
    <x:tableColumn id="8" name="Nom canonique si alias"/>
    <x:tableColumn id="9" name="Notes"/>
    <x:tableColumn id="10" name="Identité distincte ?"/>
    <x:tableColumn id="11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ScreenYautjaTable" displayName="ScreenYautjaTable" ref="A1:F38" headerRowCount="1">
  <x:tableColumns count="6">
    <x:tableColumn id="1" name="Année/statut"/>
    <x:tableColumn id="2" name="Œuvre"/>
    <x:tableColumn id="3" name="Yautja"/>
    <x:tableColumn id="4" name="Rôle / remarque"/>
    <x:tableColumn id="5" name="Alias principaux"/>
    <x:tableColumn id="6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VideoGamesYautjaTable" displayName="VideoGamesYautjaTable" ref="A1:G70" headerRowCount="1">
  <x:tableColumns count="7">
    <x:tableColumn id="1" name="Yautja / classe"/>
    <x:tableColumn id="2" name="Type"/>
    <x:tableColumn id="3" name="Jeu principal"/>
    <x:tableColumn id="4" name="Identité distincte ?"/>
    <x:tableColumn id="5" name="Nom canonique"/>
    <x:tableColumn id="6" name="Notes"/>
    <x:tableColumn id="7" name="Source URL"/>
  </x:tableColumns>
  <x:tableStyleInfo name="TableStyleMedium2" showRowStripes="1"/>
</x:table>
</file>

<file path=xl/tables/table4.xml><?xml version="1.0" encoding="utf-8"?>
<x:table xmlns:x="http://schemas.openxmlformats.org/spreadsheetml/2006/main" id="4" name="ExtendedUniverseTable" displayName="ExtendedUniverseTable" ref="A1:G124" headerRowCount="1">
  <x:tableColumns count="7">
    <x:tableColumn id="1" name="Yautja"/>
    <x:tableColumn id="2" name="Média(x)"/>
    <x:tableColumn id="3" name="Œuvre principale connue"/>
    <x:tableColumn id="4" name="Type"/>
    <x:tableColumn id="5" name="Identité distincte ?"/>
    <x:tableColumn id="6" name="Notes"/>
    <x:tableColumn id="7" name="Source URL"/>
  </x:tableColumns>
  <x:tableStyleInfo name="TableStyleMedium2" showRowStripes="1"/>
</x:table>
</file>

<file path=xl/tables/table5.xml><?xml version="1.0" encoding="utf-8"?>
<x:table xmlns:x="http://schemas.openxmlformats.org/spreadsheetml/2006/main" id="5" name="KennerPredatorTable" displayName="KennerPredatorTable" ref="A1:G19" headerRowCount="1">
  <x:tableColumns count="7">
    <x:tableColumn id="1" name="Période"/>
    <x:tableColumn id="2" name="Gamme"/>
    <x:tableColumn id="3" name="Nom sur emballage / sortie"/>
    <x:tableColumn id="4" name="Nature"/>
    <x:tableColumn id="5" name="Nouvelle identité ?"/>
    <x:tableColumn id="6" name="Identité canonique / remarque"/>
    <x:tableColumn id="7" name="Source URL"/>
  </x:tableColumns>
  <x:tableStyleInfo name="TableStyleMedium2" showRowStripes="1"/>
</x:table>
</file>

<file path=xl/tables/table6.xml><?xml version="1.0" encoding="utf-8"?>
<x:table xmlns:x="http://schemas.openxmlformats.org/spreadsheetml/2006/main" id="6" name="NECAPredatorTable" displayName="NECAPredatorTable" ref="A1:F94" headerRowCount="1">
  <x:tableColumns count="6">
    <x:tableColumn id="1" name="Gamme / série"/>
    <x:tableColumn id="2" name="Nom de la figurine"/>
    <x:tableColumn id="3" name="Identité correspondante"/>
    <x:tableColumn id="4" name="Nature"/>
    <x:tableColumn id="5" name="Yautja ?"/>
    <x:tableColumn id="6" name="Source URL"/>
  </x:tableColumns>
  <x:tableStyleInfo name="TableStyleMedium2" showRowStripes="1"/>
</x:table>
</file>

<file path=xl/tables/table7.xml><?xml version="1.0" encoding="utf-8"?>
<x:table xmlns:x="http://schemas.openxmlformats.org/spreadsheetml/2006/main" id="7" name="FanFilmsYautjaTable" displayName="FanFilmsYautjaTable" ref="A1:F8" headerRowCount="1">
  <x:tableColumns count="6">
    <x:tableColumn id="1" name="Année / statut"/>
    <x:tableColumn id="2" name="Production"/>
    <x:tableColumn id="3" name="Yautja recensé"/>
    <x:tableColumn id="4" name="Périmètre / remarque"/>
    <x:tableColumn id="5" name="Licencié ensuite ?"/>
    <x:tableColumn id="6" name="Source URL"/>
  </x:tableColumns>
  <x:tableStyleInfo name="TableStyleMedium2" showRowStripes="1"/>
</x:table>
</file>

<file path=xl/tables/table8.xml><?xml version="1.0" encoding="utf-8"?>
<x:table xmlns:x="http://schemas.openxmlformats.org/spreadsheetml/2006/main" id="8" name="AliasesTable" displayName="AliasesTable" ref="A1:D23" headerRowCount="1">
  <x:tableColumns count="4">
    <x:tableColumn id="1" name="Alias / nom secondaire"/>
    <x:tableColumn id="2" name="Identité canonique"/>
    <x:tableColumn id="3" name="Contexte"/>
    <x:tableColumn id="4" name="Avertissement / note"/>
  </x:tableColumns>
  <x:tableStyleInfo name="TableStyleMedium2" showRowStripes="1"/>
</x:table>
</file>

<file path=xl/tables/table9.xml><?xml version="1.0" encoding="utf-8"?>
<x:table xmlns:x="http://schemas.openxmlformats.org/spreadsheetml/2006/main" id="9" name="ExclusionsTable" displayName="ExclusionsTable" ref="A1:C9" headerRowCount="1">
  <x:tableColumns count="3">
    <x:tableColumn id="1" name="Entrée souvent confondue"/>
    <x:tableColumn id="2" name="Nature réelle"/>
    <x:tableColumn id="3" name="Pourquoi elle n'est pas comptée comme Yautja distinct"/>
  </x:tableColumns>
  <x:tableStyleInfo name="TableStyleMedium2" showRowStripes="1"/>
</x:table>
</file>

<file path=xl/tables/table10.xml><?xml version="1.0" encoding="utf-8"?>
<x:table xmlns:x="http://schemas.openxmlformats.org/spreadsheetml/2006/main" id="10" name="SourcesTable" displayName="SourcesTable" ref="A1:C11" headerRowCount="1">
  <x:tableColumns count="3">
    <x:tableColumn id="1" name="Source / corpus"/>
    <x:tableColumn id="2" name="URL"/>
    <x:tableColumn id="3" name="Utilisation et limi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eae618c60b649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06d9eed2554e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7cf9f302ac4d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25174a291844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2b277ec21243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71a2d02a05e46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65a015f818345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5b550a1e0e45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109e43e862a42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66c74c1567244b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26ab7dca5b0496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5" t="str">
        <x:v>CATALOGUE MAÎTRE DES YAUTJA — TOUS MÉDIAS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 ht="38" customHeight="1">
      <x:c r="A3" s="12" t="str">
        <x:v>Périmètre vérifiable au 20 juillet 2026 : individus nommés, surnommés ou désignés, groupes/rangs séparés, identités de merchandising et principaux fan-films catalogués.</x:v>
      </x:c>
      <x:c r="B3" s="12"/>
      <x:c r="C3" s="12"/>
      <x:c r="D3" s="12"/>
      <x:c r="E3" s="12"/>
      <x:c r="F3" s="12"/>
      <x:c r="G3" s="12"/>
      <x:c r="H3" s="12"/>
    </x:row>
    <x:row r="5">
      <x:c r="A5" s="18" t="str">
        <x:v>INDICATEURS</x:v>
      </x:c>
      <x:c r="B5" s="18"/>
      <x:c r="D5" s="18" t="str">
        <x:v>LECTURE DU CATALOGUE</x:v>
      </x:c>
      <x:c r="E5" s="18"/>
      <x:c r="F5" s="18"/>
      <x:c r="G5" s="18"/>
      <x:c r="H5" s="18"/>
    </x:row>
    <x:row r="6" ht="23" customHeight="1">
      <x:c r="A6" s="24" t="str">
        <x:v>Désignations recensées</x:v>
      </x:c>
      <x:c r="B6" s="33" t="n">
        <x:f>COUNTA('Index maître'!A2:A256)</x:f>
        <x:v>255</x:v>
      </x:c>
      <x:c r="D6" s="69" t="str">
        <x:v>• « Identité distincte = Oui » : individu ou design/personnage traité comme autonome par une œuvre ou une licence.
• « Alias » : autre nom du même Yautja; le nom canonique est indiqué.
• Les groupes, clans, rangs, humains Blooded, Predaliens et animaux sont séparés afin d’éviter les faux doublons.
• Les fan-films privés, customs et OCs non publiés ne peuvent pas être recensés mondialement; seuls les projets publics et catalogués sont inclus.
• Les feuilles Kenner et NECA répertorient les identités et les principales variantes qui expliquent les noms de collectionneurs.</x:v>
      </x:c>
      <x:c r="E6" s="69"/>
      <x:c r="F6" s="69"/>
      <x:c r="G6" s="69"/>
      <x:c r="H6" s="69"/>
    </x:row>
    <x:row r="7" ht="23" customHeight="1">
      <x:c r="A7" s="24" t="str">
        <x:v>Identités distinctes</x:v>
      </x:c>
      <x:c r="B7" s="33" t="n">
        <x:f>COUNTIF('Index maître'!J2:J256,"Oui")</x:f>
        <x:v>209</x:v>
      </x:c>
      <x:c r="D7" s="69"/>
      <x:c r="E7" s="69"/>
      <x:c r="F7" s="69"/>
      <x:c r="G7" s="69"/>
      <x:c r="H7" s="69"/>
    </x:row>
    <x:row r="8" ht="23" customHeight="1">
      <x:c r="A8" s="24" t="str">
        <x:v>Alias / doublons</x:v>
      </x:c>
      <x:c r="B8" s="33" t="n">
        <x:f>COUNTIF('Index maître'!J2:J256,"Alias")</x:f>
        <x:v>21</x:v>
      </x:c>
      <x:c r="D8" s="69"/>
      <x:c r="E8" s="69"/>
      <x:c r="F8" s="69"/>
      <x:c r="G8" s="69"/>
      <x:c r="H8" s="69"/>
    </x:row>
    <x:row r="9" ht="23" customHeight="1">
      <x:c r="A9" s="24" t="str">
        <x:v>À confirmer</x:v>
      </x:c>
      <x:c r="B9" s="33" t="n">
        <x:f>COUNTIF('Index maître'!J2:J256,"À confirmer")</x:f>
        <x:v>1</x:v>
      </x:c>
      <x:c r="D9" s="69"/>
      <x:c r="E9" s="69"/>
      <x:c r="F9" s="69"/>
      <x:c r="G9" s="69"/>
      <x:c r="H9" s="69"/>
    </x:row>
    <x:row r="10" ht="23" customHeight="1">
      <x:c r="A10" s="24" t="str">
        <x:v>Groupes / collectifs</x:v>
      </x:c>
      <x:c r="B10" s="33" t="n">
        <x:f>COUNTIF('Index maître'!J2:J256,"Non (groupe)")</x:f>
        <x:v>17</x:v>
      </x:c>
      <x:c r="D10" s="69"/>
      <x:c r="E10" s="69"/>
      <x:c r="F10" s="69"/>
      <x:c r="G10" s="69"/>
      <x:c r="H10" s="69"/>
    </x:row>
    <x:row r="11" ht="23" customHeight="1">
      <x:c r="A11" s="24" t="str">
        <x:v>Rangs / classes</x:v>
      </x:c>
      <x:c r="B11" s="33" t="n">
        <x:f>COUNTIF('Index maître'!J2:J256,"Non (rang)")</x:f>
        <x:v>7</x:v>
      </x:c>
      <x:c r="D11" s="69"/>
      <x:c r="E11" s="69"/>
      <x:c r="F11" s="69"/>
      <x:c r="G11" s="69"/>
      <x:c r="H11" s="69"/>
    </x:row>
    <x:row r="12" ht="23" customHeight="1">
      <x:c r="A12" s="24" t="str">
        <x:v>Entrées écran officiel</x:v>
      </x:c>
      <x:c r="B12" s="33" t="n">
        <x:f>COUNTIF('Index maître'!G2:G256,"Écran officiel / licencié")+COUNTIF('Index maître'!G2:G256,"Œuvre achevée non diffusée")</x:f>
        <x:v>37</x:v>
      </x:c>
      <x:c r="D12" s="69"/>
      <x:c r="E12" s="69"/>
      <x:c r="F12" s="69"/>
      <x:c r="G12" s="69"/>
      <x:c r="H12" s="69"/>
    </x:row>
    <x:row r="13" ht="23" customHeight="1">
      <x:c r="A13" s="25" t="str">
        <x:v>Entrées fan-made</x:v>
      </x:c>
      <x:c r="B13" s="34" t="n">
        <x:f>COUNTIF('Index maître'!G2:G256,"Non officiel / fan-made")+COUNTIF('Index maître'!G2:G256,"Fan-made puis licencié")</x:f>
        <x:v>6</x:v>
      </x:c>
    </x:row>
    <x:row r="15">
      <x:c r="A15" s="18" t="str">
        <x:v>RÉPARTITION PAR MÉDIA — formules calculées depuis l’index</x:v>
      </x:c>
      <x:c r="B15" s="18"/>
      <x:c r="C15" s="18"/>
      <x:c r="D15" s="18"/>
      <x:c r="E15" s="18"/>
      <x:c r="F15" s="18"/>
      <x:c r="G15" s="18"/>
      <x:c r="H15" s="18"/>
    </x:row>
    <x:row r="16">
      <x:c r="A16" s="53" t="str">
        <x:v>Média</x:v>
      </x:c>
      <x:c r="B16" s="53" t="str">
        <x:v>Nombre de désignations</x:v>
      </x:c>
    </x:row>
    <x:row r="17">
      <x:c r="A17" s="59" t="str">
        <x:v>Film / animation</x:v>
      </x:c>
      <x:c r="B17" s="59" t="n">
        <x:f>COUNTIF('Index maître'!L2:L256,"Film / animation")</x:f>
        <x:v>54</x:v>
      </x:c>
    </x:row>
    <x:row r="18">
      <x:c r="A18" s="59" t="str">
        <x:v>Anime inédit</x:v>
      </x:c>
      <x:c r="B18" s="59" t="n">
        <x:f>COUNTIF('Index maître'!L2:L256,"Anime inédit")</x:f>
        <x:v>2</x:v>
      </x:c>
    </x:row>
    <x:row r="19">
      <x:c r="A19" s="59" t="str">
        <x:v>Jeu vidéo</x:v>
      </x:c>
      <x:c r="B19" s="59" t="n">
        <x:f>COUNTIF('Index maître'!L2:L256,"Jeu vidéo")</x:f>
        <x:v>55</x:v>
      </x:c>
    </x:row>
    <x:row r="20">
      <x:c r="A20" s="59" t="str">
        <x:v>Comics</x:v>
      </x:c>
      <x:c r="B20" s="59" t="n">
        <x:f>COUNTIF('Index maître'!L2:L256,"Comics")</x:f>
        <x:v>45</x:v>
      </x:c>
    </x:row>
    <x:row r="21">
      <x:c r="A21" s="59" t="str">
        <x:v>Roman / prose</x:v>
      </x:c>
      <x:c r="B21" s="59" t="n">
        <x:f>COUNTIF('Index maître'!L2:L256,"Roman / prose")</x:f>
        <x:v>10</x:v>
      </x:c>
    </x:row>
    <x:row r="22">
      <x:c r="A22" s="59" t="str">
        <x:v>Figurine / jouet</x:v>
      </x:c>
      <x:c r="B22" s="59" t="n">
        <x:f>COUNTIF('Index maître'!L2:L256,"Figurine / jouet")</x:f>
        <x:v>19</x:v>
      </x:c>
    </x:row>
    <x:row r="23">
      <x:c r="A23" s="59" t="str">
        <x:v>Fan-film</x:v>
      </x:c>
      <x:c r="B23" s="59" t="n">
        <x:f>COUNTIF('Index maître'!L2:L256,"Fan-film")</x:f>
        <x:v>7</x:v>
      </x:c>
    </x:row>
  </x:sheetData>
  <x:mergeCells>
    <x:mergeCell ref="A1:H2"/>
    <x:mergeCell ref="A3:H3"/>
    <x:mergeCell ref="A5:B5"/>
    <x:mergeCell ref="D5:H5"/>
    <x:mergeCell ref="D6:H12"/>
    <x:mergeCell ref="A15:H15"/>
  </x:mergeCells>
  <x:pageMargins left="0.7" right="0.7" top="0.75" bottom="0.75" header="0.3" footer="0.3"/>
  <x:drawing xmlns:r="http://schemas.openxmlformats.org/officeDocument/2006/relationships" r:id="R9eae618c60b649ba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1" hidden="0" customWidth="1"/>
    <x:col min="3" max="3" width="32" hidden="0" customWidth="1"/>
    <x:col min="4" max="4" width="27" hidden="0" customWidth="1"/>
    <x:col min="5" max="5" width="31" hidden="0" customWidth="1"/>
    <x:col min="6" max="6" width="38" hidden="0" customWidth="1"/>
    <x:col min="7" max="7" width="28" hidden="0" customWidth="1"/>
    <x:col min="8" max="8" width="30" hidden="0" customWidth="1"/>
    <x:col min="9" max="9" width="46" hidden="0" customWidth="1"/>
    <x:col min="10" max="10" width="20" hidden="0" customWidth="1"/>
    <x:col min="11" max="11" width="52" hidden="0" customWidth="1"/>
    <x:col min="12" max="12" width="20" hidden="0" customWidth="1"/>
  </x:cols>
  <x:sheetData>
    <x:row r="1" ht="32" customHeight="1">
      <x:c r="A1" s="53" t="str">
        <x:v>ID</x:v>
      </x:c>
      <x:c r="B1" s="53" t="str">
        <x:v>Nom principal</x:v>
      </x:c>
      <x:c r="C1" s="53" t="str">
        <x:v>Alias / autres noms</x:v>
      </x:c>
      <x:c r="D1" s="53" t="str">
        <x:v>Type</x:v>
      </x:c>
      <x:c r="E1" s="53" t="str">
        <x:v>Média(x)</x:v>
      </x:c>
      <x:c r="F1" s="53" t="str">
        <x:v>Œuvre / ligne principale</x:v>
      </x:c>
      <x:c r="G1" s="53" t="str">
        <x:v>Statut</x:v>
      </x:c>
      <x:c r="H1" s="53" t="str">
        <x:v>Nom canonique si alias</x:v>
      </x:c>
      <x:c r="I1" s="53" t="str">
        <x:v>Notes</x:v>
      </x:c>
      <x:c r="J1" s="53" t="str">
        <x:v>Identité distincte ?</x:v>
      </x:c>
      <x:c r="K1" s="53" t="str">
        <x:v>Source URL</x:v>
      </x:c>
      <x:c r="L1" s="53" t="str">
        <x:v>Famille principale</x:v>
      </x:c>
    </x:row>
    <x:row r="2">
      <x:c r="A2" s="61" t="str">
        <x:v>Y-001</x:v>
      </x:c>
      <x:c r="B2" s="61" t="str">
        <x:v>'Aseigan</x:v>
      </x:c>
      <x:c r="C2" s="61" t="str"/>
      <x:c r="D2" s="61" t="str">
        <x:v>Individu nommé ou surnommé</x:v>
      </x:c>
      <x:c r="E2" s="61" t="str">
        <x:v>Roman / prose</x:v>
      </x:c>
      <x:c r="F2" s="61" t="str">
        <x:v>Aliens vs. Predator: Prey</x:v>
      </x:c>
      <x:c r="G2" s="61" t="str">
        <x:v>Univers étendu licencié / catalogué</x:v>
      </x:c>
      <x:c r="H2" s="61" t="str"/>
      <x:c r="I2" s="61" t="str"/>
      <x:c r="J2" s="61" t="str">
        <x:v>Oui</x:v>
      </x:c>
      <x:c r="K2" s="61" t="str">
        <x:v>https://avp.fandom.com/wiki/'Aseigan</x:v>
      </x:c>
      <x:c r="L2" s="59" t="str">
        <x:v>Roman / prose</x:v>
      </x:c>
    </x:row>
    <x:row r="3">
      <x:c r="A3" s="61" t="str">
        <x:v>Y-002</x:v>
      </x:c>
      <x:c r="B3" s="61" t="str">
        <x:v>A'ni-de</x:v>
      </x:c>
      <x:c r="C3" s="61" t="str"/>
      <x:c r="D3" s="61" t="str">
        <x:v>Individu nommé ou surnommé</x:v>
      </x:c>
      <x:c r="E3" s="61" t="str">
        <x:v>Roman / prose</x:v>
      </x:c>
      <x:c r="F3" s="61" t="str">
        <x:v>Aliens vs. Predator: Prey</x:v>
      </x:c>
      <x:c r="G3" s="61" t="str">
        <x:v>Univers étendu licencié / catalogué</x:v>
      </x:c>
      <x:c r="H3" s="61" t="str"/>
      <x:c r="I3" s="61" t="str"/>
      <x:c r="J3" s="61" t="str">
        <x:v>Oui</x:v>
      </x:c>
      <x:c r="K3" s="61" t="str">
        <x:v>https://avp.fandom.com/wiki/A'ni-de</x:v>
      </x:c>
      <x:c r="L3" s="59" t="str">
        <x:v>Roman / prose</x:v>
      </x:c>
    </x:row>
    <x:row r="4">
      <x:c r="A4" s="61" t="str">
        <x:v>Y-003</x:v>
      </x:c>
      <x:c r="B4" s="61" t="str">
        <x:v>Adilgashii</x:v>
      </x:c>
      <x:c r="C4" s="61" t="str"/>
      <x:c r="D4" s="61" t="str">
        <x:v>Individu nommé ou surnommé</x:v>
      </x:c>
      <x:c r="E4" s="61" t="str">
        <x:v>Comics</x:v>
      </x:c>
      <x:c r="F4" s="61" t="str">
        <x:v>Voir la source individuelle</x:v>
      </x:c>
      <x:c r="G4" s="61" t="str">
        <x:v>Univers étendu licencié / catalogué</x:v>
      </x:c>
      <x:c r="H4" s="61" t="str"/>
      <x:c r="I4" s="61" t="str"/>
      <x:c r="J4" s="61" t="str">
        <x:v>Oui</x:v>
      </x:c>
      <x:c r="K4" s="61" t="str">
        <x:v>https://avp.fandom.com/wiki/Adilgashii</x:v>
      </x:c>
      <x:c r="L4" s="59" t="str">
        <x:v>Comics</x:v>
      </x:c>
    </x:row>
    <x:row r="5">
      <x:c r="A5" s="61" t="str">
        <x:v>Y-004</x:v>
      </x:c>
      <x:c r="B5" s="61" t="str">
        <x:v>Ahab</x:v>
      </x:c>
      <x:c r="C5" s="61" t="str"/>
      <x:c r="D5" s="61" t="str">
        <x:v>Individu nommé ou surnommé</x:v>
      </x:c>
      <x:c r="E5" s="61" t="str">
        <x:v>Comics</x:v>
      </x:c>
      <x:c r="F5" s="61" t="str">
        <x:v>Fire and Stone / Life and Death</x:v>
      </x:c>
      <x:c r="G5" s="61" t="str">
        <x:v>Univers étendu licencié / catalogué</x:v>
      </x:c>
      <x:c r="H5" s="61" t="str"/>
      <x:c r="I5" s="61" t="str"/>
      <x:c r="J5" s="61" t="str">
        <x:v>Oui</x:v>
      </x:c>
      <x:c r="K5" s="61" t="str">
        <x:v>https://avp.fandom.com/wiki/Ahab</x:v>
      </x:c>
      <x:c r="L5" s="59" t="str">
        <x:v>Comics</x:v>
      </x:c>
    </x:row>
    <x:row r="6">
      <x:c r="A6" s="61" t="str">
        <x:v>Y-005</x:v>
      </x:c>
      <x:c r="B6" s="61" t="str">
        <x:v>Akuma Predator</x:v>
      </x:c>
      <x:c r="C6" s="61" t="str"/>
      <x:c r="D6" s="61" t="str">
        <x:v>Concept de fan-film</x:v>
      </x:c>
      <x:c r="E6" s="61" t="str">
        <x:v>Fan-film / concept</x:v>
      </x:c>
      <x:c r="F6" s="61" t="str">
        <x:v>Predator: Akuma (concept / bande-annonce)</x:v>
      </x:c>
      <x:c r="G6" s="61" t="str">
        <x:v>Non officiel / fan-made</x:v>
      </x:c>
      <x:c r="H6" s="61" t="str"/>
      <x:c r="I6" s="61" t="str">
        <x:v>Projet/concept de fan-film; statut de diffusion incertain.</x:v>
      </x:c>
      <x:c r="J6" s="61" t="str">
        <x:v>À confirmer</x:v>
      </x:c>
      <x:c r="K6" s="61" t="str">
        <x:v>https://avp.fandom.com/wiki/Akuma_Predator</x:v>
      </x:c>
      <x:c r="L6" s="59" t="str">
        <x:v>Fan-film</x:v>
      </x:c>
    </x:row>
    <x:row r="7">
      <x:c r="A7" s="61" t="str">
        <x:v>Y-006</x:v>
      </x:c>
      <x:c r="B7" s="61" t="str">
        <x:v>Albino Predator</x:v>
      </x:c>
      <x:c r="C7" s="61" t="str"/>
      <x:c r="D7" s="61" t="str">
        <x:v>Individu fan-made puis licencié</x:v>
      </x:c>
      <x:c r="E7" s="61" t="str">
        <x:v>Fan-film • Figurine / jouet</x:v>
      </x:c>
      <x:c r="F7" s="61" t="str">
        <x:v>Batman: Dead End (2003) / NECA</x:v>
      </x:c>
      <x:c r="G7" s="61" t="str">
        <x:v>Fan-made puis licencié</x:v>
      </x:c>
      <x:c r="H7" s="61" t="str"/>
      <x:c r="I7" s="61" t="str">
        <x:v>Créé pour Batman: Dead End, puis officiellement licencié par NECA.</x:v>
      </x:c>
      <x:c r="J7" s="61" t="str">
        <x:v>Oui</x:v>
      </x:c>
      <x:c r="K7" s="61" t="str">
        <x:v>https://avp.fandom.com/wiki/Albino_Predator</x:v>
      </x:c>
      <x:c r="L7" s="59" t="str">
        <x:v>Fan-film</x:v>
      </x:c>
    </x:row>
    <x:row r="8">
      <x:c r="A8" s="61" t="str">
        <x:v>Y-007</x:v>
      </x:c>
      <x:c r="B8" s="61" t="str">
        <x:v>Alien Head Predator</x:v>
      </x:c>
      <x:c r="C8" s="61" t="str">
        <x:v>Serpent Hunter Predator</x:v>
      </x:c>
      <x:c r="D8" s="61" t="str">
        <x:v>Individu nommé ou surnommé</x:v>
      </x:c>
      <x:c r="E8" s="61" t="str">
        <x:v>Jeu vidéo • Figurine / jouet</x:v>
      </x:c>
      <x:c r="F8" s="61" t="str">
        <x:v>Voir la source individuelle</x:v>
      </x:c>
      <x:c r="G8" s="61" t="str">
        <x:v>Univers étendu licencié / catalogué</x:v>
      </x:c>
      <x:c r="H8" s="61" t="str"/>
      <x:c r="I8" s="61" t="str"/>
      <x:c r="J8" s="61" t="str">
        <x:v>Oui</x:v>
      </x:c>
      <x:c r="K8" s="61" t="str">
        <x:v>https://avp.fandom.com/wiki/Alien_Head_Predator</x:v>
      </x:c>
      <x:c r="L8" s="59" t="str">
        <x:v>Jeu vidéo</x:v>
      </x:c>
    </x:row>
    <x:row r="9">
      <x:c r="A9" s="61" t="str">
        <x:v>Y-008</x:v>
      </x:c>
      <x:c r="B9" s="61" t="str">
        <x:v>Alpha Predator</x:v>
      </x:c>
      <x:c r="C9" s="61" t="str"/>
      <x:c r="D9" s="61" t="str">
        <x:v>Individu de merchandising devenu jouable</x:v>
      </x:c>
      <x:c r="E9" s="61" t="str">
        <x:v>Figurine / jouet • Jeu vidéo</x:v>
      </x:c>
      <x:c r="F9" s="61" t="str">
        <x:v>Predator: Hunting Grounds / NECA</x:v>
      </x:c>
      <x:c r="G9" s="61" t="str">
        <x:v>Univers étendu / merchandising licencié</x:v>
      </x:c>
      <x:c r="H9" s="61" t="str"/>
      <x:c r="I9" s="61" t="str"/>
      <x:c r="J9" s="61" t="str">
        <x:v>Oui</x:v>
      </x:c>
      <x:c r="K9" s="61" t="str">
        <x:v>https://avp.fandom.com/wiki/Alpha_Predator</x:v>
      </x:c>
      <x:c r="L9" s="59" t="str">
        <x:v>Jeu vidéo</x:v>
      </x:c>
    </x:row>
    <x:row r="10">
      <x:c r="A10" s="61" t="str">
        <x:v>Y-009</x:v>
      </x:c>
      <x:c r="B10" s="61" t="str">
        <x:v>Amazon Predator</x:v>
      </x:c>
      <x:c r="C10" s="61" t="str"/>
      <x:c r="D10" s="61" t="str">
        <x:v>Individu nommé ou surnommé</x:v>
      </x:c>
      <x:c r="E10" s="61" t="str">
        <x:v>Jeu vidéo</x:v>
      </x:c>
      <x:c r="F10" s="61" t="str">
        <x:v>Predator: Hunting Grounds</x:v>
      </x:c>
      <x:c r="G10" s="61" t="str">
        <x:v>Univers étendu licencié / catalogué</x:v>
      </x:c>
      <x:c r="H10" s="61" t="str"/>
      <x:c r="I10" s="61" t="str"/>
      <x:c r="J10" s="61" t="str">
        <x:v>Oui</x:v>
      </x:c>
      <x:c r="K10" s="61" t="str">
        <x:v>https://avp.fandom.com/wiki/Amazon_Predator</x:v>
      </x:c>
      <x:c r="L10" s="59" t="str">
        <x:v>Jeu vidéo</x:v>
      </x:c>
    </x:row>
    <x:row r="11">
      <x:c r="A11" s="61" t="str">
        <x:v>Y-010</x:v>
      </x:c>
      <x:c r="B11" s="61" t="str">
        <x:v>Ambush Predator</x:v>
      </x:c>
      <x:c r="C11" s="61" t="str"/>
      <x:c r="D11" s="61" t="str">
        <x:v>Individu de merchandising</x:v>
      </x:c>
      <x:c r="E11" s="61" t="str">
        <x:v>Figurine / jouet</x:v>
      </x:c>
      <x:c r="F11" s="61" t="str">
        <x:v>Kenner</x:v>
      </x:c>
      <x:c r="G11" s="61" t="str">
        <x:v>Univers étendu / merchandising licencié</x:v>
      </x:c>
      <x:c r="H11" s="61" t="str"/>
      <x:c r="I11" s="61" t="str"/>
      <x:c r="J11" s="61" t="str">
        <x:v>Oui</x:v>
      </x:c>
      <x:c r="K11" s="61" t="str">
        <x:v>https://avp.fandom.com/wiki/Ambush_Predator</x:v>
      </x:c>
      <x:c r="L11" s="59" t="str">
        <x:v>Figurine / jouet</x:v>
      </x:c>
    </x:row>
    <x:row r="12">
      <x:c r="A12" s="61" t="str">
        <x:v>Y-011</x:v>
      </x:c>
      <x:c r="B12" s="61" t="str">
        <x:v>Ancient Nuke Carrier</x:v>
      </x:c>
      <x:c r="C12" s="61" t="str"/>
      <x:c r="D12" s="61" t="str">
        <x:v>Individu nommé ou surnommé</x:v>
      </x:c>
      <x:c r="E12" s="61" t="str">
        <x:v>Jeu vidéo</x:v>
      </x:c>
      <x:c r="F12" s="61" t="str">
        <x:v>Voir la source individuelle</x:v>
      </x:c>
      <x:c r="G12" s="61" t="str">
        <x:v>Univers étendu licencié / catalogué</x:v>
      </x:c>
      <x:c r="H12" s="61" t="str"/>
      <x:c r="I12" s="61" t="str"/>
      <x:c r="J12" s="61" t="str">
        <x:v>Oui</x:v>
      </x:c>
      <x:c r="K12" s="61" t="str">
        <x:v>https://avp.fandom.com/wiki/Ancient_Nuke_Carrier</x:v>
      </x:c>
      <x:c r="L12" s="59" t="str">
        <x:v>Jeu vidéo</x:v>
      </x:c>
    </x:row>
    <x:row r="13">
      <x:c r="A13" s="61" t="str">
        <x:v>Y-012</x:v>
      </x:c>
      <x:c r="B13" s="61" t="str">
        <x:v>Ancient Predator (Earth)</x:v>
      </x:c>
      <x:c r="C13" s="61" t="str"/>
      <x:c r="D13" s="61" t="str">
        <x:v>Individu nommé ou surnommé</x:v>
      </x:c>
      <x:c r="E13" s="61" t="str">
        <x:v>Film / animation</x:v>
      </x:c>
      <x:c r="F13" s="61" t="str">
        <x:v>Alien vs. Predator (2004)</x:v>
      </x:c>
      <x:c r="G13" s="61" t="str">
        <x:v>Écran officiel / licencié</x:v>
      </x:c>
      <x:c r="H13" s="61" t="str"/>
      <x:c r="I13" s="61" t="str"/>
      <x:c r="J13" s="61" t="str">
        <x:v>Oui</x:v>
      </x:c>
      <x:c r="K13" s="61" t="str">
        <x:v>https://avp.fandom.com/wiki/Ancient_Predator_%28Earth%29</x:v>
      </x:c>
      <x:c r="L13" s="59" t="str">
        <x:v>Film / animation</x:v>
      </x:c>
    </x:row>
    <x:row r="14">
      <x:c r="A14" s="61" t="str">
        <x:v>Y-013</x:v>
      </x:c>
      <x:c r="B14" s="61" t="str">
        <x:v>Ancient Predator (LV-1201)</x:v>
      </x:c>
      <x:c r="C14" s="61" t="str"/>
      <x:c r="D14" s="61" t="str">
        <x:v>Individu nommé ou surnommé</x:v>
      </x:c>
      <x:c r="E14" s="61" t="str">
        <x:v>Jeu vidéo</x:v>
      </x:c>
      <x:c r="F14" s="61" t="str">
        <x:v>Aliens versus Predator 2: Primal Hunt (2002)</x:v>
      </x:c>
      <x:c r="G14" s="61" t="str">
        <x:v>Univers étendu licencié / catalogué</x:v>
      </x:c>
      <x:c r="H14" s="61" t="str"/>
      <x:c r="I14" s="61" t="str"/>
      <x:c r="J14" s="61" t="str">
        <x:v>Oui</x:v>
      </x:c>
      <x:c r="K14" s="61" t="str">
        <x:v>https://avp.fandom.com/wiki/Ancient_Predator_%28LV-1201%29</x:v>
      </x:c>
      <x:c r="L14" s="59" t="str">
        <x:v>Jeu vidéo</x:v>
      </x:c>
    </x:row>
    <x:row r="15">
      <x:c r="A15" s="61" t="str">
        <x:v>Y-014</x:v>
      </x:c>
      <x:c r="B15" s="61" t="str">
        <x:v>Anubis Predator</x:v>
      </x:c>
      <x:c r="C15" s="61" t="str"/>
      <x:c r="D15" s="61" t="str">
        <x:v>Individu jouable</x:v>
      </x:c>
      <x:c r="E15" s="61" t="str">
        <x:v>Jeu vidéo</x:v>
      </x:c>
      <x:c r="F15" s="61" t="str">
        <x:v>Predator: Hunting Grounds</x:v>
      </x:c>
      <x:c r="G15" s="61" t="str">
        <x:v>Univers étendu / merchandising licencié</x:v>
      </x:c>
      <x:c r="H15" s="61" t="str"/>
      <x:c r="I15" s="61" t="str"/>
      <x:c r="J15" s="61" t="str">
        <x:v>Oui</x:v>
      </x:c>
      <x:c r="K15" s="61" t="str">
        <x:v>https://avp.fandom.com/wiki/Anubis_Predator</x:v>
      </x:c>
      <x:c r="L15" s="59" t="str">
        <x:v>Jeu vidéo</x:v>
      </x:c>
    </x:row>
    <x:row r="16">
      <x:c r="A16" s="61" t="str">
        <x:v>Y-015</x:v>
      </x:c>
      <x:c r="B16" s="61" t="str">
        <x:v>Apex Predator</x:v>
      </x:c>
      <x:c r="C16" s="61" t="str"/>
      <x:c r="D16" s="61" t="str">
        <x:v>Individu nommé ou surnommé</x:v>
      </x:c>
      <x:c r="E16" s="61" t="str">
        <x:v>Jeu vidéo</x:v>
      </x:c>
      <x:c r="F16" s="61" t="str">
        <x:v>Voir la source individuelle</x:v>
      </x:c>
      <x:c r="G16" s="61" t="str">
        <x:v>Univers étendu licencié / catalogué</x:v>
      </x:c>
      <x:c r="H16" s="61" t="str"/>
      <x:c r="I16" s="61" t="str"/>
      <x:c r="J16" s="61" t="str">
        <x:v>Oui</x:v>
      </x:c>
      <x:c r="K16" s="61" t="str">
        <x:v>https://avp.fandom.com/wiki/Apex_Predator</x:v>
      </x:c>
      <x:c r="L16" s="59" t="str">
        <x:v>Jeu vidéo</x:v>
      </x:c>
    </x:row>
    <x:row r="17">
      <x:c r="A17" s="61" t="str">
        <x:v>Y-016</x:v>
      </x:c>
      <x:c r="B17" s="61" t="str">
        <x:v>Ar'Wen</x:v>
      </x:c>
      <x:c r="C17" s="61" t="str"/>
      <x:c r="D17" s="61" t="str">
        <x:v>Individu nommé ou surnommé</x:v>
      </x:c>
      <x:c r="E17" s="61" t="str">
        <x:v>Roman / prose</x:v>
      </x:c>
      <x:c r="F17" s="61" t="str">
        <x:v>Aliens vs. Predators: Rift War</x:v>
      </x:c>
      <x:c r="G17" s="61" t="str">
        <x:v>Univers étendu licencié / catalogué</x:v>
      </x:c>
      <x:c r="H17" s="61" t="str"/>
      <x:c r="I17" s="61" t="str"/>
      <x:c r="J17" s="61" t="str">
        <x:v>Oui</x:v>
      </x:c>
      <x:c r="K17" s="61" t="str">
        <x:v>https://avp.fandom.com/wiki/Ar'Wen</x:v>
      </x:c>
      <x:c r="L17" s="59" t="str">
        <x:v>Roman / prose</x:v>
      </x:c>
    </x:row>
    <x:row r="18">
      <x:c r="A18" s="61" t="str">
        <x:v>Y-017</x:v>
      </x:c>
      <x:c r="B18" s="61" t="str">
        <x:v>Assassin Predator</x:v>
      </x:c>
      <x:c r="C18" s="61" t="str"/>
      <x:c r="D18" s="61" t="str">
        <x:v>Alias</x:v>
      </x:c>
      <x:c r="E18" s="61" t="str">
        <x:v>Film / animation • Figurine / jouet</x:v>
      </x:c>
      <x:c r="F18" s="61" t="str">
        <x:v>The Predator (2018)</x:v>
      </x:c>
      <x:c r="G18" s="61" t="str">
        <x:v>Alias / doublon</x:v>
      </x:c>
      <x:c r="H18" s="61" t="str">
        <x:v>Upgrade Predator</x:v>
      </x:c>
      <x:c r="I18" s="61" t="str"/>
      <x:c r="J18" s="61" t="str">
        <x:v>Alias</x:v>
      </x:c>
      <x:c r="K18" s="61" t="str">
        <x:v>https://avp.fandom.com/wiki/Assassin_Predator</x:v>
      </x:c>
      <x:c r="L18" s="59" t="str">
        <x:v>Film / animation</x:v>
      </x:c>
    </x:row>
    <x:row r="19">
      <x:c r="A19" s="61" t="str">
        <x:v>Y-018</x:v>
      </x:c>
      <x:c r="B19" s="61" t="str">
        <x:v>Assault Predator</x:v>
      </x:c>
      <x:c r="C19" s="61" t="str"/>
      <x:c r="D19" s="61" t="str">
        <x:v>Individu nommé ou surnommé</x:v>
      </x:c>
      <x:c r="E19" s="61" t="str">
        <x:v>Univers étendu (comic/roman/audio/jeu)</x:v>
      </x:c>
      <x:c r="F19" s="61" t="str">
        <x:v>Voir la source individuelle</x:v>
      </x:c>
      <x:c r="G19" s="61" t="str">
        <x:v>Univers étendu licencié / catalogué</x:v>
      </x:c>
      <x:c r="H19" s="61" t="str"/>
      <x:c r="I19" s="61" t="str"/>
      <x:c r="J19" s="61" t="str">
        <x:v>Oui</x:v>
      </x:c>
      <x:c r="K19" s="61" t="str">
        <x:v>https://avp.fandom.com/wiki/Assault_Predator</x:v>
      </x:c>
      <x:c r="L19" s="59" t="str">
        <x:v>Univers étendu</x:v>
      </x:c>
    </x:row>
    <x:row r="20">
      <x:c r="A20" s="61" t="str">
        <x:v>Y-019</x:v>
      </x:c>
      <x:c r="B20" s="61" t="str">
        <x:v>Bad Blood (Gotham City)</x:v>
      </x:c>
      <x:c r="C20" s="61" t="str"/>
      <x:c r="D20" s="61" t="str">
        <x:v>Individu nommé ou surnommé</x:v>
      </x:c>
      <x:c r="E20" s="61" t="str">
        <x:v>Comics</x:v>
      </x:c>
      <x:c r="F20" s="61" t="str">
        <x:v>Batman versus Predator II: Bloodmatch</x:v>
      </x:c>
      <x:c r="G20" s="61" t="str">
        <x:v>Univers étendu licencié / catalogué</x:v>
      </x:c>
      <x:c r="H20" s="61" t="str"/>
      <x:c r="I20" s="61" t="str"/>
      <x:c r="J20" s="61" t="str">
        <x:v>Oui</x:v>
      </x:c>
      <x:c r="K20" s="61" t="str">
        <x:v>https://avp.fandom.com/wiki/Bad_Blood_%28Gotham_City%29</x:v>
      </x:c>
      <x:c r="L20" s="59" t="str">
        <x:v>Comics</x:v>
      </x:c>
    </x:row>
    <x:row r="21">
      <x:c r="A21" s="61" t="str">
        <x:v>Y-020</x:v>
      </x:c>
      <x:c r="B21" s="61" t="str">
        <x:v>Bad Blood (Yautja)</x:v>
      </x:c>
      <x:c r="C21" s="61" t="str"/>
      <x:c r="D21" s="61" t="str">
        <x:v>Rang / catégorie culturelle</x:v>
      </x:c>
      <x:c r="E21" s="61" t="str">
        <x:v>Comics • Roman / prose • Jeu vidéo</x:v>
      </x:c>
      <x:c r="F21" s="61" t="str">
        <x:v>Concept récurrent de la franchise</x:v>
      </x:c>
      <x:c r="G21" s="61" t="str">
        <x:v>Rang / classe</x:v>
      </x:c>
      <x:c r="H21" s="61" t="str"/>
      <x:c r="I21" s="61" t="str">
        <x:v>Titre/catégorie culturelle, pas un individu.</x:v>
      </x:c>
      <x:c r="J21" s="61" t="str">
        <x:v>Non (rang)</x:v>
      </x:c>
      <x:c r="K21" s="61" t="str">
        <x:v>https://avp.fandom.com/wiki/Bad_Blood_%28Yautja%29</x:v>
      </x:c>
      <x:c r="L21" s="59" t="str">
        <x:v>Jeu vidéo</x:v>
      </x:c>
    </x:row>
    <x:row r="22">
      <x:c r="A22" s="61" t="str">
        <x:v>Y-021</x:v>
      </x:c>
      <x:c r="B22" s="61" t="str">
        <x:v>Bad Blood Predator</x:v>
      </x:c>
      <x:c r="C22" s="61" t="str"/>
      <x:c r="D22" s="61" t="str">
        <x:v>Individu nommé ou surnommé</x:v>
      </x:c>
      <x:c r="E22" s="61" t="str">
        <x:v>Comics</x:v>
      </x:c>
      <x:c r="F22" s="61" t="str">
        <x:v>Predator: Bad Blood</x:v>
      </x:c>
      <x:c r="G22" s="61" t="str">
        <x:v>Univers étendu licencié / catalogué</x:v>
      </x:c>
      <x:c r="H22" s="61" t="str"/>
      <x:c r="I22" s="61" t="str"/>
      <x:c r="J22" s="61" t="str">
        <x:v>Oui</x:v>
      </x:c>
      <x:c r="K22" s="61" t="str">
        <x:v>https://avp.fandom.com/wiki/Bad_Blood_Predator</x:v>
      </x:c>
      <x:c r="L22" s="59" t="str">
        <x:v>Comics</x:v>
      </x:c>
    </x:row>
    <x:row r="23">
      <x:c r="A23" s="61" t="str">
        <x:v>Y-022</x:v>
      </x:c>
      <x:c r="B23" s="61" t="str">
        <x:v>Bakuub</x:v>
      </x:c>
      <x:c r="C23" s="61" t="str"/>
      <x:c r="D23" s="61" t="str">
        <x:v>Individu nommé ou surnommé</x:v>
      </x:c>
      <x:c r="E23" s="61" t="str">
        <x:v>Roman / prose</x:v>
      </x:c>
      <x:c r="F23" s="61" t="str">
        <x:v>Voir la source individuelle</x:v>
      </x:c>
      <x:c r="G23" s="61" t="str">
        <x:v>Univers étendu licencié / catalogué</x:v>
      </x:c>
      <x:c r="H23" s="61" t="str"/>
      <x:c r="I23" s="61" t="str"/>
      <x:c r="J23" s="61" t="str">
        <x:v>Oui</x:v>
      </x:c>
      <x:c r="K23" s="61" t="str">
        <x:v>https://avp.fandom.com/wiki/Bakuub</x:v>
      </x:c>
      <x:c r="L23" s="59" t="str">
        <x:v>Roman / prose</x:v>
      </x:c>
    </x:row>
    <x:row r="24">
      <x:c r="A24" s="61" t="str">
        <x:v>Y-023</x:v>
      </x:c>
      <x:c r="B24" s="61" t="str">
        <x:v>Beads</x:v>
      </x:c>
      <x:c r="C24" s="61" t="str"/>
      <x:c r="D24" s="61" t="str">
        <x:v>Individu nommé ou surnommé</x:v>
      </x:c>
      <x:c r="E24" s="61" t="str">
        <x:v>Univers étendu (comic/roman/audio/jeu)</x:v>
      </x:c>
      <x:c r="F24" s="61" t="str">
        <x:v>Voir la source individuelle</x:v>
      </x:c>
      <x:c r="G24" s="61" t="str">
        <x:v>Univers étendu licencié / catalogué</x:v>
      </x:c>
      <x:c r="H24" s="61" t="str"/>
      <x:c r="I24" s="61" t="str"/>
      <x:c r="J24" s="61" t="str">
        <x:v>Oui</x:v>
      </x:c>
      <x:c r="K24" s="61" t="str">
        <x:v>https://avp.fandom.com/wiki/Beads</x:v>
      </x:c>
      <x:c r="L24" s="59" t="str">
        <x:v>Univers étendu</x:v>
      </x:c>
    </x:row>
    <x:row r="25">
      <x:c r="A25" s="61" t="str">
        <x:v>Y-024</x:v>
      </x:c>
      <x:c r="B25" s="61" t="str">
        <x:v>Berserker (Game Preserve Planet)</x:v>
      </x:c>
      <x:c r="C25" s="61" t="str">
        <x:v>Mr. Black</x:v>
      </x:c>
      <x:c r="D25" s="61" t="str">
        <x:v>Individu nommé ou surnommé</x:v>
      </x:c>
      <x:c r="E25" s="61" t="str">
        <x:v>Film / animation • Jeu vidéo</x:v>
      </x:c>
      <x:c r="F25" s="61" t="str">
        <x:v>Predators (2010)</x:v>
      </x:c>
      <x:c r="G25" s="61" t="str">
        <x:v>Écran officiel / licencié</x:v>
      </x:c>
      <x:c r="H25" s="61" t="str"/>
      <x:c r="I25" s="61" t="str"/>
      <x:c r="J25" s="61" t="str">
        <x:v>Oui</x:v>
      </x:c>
      <x:c r="K25" s="61" t="str">
        <x:v>https://avp.fandom.com/wiki/Berserker_%28Game_Preserve_Planet%29</x:v>
      </x:c>
      <x:c r="L25" s="59" t="str">
        <x:v>Film / animation</x:v>
      </x:c>
    </x:row>
    <x:row r="26">
      <x:c r="A26" s="61" t="str">
        <x:v>Y-025</x:v>
      </x:c>
      <x:c r="B26" s="61" t="str">
        <x:v>Berserker (LV-412)</x:v>
      </x:c>
      <x:c r="C26" s="61" t="str"/>
      <x:c r="D26" s="61" t="str">
        <x:v>Individu nommé ou surnommé</x:v>
      </x:c>
      <x:c r="E26" s="61" t="str">
        <x:v>Jeu vidéo</x:v>
      </x:c>
      <x:c r="F26" s="61" t="str">
        <x:v>Aliens vs. Predator: Extinction (2003)</x:v>
      </x:c>
      <x:c r="G26" s="61" t="str">
        <x:v>Univers étendu licencié / catalogué</x:v>
      </x:c>
      <x:c r="H26" s="61" t="str"/>
      <x:c r="I26" s="61" t="str"/>
      <x:c r="J26" s="61" t="str">
        <x:v>Oui</x:v>
      </x:c>
      <x:c r="K26" s="61" t="str">
        <x:v>https://avp.fandom.com/wiki/Berserker_%28LV-412%29</x:v>
      </x:c>
      <x:c r="L26" s="59" t="str">
        <x:v>Jeu vidéo</x:v>
      </x:c>
    </x:row>
    <x:row r="27">
      <x:c r="A27" s="61" t="str">
        <x:v>Y-026</x:v>
      </x:c>
      <x:c r="B27" s="61" t="str">
        <x:v>Bet-Karh</x:v>
      </x:c>
      <x:c r="C27" s="61" t="str"/>
      <x:c r="D27" s="61" t="str">
        <x:v>Individu nommé ou surnommé</x:v>
      </x:c>
      <x:c r="E27" s="61" t="str">
        <x:v>Comics • Roman / prose</x:v>
      </x:c>
      <x:c r="F27" s="61" t="str">
        <x:v>Voir la source individuelle</x:v>
      </x:c>
      <x:c r="G27" s="61" t="str">
        <x:v>Univers étendu licencié / catalogué</x:v>
      </x:c>
      <x:c r="H27" s="61" t="str"/>
      <x:c r="I27" s="61" t="str"/>
      <x:c r="J27" s="61" t="str">
        <x:v>Oui</x:v>
      </x:c>
      <x:c r="K27" s="61" t="str">
        <x:v>https://avp.fandom.com/wiki/Bet-Karh</x:v>
      </x:c>
      <x:c r="L27" s="59" t="str">
        <x:v>Comics</x:v>
      </x:c>
    </x:row>
    <x:row r="28">
      <x:c r="A28" s="61" t="str">
        <x:v>Y-027</x:v>
      </x:c>
      <x:c r="B28" s="61" t="str">
        <x:v>Big Mama</x:v>
      </x:c>
      <x:c r="C28" s="61" t="str"/>
      <x:c r="D28" s="61" t="str">
        <x:v>Individu nommé ou surnommé</x:v>
      </x:c>
      <x:c r="E28" s="61" t="str">
        <x:v>Comics</x:v>
      </x:c>
      <x:c r="F28" s="61" t="str">
        <x:v>Aliens vs. Predator: Deadliest of the Species</x:v>
      </x:c>
      <x:c r="G28" s="61" t="str">
        <x:v>Univers étendu licencié / catalogué</x:v>
      </x:c>
      <x:c r="H28" s="61" t="str"/>
      <x:c r="I28" s="61" t="str"/>
      <x:c r="J28" s="61" t="str">
        <x:v>Oui</x:v>
      </x:c>
      <x:c r="K28" s="61" t="str">
        <x:v>https://avp.fandom.com/wiki/Big_Mama</x:v>
      </x:c>
      <x:c r="L28" s="59" t="str">
        <x:v>Comics</x:v>
      </x:c>
    </x:row>
    <x:row r="29">
      <x:c r="A29" s="61" t="str">
        <x:v>Y-028</x:v>
      </x:c>
      <x:c r="B29" s="61" t="str">
        <x:v>Big Red</x:v>
      </x:c>
      <x:c r="C29" s="61" t="str"/>
      <x:c r="D29" s="61" t="str">
        <x:v>Individu nommé ou surnommé</x:v>
      </x:c>
      <x:c r="E29" s="61" t="str">
        <x:v>Figurine / jouet • Fan-film</x:v>
      </x:c>
      <x:c r="F29" s="61" t="str">
        <x:v>Batman: Dead End (2003) / NECA</x:v>
      </x:c>
      <x:c r="G29" s="61" t="str">
        <x:v>Fan-made puis licencié</x:v>
      </x:c>
      <x:c r="H29" s="61" t="str"/>
      <x:c r="I29" s="61" t="str">
        <x:v>Créé pour le fan-film Batman: Dead End, puis officiellement licencié en figurine.</x:v>
      </x:c>
      <x:c r="J29" s="61" t="str">
        <x:v>Oui</x:v>
      </x:c>
      <x:c r="K29" s="61" t="str">
        <x:v>https://avp.fandom.com/wiki/Big_Red</x:v>
      </x:c>
      <x:c r="L29" s="59" t="str">
        <x:v>Fan-film</x:v>
      </x:c>
    </x:row>
    <x:row r="30">
      <x:c r="A30" s="61" t="str">
        <x:v>Y-029</x:v>
      </x:c>
      <x:c r="B30" s="61" t="str">
        <x:v>Bionic Predator</x:v>
      </x:c>
      <x:c r="C30" s="61" t="str"/>
      <x:c r="D30" s="61" t="str">
        <x:v>Individu nommé ou surnommé</x:v>
      </x:c>
      <x:c r="E30" s="61" t="str">
        <x:v>Jeu vidéo</x:v>
      </x:c>
      <x:c r="F30" s="61" t="str">
        <x:v>Predator: Hunting Grounds</x:v>
      </x:c>
      <x:c r="G30" s="61" t="str">
        <x:v>Univers étendu licencié / catalogué</x:v>
      </x:c>
      <x:c r="H30" s="61" t="str"/>
      <x:c r="I30" s="61" t="str"/>
      <x:c r="J30" s="61" t="str">
        <x:v>Oui</x:v>
      </x:c>
      <x:c r="K30" s="61" t="str">
        <x:v>https://avp.fandom.com/wiki/Bionic_Predator</x:v>
      </x:c>
      <x:c r="L30" s="59" t="str">
        <x:v>Jeu vidéo</x:v>
      </x:c>
    </x:row>
    <x:row r="31">
      <x:c r="A31" s="61" t="str">
        <x:v>Y-030</x:v>
      </x:c>
      <x:c r="B31" s="61" t="str">
        <x:v>Blazer (title)</x:v>
      </x:c>
      <x:c r="C31" s="61" t="str"/>
      <x:c r="D31" s="61" t="str">
        <x:v>Rang / classe</x:v>
      </x:c>
      <x:c r="E31" s="61" t="str">
        <x:v>Jeu vidéo</x:v>
      </x:c>
      <x:c r="F31" s="61" t="str">
        <x:v>Jeux Alien/Predator</x:v>
      </x:c>
      <x:c r="G31" s="61" t="str">
        <x:v>Rang / classe</x:v>
      </x:c>
      <x:c r="H31" s="61" t="str"/>
      <x:c r="I31" s="61" t="str"/>
      <x:c r="J31" s="61" t="str">
        <x:v>Non (rang)</x:v>
      </x:c>
      <x:c r="K31" s="61" t="str">
        <x:v>https://avp.fandom.com/wiki/Blazer_%28title%29</x:v>
      </x:c>
      <x:c r="L31" s="59" t="str">
        <x:v>Jeu vidéo</x:v>
      </x:c>
    </x:row>
    <x:row r="32">
      <x:c r="A32" s="61" t="str">
        <x:v>Y-031</x:v>
      </x:c>
      <x:c r="B32" s="61" t="str">
        <x:v>Boar</x:v>
      </x:c>
      <x:c r="C32" s="61" t="str"/>
      <x:c r="D32" s="61" t="str">
        <x:v>Individu nommé ou surnommé</x:v>
      </x:c>
      <x:c r="E32" s="61" t="str">
        <x:v>Film / animation • Comics • Roman / prose</x:v>
      </x:c>
      <x:c r="F32" s="61" t="str">
        <x:v>Predator 2 (1990)</x:v>
      </x:c>
      <x:c r="G32" s="61" t="str">
        <x:v>Écran officiel / licencié</x:v>
      </x:c>
      <x:c r="H32" s="61" t="str"/>
      <x:c r="I32" s="61" t="str"/>
      <x:c r="J32" s="61" t="str">
        <x:v>Oui</x:v>
      </x:c>
      <x:c r="K32" s="61" t="str">
        <x:v>https://avp.fandom.com/wiki/Boar</x:v>
      </x:c>
      <x:c r="L32" s="59" t="str">
        <x:v>Film / animation</x:v>
      </x:c>
    </x:row>
    <x:row r="33">
      <x:c r="A33" s="61" t="str">
        <x:v>Y-032</x:v>
      </x:c>
      <x:c r="B33" s="61" t="str">
        <x:v>Bogey (Predator)</x:v>
      </x:c>
      <x:c r="C33" s="61" t="str"/>
      <x:c r="D33" s="61" t="str">
        <x:v>Individu nommé ou surnommé</x:v>
      </x:c>
      <x:c r="E33" s="61" t="str">
        <x:v>Univers étendu (comic/roman/audio/jeu)</x:v>
      </x:c>
      <x:c r="F33" s="61" t="str">
        <x:v>Voir la source individuelle</x:v>
      </x:c>
      <x:c r="G33" s="61" t="str">
        <x:v>Univers étendu licencié / catalogué</x:v>
      </x:c>
      <x:c r="H33" s="61" t="str"/>
      <x:c r="I33" s="61" t="str"/>
      <x:c r="J33" s="61" t="str">
        <x:v>Oui</x:v>
      </x:c>
      <x:c r="K33" s="61" t="str">
        <x:v>https://avp.fandom.com/wiki/Bogey_%28Predator%29</x:v>
      </x:c>
      <x:c r="L33" s="59" t="str">
        <x:v>Univers étendu</x:v>
      </x:c>
    </x:row>
    <x:row r="34">
      <x:c r="A34" s="61" t="str">
        <x:v>Y-033</x:v>
      </x:c>
      <x:c r="B34" s="61" t="str">
        <x:v>Bone (AVP: Annihilation)</x:v>
      </x:c>
      <x:c r="C34" s="61" t="str"/>
      <x:c r="D34" s="61" t="str">
        <x:v>Individu nommé</x:v>
      </x:c>
      <x:c r="E34" s="61" t="str">
        <x:v>Anime inédit</x:v>
      </x:c>
      <x:c r="F34" s="61" t="str">
        <x:v>Aliens vs. Predator: Annihilation (anime inédit)</x:v>
      </x:c>
      <x:c r="G34" s="61" t="str">
        <x:v>Œuvre achevée non diffusée</x:v>
      </x:c>
      <x:c r="H34" s="61" t="str"/>
      <x:c r="I34" s="61" t="str">
        <x:v>Nom révélé pour un guerrier maniant des armes en os dans l'anime achevé mais non diffusé.</x:v>
      </x:c>
      <x:c r="J34" s="61" t="str">
        <x:v>Oui</x:v>
      </x:c>
      <x:c r="K34" s="61" t="str">
        <x:v>https://avp.fandom.com/wiki/Bone_%28AVP%3A_Annihilation%29</x:v>
      </x:c>
      <x:c r="L34" s="59" t="str">
        <x:v>Anime inédit</x:v>
      </x:c>
    </x:row>
    <x:row r="35">
      <x:c r="A35" s="61" t="str">
        <x:v>Y-034</x:v>
      </x:c>
      <x:c r="B35" s="61" t="str">
        <x:v>Bonegrill</x:v>
      </x:c>
      <x:c r="C35" s="61" t="str"/>
      <x:c r="D35" s="61" t="str">
        <x:v>Individu nommé ou surnommé</x:v>
      </x:c>
      <x:c r="E35" s="61" t="str">
        <x:v>Film / animation</x:v>
      </x:c>
      <x:c r="F35" s="61" t="str">
        <x:v>Aliens vs. Predator: Requiem (2007)</x:v>
      </x:c>
      <x:c r="G35" s="61" t="str">
        <x:v>Écran officiel / licencié</x:v>
      </x:c>
      <x:c r="H35" s="61" t="str"/>
      <x:c r="I35" s="61" t="str"/>
      <x:c r="J35" s="61" t="str">
        <x:v>Oui</x:v>
      </x:c>
      <x:c r="K35" s="61" t="str">
        <x:v>https://avp.fandom.com/wiki/Bonegrill</x:v>
      </x:c>
      <x:c r="L35" s="59" t="str">
        <x:v>Film / animation</x:v>
      </x:c>
    </x:row>
    <x:row r="36">
      <x:c r="A36" s="61" t="str">
        <x:v>Y-035</x:v>
      </x:c>
      <x:c r="B36" s="61" t="str">
        <x:v>Borg</x:v>
      </x:c>
      <x:c r="C36" s="61" t="str">
        <x:v>Lost Predator</x:v>
      </x:c>
      <x:c r="D36" s="61" t="str">
        <x:v>Individu nommé ou surnommé</x:v>
      </x:c>
      <x:c r="E36" s="61" t="str">
        <x:v>Film / animation</x:v>
      </x:c>
      <x:c r="F36" s="61" t="str">
        <x:v>Predator 2 (1990)</x:v>
      </x:c>
      <x:c r="G36" s="61" t="str">
        <x:v>Écran officiel / licencié</x:v>
      </x:c>
      <x:c r="H36" s="61" t="str"/>
      <x:c r="I36" s="61" t="str"/>
      <x:c r="J36" s="61" t="str">
        <x:v>Oui</x:v>
      </x:c>
      <x:c r="K36" s="61" t="str">
        <x:v>https://avp.fandom.com/wiki/Borg</x:v>
      </x:c>
      <x:c r="L36" s="59" t="str">
        <x:v>Film / animation</x:v>
      </x:c>
    </x:row>
    <x:row r="37">
      <x:c r="A37" s="61" t="str">
        <x:v>Y-036</x:v>
      </x:c>
      <x:c r="B37" s="61" t="str">
        <x:v>Bosu</x:v>
      </x:c>
      <x:c r="C37" s="61" t="str"/>
      <x:c r="D37" s="61" t="str">
        <x:v>Individu nommé ou surnommé</x:v>
      </x:c>
      <x:c r="E37" s="61" t="str">
        <x:v>Comics</x:v>
      </x:c>
      <x:c r="F37" s="61" t="str">
        <x:v>Voir la source individuelle</x:v>
      </x:c>
      <x:c r="G37" s="61" t="str">
        <x:v>Univers étendu / merchandising licencié</x:v>
      </x:c>
      <x:c r="H37" s="61" t="str"/>
      <x:c r="I37" s="61" t="str"/>
      <x:c r="J37" s="61" t="str">
        <x:v>Oui</x:v>
      </x:c>
      <x:c r="K37" s="61" t="str">
        <x:v>https://avp.fandom.com/wiki/Bosu</x:v>
      </x:c>
      <x:c r="L37" s="59" t="str">
        <x:v>Comics</x:v>
      </x:c>
    </x:row>
    <x:row r="38">
      <x:c r="A38" s="61" t="str">
        <x:v>Y-037</x:v>
      </x:c>
      <x:c r="B38" s="61" t="str">
        <x:v>Brawler</x:v>
      </x:c>
      <x:c r="C38" s="61" t="str"/>
      <x:c r="D38" s="61" t="str">
        <x:v>Classe / archétype de jeu</x:v>
      </x:c>
      <x:c r="E38" s="61" t="str">
        <x:v>Jeu vidéo</x:v>
      </x:c>
      <x:c r="F38" s="61" t="str">
        <x:v>Jeux Alien/Predator</x:v>
      </x:c>
      <x:c r="G38" s="61" t="str">
        <x:v>Rang / classe</x:v>
      </x:c>
      <x:c r="H38" s="61" t="str"/>
      <x:c r="I38" s="61" t="str"/>
      <x:c r="J38" s="61" t="str">
        <x:v>Non (rang)</x:v>
      </x:c>
      <x:c r="K38" s="61" t="str">
        <x:v>https://avp.fandom.com/wiki/Brawler</x:v>
      </x:c>
      <x:c r="L38" s="59" t="str">
        <x:v>Jeu vidéo</x:v>
      </x:c>
    </x:row>
    <x:row r="39">
      <x:c r="A39" s="61" t="str">
        <x:v>Y-038</x:v>
      </x:c>
      <x:c r="B39" s="61" t="str">
        <x:v>Broken Tusk Predator</x:v>
      </x:c>
      <x:c r="C39" s="61" t="str"/>
      <x:c r="D39" s="61" t="str">
        <x:v>Alias / désignation</x:v>
      </x:c>
      <x:c r="E39" s="61" t="str">
        <x:v>Comics • Roman / prose • Figurine / jouet</x:v>
      </x:c>
      <x:c r="F39" s="61" t="str">
        <x:v>Aliens vs. Predator / Aliens vs. Predator: Prey</x:v>
      </x:c>
      <x:c r="G39" s="61" t="str">
        <x:v>Alias / doublon</x:v>
      </x:c>
      <x:c r="H39" s="61" t="str">
        <x:v>Dachande</x:v>
      </x:c>
      <x:c r="I39" s="61" t="str"/>
      <x:c r="J39" s="61" t="str">
        <x:v>Alias</x:v>
      </x:c>
      <x:c r="K39" s="61" t="str">
        <x:v>https://avp.fandom.com/wiki/Broken_Tusk_Predator</x:v>
      </x:c>
      <x:c r="L39" s="59" t="str">
        <x:v>Comics</x:v>
      </x:c>
    </x:row>
    <x:row r="40">
      <x:c r="A40" s="61" t="str">
        <x:v>Y-039</x:v>
      </x:c>
      <x:c r="B40" s="61" t="str">
        <x:v>Brother Boar Predator</x:v>
      </x:c>
      <x:c r="C40" s="61" t="str"/>
      <x:c r="D40" s="61" t="str">
        <x:v>Alias de production / figurine</x:v>
      </x:c>
      <x:c r="E40" s="61" t="str">
        <x:v>Film / animation • Figurine / jouet</x:v>
      </x:c>
      <x:c r="F40" s="61" t="str">
        <x:v>Predator 2 / NECA</x:v>
      </x:c>
      <x:c r="G40" s="61" t="str">
        <x:v>Alias / doublon</x:v>
      </x:c>
      <x:c r="H40" s="61" t="str">
        <x:v>Stalker (Lost Tribe)</x:v>
      </x:c>
      <x:c r="I40" s="61" t="str"/>
      <x:c r="J40" s="61" t="str">
        <x:v>Alias</x:v>
      </x:c>
      <x:c r="K40" s="61" t="str">
        <x:v>https://avp.fandom.com/wiki/Brother_Boar_Predator</x:v>
      </x:c>
      <x:c r="L40" s="59" t="str">
        <x:v>Film / animation</x:v>
      </x:c>
    </x:row>
    <x:row r="41">
      <x:c r="A41" s="61" t="str">
        <x:v>Y-040</x:v>
      </x:c>
      <x:c r="B41" s="61" t="str">
        <x:v>Bull (Predator)</x:v>
      </x:c>
      <x:c r="C41" s="61" t="str"/>
      <x:c r="D41" s="61" t="str">
        <x:v>Individu nommé ou surnommé</x:v>
      </x:c>
      <x:c r="E41" s="61" t="str">
        <x:v>Film / animation</x:v>
      </x:c>
      <x:c r="F41" s="61" t="str">
        <x:v>Aliens vs. Predator: Requiem (2007)</x:v>
      </x:c>
      <x:c r="G41" s="61" t="str">
        <x:v>Écran officiel / licencié</x:v>
      </x:c>
      <x:c r="H41" s="61" t="str"/>
      <x:c r="I41" s="61" t="str"/>
      <x:c r="J41" s="61" t="str">
        <x:v>Oui</x:v>
      </x:c>
      <x:c r="K41" s="61" t="str">
        <x:v>https://avp.fandom.com/wiki/Bull_%28Predator%29</x:v>
      </x:c>
      <x:c r="L41" s="59" t="str">
        <x:v>Film / animation</x:v>
      </x:c>
    </x:row>
    <x:row r="42">
      <x:c r="A42" s="61" t="str">
        <x:v>Y-041</x:v>
      </x:c>
      <x:c r="B42" s="61" t="str">
        <x:v>Captive Predator</x:v>
      </x:c>
      <x:c r="C42" s="61" t="str"/>
      <x:c r="D42" s="61" t="str">
        <x:v>Individu nommé ou surnommé</x:v>
      </x:c>
      <x:c r="E42" s="61" t="str">
        <x:v>Comics</x:v>
      </x:c>
      <x:c r="F42" s="61" t="str">
        <x:v>Voir la source individuelle</x:v>
      </x:c>
      <x:c r="G42" s="61" t="str">
        <x:v>Univers étendu licencié / catalogué</x:v>
      </x:c>
      <x:c r="H42" s="61" t="str"/>
      <x:c r="I42" s="61" t="str"/>
      <x:c r="J42" s="61" t="str">
        <x:v>Oui</x:v>
      </x:c>
      <x:c r="K42" s="61" t="str">
        <x:v>https://avp.fandom.com/wiki/Captive_Predator</x:v>
      </x:c>
      <x:c r="L42" s="59" t="str">
        <x:v>Comics</x:v>
      </x:c>
    </x:row>
    <x:row r="43">
      <x:c r="A43" s="61" t="str">
        <x:v>Y-042</x:v>
      </x:c>
      <x:c r="B43" s="61" t="str">
        <x:v>Captured Hunters</x:v>
      </x:c>
      <x:c r="C43" s="61" t="str"/>
      <x:c r="D43" s="61" t="str">
        <x:v>Groupe / collectif</x:v>
      </x:c>
      <x:c r="E43" s="61" t="str">
        <x:v>Jeu vidéo</x:v>
      </x:c>
      <x:c r="F43" s="61" t="str">
        <x:v>Voir la source individuelle</x:v>
      </x:c>
      <x:c r="G43" s="61" t="str">
        <x:v>Groupe / catégorie</x:v>
      </x:c>
      <x:c r="H43" s="61" t="str"/>
      <x:c r="I43" s="61" t="str"/>
      <x:c r="J43" s="61" t="str">
        <x:v>Non (groupe)</x:v>
      </x:c>
      <x:c r="K43" s="61" t="str">
        <x:v>https://avp.fandom.com/wiki/Captured_Hunters</x:v>
      </x:c>
      <x:c r="L43" s="59" t="str">
        <x:v>Jeu vidéo</x:v>
      </x:c>
    </x:row>
    <x:row r="44">
      <x:c r="A44" s="61" t="str">
        <x:v>Y-043</x:v>
      </x:c>
      <x:c r="B44" s="61" t="str">
        <x:v>Captured Predator</x:v>
      </x:c>
      <x:c r="C44" s="61" t="str"/>
      <x:c r="D44" s="61" t="str">
        <x:v>Individu nommé ou surnommé</x:v>
      </x:c>
      <x:c r="E44" s="61" t="str">
        <x:v>Film / animation • Jeu vidéo</x:v>
      </x:c>
      <x:c r="F44" s="61" t="str">
        <x:v>Predators (2010)</x:v>
      </x:c>
      <x:c r="G44" s="61" t="str">
        <x:v>Alias / doublon</x:v>
      </x:c>
      <x:c r="H44" s="61" t="str">
        <x:v>Crucified Predator</x:v>
      </x:c>
      <x:c r="I44" s="61" t="str">
        <x:v>Même individu que le Crucified/Classic Predator de Predators (2010).</x:v>
      </x:c>
      <x:c r="J44" s="61" t="str">
        <x:v>Alias</x:v>
      </x:c>
      <x:c r="K44" s="61" t="str">
        <x:v>https://avp.fandom.com/wiki/Captured_Predator</x:v>
      </x:c>
      <x:c r="L44" s="59" t="str">
        <x:v>Film / animation</x:v>
      </x:c>
    </x:row>
    <x:row r="45">
      <x:c r="A45" s="61" t="str">
        <x:v>Y-044</x:v>
      </x:c>
      <x:c r="B45" s="61" t="str">
        <x:v>Celtic</x:v>
      </x:c>
      <x:c r="C45" s="61" t="str"/>
      <x:c r="D45" s="61" t="str">
        <x:v>Individu nommé ou surnommé</x:v>
      </x:c>
      <x:c r="E45" s="61" t="str">
        <x:v>Film / animation • Jeu vidéo</x:v>
      </x:c>
      <x:c r="F45" s="61" t="str">
        <x:v>Alien vs. Predator (2004)</x:v>
      </x:c>
      <x:c r="G45" s="61" t="str">
        <x:v>Écran officiel / licencié</x:v>
      </x:c>
      <x:c r="H45" s="61" t="str"/>
      <x:c r="I45" s="61" t="str"/>
      <x:c r="J45" s="61" t="str">
        <x:v>Oui</x:v>
      </x:c>
      <x:c r="K45" s="61" t="str">
        <x:v>https://avp.fandom.com/wiki/Celtic</x:v>
      </x:c>
      <x:c r="L45" s="59" t="str">
        <x:v>Film / animation</x:v>
      </x:c>
    </x:row>
    <x:row r="46">
      <x:c r="A46" s="61" t="str">
        <x:v>Y-045</x:v>
      </x:c>
      <x:c r="B46" s="61" t="str">
        <x:v>Chopper</x:v>
      </x:c>
      <x:c r="C46" s="61" t="str"/>
      <x:c r="D46" s="61" t="str">
        <x:v>Individu nommé ou surnommé</x:v>
      </x:c>
      <x:c r="E46" s="61" t="str">
        <x:v>Film / animation • Jeu vidéo</x:v>
      </x:c>
      <x:c r="F46" s="61" t="str">
        <x:v>Alien vs. Predator (2004)</x:v>
      </x:c>
      <x:c r="G46" s="61" t="str">
        <x:v>Écran officiel / licencié</x:v>
      </x:c>
      <x:c r="H46" s="61" t="str"/>
      <x:c r="I46" s="61" t="str"/>
      <x:c r="J46" s="61" t="str">
        <x:v>Oui</x:v>
      </x:c>
      <x:c r="K46" s="61" t="str">
        <x:v>https://avp.fandom.com/wiki/Chopper</x:v>
      </x:c>
      <x:c r="L46" s="59" t="str">
        <x:v>Film / animation</x:v>
      </x:c>
    </x:row>
    <x:row r="47">
      <x:c r="A47" s="61" t="str">
        <x:v>Y-046</x:v>
      </x:c>
      <x:c r="B47" s="61" t="str">
        <x:v>Chulonte</x:v>
      </x:c>
      <x:c r="C47" s="61" t="str"/>
      <x:c r="D47" s="61" t="str">
        <x:v>Individu nommé ou surnommé</x:v>
      </x:c>
      <x:c r="E47" s="61" t="str">
        <x:v>Roman / prose</x:v>
      </x:c>
      <x:c r="F47" s="61" t="str">
        <x:v>Aliens vs. Predator: Prey</x:v>
      </x:c>
      <x:c r="G47" s="61" t="str">
        <x:v>Univers étendu licencié / catalogué</x:v>
      </x:c>
      <x:c r="H47" s="61" t="str"/>
      <x:c r="I47" s="61" t="str"/>
      <x:c r="J47" s="61" t="str">
        <x:v>Oui</x:v>
      </x:c>
      <x:c r="K47" s="61" t="str">
        <x:v>https://avp.fandom.com/wiki/Chulonte</x:v>
      </x:c>
      <x:c r="L47" s="59" t="str">
        <x:v>Roman / prose</x:v>
      </x:c>
    </x:row>
    <x:row r="48">
      <x:c r="A48" s="61" t="str">
        <x:v>Y-047</x:v>
      </x:c>
      <x:c r="B48" s="61" t="str">
        <x:v>Ci'tde</x:v>
      </x:c>
      <x:c r="C48" s="61" t="str"/>
      <x:c r="D48" s="61" t="str">
        <x:v>Individu nommé ou surnommé</x:v>
      </x:c>
      <x:c r="E48" s="61" t="str">
        <x:v>Roman / prose</x:v>
      </x:c>
      <x:c r="F48" s="61" t="str">
        <x:v>Aliens vs. Predator: Prey</x:v>
      </x:c>
      <x:c r="G48" s="61" t="str">
        <x:v>Univers étendu licencié / catalogué</x:v>
      </x:c>
      <x:c r="H48" s="61" t="str"/>
      <x:c r="I48" s="61" t="str"/>
      <x:c r="J48" s="61" t="str">
        <x:v>Oui</x:v>
      </x:c>
      <x:c r="K48" s="61" t="str">
        <x:v>https://avp.fandom.com/wiki/Ci'tde</x:v>
      </x:c>
      <x:c r="L48" s="59" t="str">
        <x:v>Roman / prose</x:v>
      </x:c>
    </x:row>
    <x:row r="49">
      <x:c r="A49" s="61" t="str">
        <x:v>Y-048</x:v>
      </x:c>
      <x:c r="B49" s="61" t="str">
        <x:v>City Demon Predator</x:v>
      </x:c>
      <x:c r="C49" s="61" t="str"/>
      <x:c r="D49" s="61" t="str">
        <x:v>Alias / variante de figurine</x:v>
      </x:c>
      <x:c r="E49" s="61" t="str">
        <x:v>Figurine / jouet</x:v>
      </x:c>
      <x:c r="F49" s="61" t="str">
        <x:v>NECA</x:v>
      </x:c>
      <x:c r="G49" s="61" t="str">
        <x:v>Alias / doublon</x:v>
      </x:c>
      <x:c r="H49" s="61" t="str">
        <x:v>City Hunter</x:v>
      </x:c>
      <x:c r="I49" s="61" t="str"/>
      <x:c r="J49" s="61" t="str">
        <x:v>Alias</x:v>
      </x:c>
      <x:c r="K49" s="61" t="str">
        <x:v>https://avp.fandom.com/wiki/City_Demon_Predator</x:v>
      </x:c>
      <x:c r="L49" s="59" t="str">
        <x:v>Figurine / jouet</x:v>
      </x:c>
    </x:row>
    <x:row r="50">
      <x:c r="A50" s="61" t="str">
        <x:v>Y-049</x:v>
      </x:c>
      <x:c r="B50" s="61" t="str">
        <x:v>City Hunter</x:v>
      </x:c>
      <x:c r="C50" s="61" t="str">
        <x:v>City Demon Predator</x:v>
      </x:c>
      <x:c r="D50" s="61" t="str">
        <x:v>Individu nommé ou surnommé</x:v>
      </x:c>
      <x:c r="E50" s="61" t="str">
        <x:v>Film / animation</x:v>
      </x:c>
      <x:c r="F50" s="61" t="str">
        <x:v>Predator 2 (1990)</x:v>
      </x:c>
      <x:c r="G50" s="61" t="str">
        <x:v>Écran officiel / licencié</x:v>
      </x:c>
      <x:c r="H50" s="61" t="str"/>
      <x:c r="I50" s="61" t="str"/>
      <x:c r="J50" s="61" t="str">
        <x:v>Oui</x:v>
      </x:c>
      <x:c r="K50" s="61" t="str">
        <x:v>https://avp.fandom.com/wiki/City_Hunter</x:v>
      </x:c>
      <x:c r="L50" s="59" t="str">
        <x:v>Film / animation</x:v>
      </x:c>
    </x:row>
    <x:row r="51">
      <x:c r="A51" s="61" t="str">
        <x:v>Y-050</x:v>
      </x:c>
      <x:c r="B51" s="61" t="str">
        <x:v>Clan Leader (LV-797)</x:v>
      </x:c>
      <x:c r="C51" s="61" t="str"/>
      <x:c r="D51" s="61" t="str">
        <x:v>Individu nommé ou surnommé</x:v>
      </x:c>
      <x:c r="E51" s="61" t="str">
        <x:v>Comics</x:v>
      </x:c>
      <x:c r="F51" s="61" t="str">
        <x:v>Voir la source individuelle</x:v>
      </x:c>
      <x:c r="G51" s="61" t="str">
        <x:v>Univers étendu licencié / catalogué</x:v>
      </x:c>
      <x:c r="H51" s="61" t="str"/>
      <x:c r="I51" s="61" t="str"/>
      <x:c r="J51" s="61" t="str">
        <x:v>Oui</x:v>
      </x:c>
      <x:c r="K51" s="61" t="str">
        <x:v>https://avp.fandom.com/wiki/Clan_Leader_%28LV-797%29</x:v>
      </x:c>
      <x:c r="L51" s="59" t="str">
        <x:v>Comics</x:v>
      </x:c>
    </x:row>
    <x:row r="52">
      <x:c r="A52" s="61" t="str">
        <x:v>Y-051</x:v>
      </x:c>
      <x:c r="B52" s="61" t="str">
        <x:v>Clan Leader (Predator)</x:v>
      </x:c>
      <x:c r="C52" s="61" t="str"/>
      <x:c r="D52" s="61" t="str">
        <x:v>Individu nommé ou surnommé</x:v>
      </x:c>
      <x:c r="E52" s="61" t="str">
        <x:v>Figurine / jouet</x:v>
      </x:c>
      <x:c r="F52" s="61" t="str">
        <x:v>Voir la source individuelle</x:v>
      </x:c>
      <x:c r="G52" s="61" t="str">
        <x:v>Création de merchandising licenciée</x:v>
      </x:c>
      <x:c r="H52" s="61" t="str"/>
      <x:c r="I52" s="61" t="str"/>
      <x:c r="J52" s="61" t="str">
        <x:v>Oui</x:v>
      </x:c>
      <x:c r="K52" s="61" t="str">
        <x:v>https://avp.fandom.com/wiki/Clan_Leader_%28Predator%29</x:v>
      </x:c>
      <x:c r="L52" s="59" t="str">
        <x:v>Figurine / jouet</x:v>
      </x:c>
    </x:row>
    <x:row r="53">
      <x:c r="A53" s="61" t="str">
        <x:v>Y-052</x:v>
      </x:c>
      <x:c r="B53" s="61" t="str">
        <x:v>Classic Predator (1987)</x:v>
      </x:c>
      <x:c r="C53" s="61" t="str"/>
      <x:c r="D53" s="61" t="str">
        <x:v>Alias</x:v>
      </x:c>
      <x:c r="E53" s="61" t="str">
        <x:v>Film / animation • Figurine / jouet</x:v>
      </x:c>
      <x:c r="F53" s="61" t="str">
        <x:v>Predator (1987)</x:v>
      </x:c>
      <x:c r="G53" s="61" t="str">
        <x:v>Alias / doublon</x:v>
      </x:c>
      <x:c r="H53" s="61" t="str">
        <x:v>Jungle Hunter</x:v>
      </x:c>
      <x:c r="I53" s="61" t="str"/>
      <x:c r="J53" s="61" t="str">
        <x:v>Alias</x:v>
      </x:c>
      <x:c r="K53" s="61" t="str">
        <x:v>https://avp.fandom.com/wiki/Classic_Predator_%281987%29</x:v>
      </x:c>
      <x:c r="L53" s="59" t="str">
        <x:v>Film / animation</x:v>
      </x:c>
    </x:row>
    <x:row r="54">
      <x:c r="A54" s="61" t="str">
        <x:v>Y-053</x:v>
      </x:c>
      <x:c r="B54" s="61" t="str">
        <x:v>Classic Predator (2010)</x:v>
      </x:c>
      <x:c r="C54" s="61" t="str"/>
      <x:c r="D54" s="61" t="str">
        <x:v>Alias</x:v>
      </x:c>
      <x:c r="E54" s="61" t="str">
        <x:v>Film / animation • Figurine / jouet</x:v>
      </x:c>
      <x:c r="F54" s="61" t="str">
        <x:v>Predators (2010)</x:v>
      </x:c>
      <x:c r="G54" s="61" t="str">
        <x:v>Alias / doublon</x:v>
      </x:c>
      <x:c r="H54" s="61" t="str">
        <x:v>Crucified Predator</x:v>
      </x:c>
      <x:c r="I54" s="61" t="str"/>
      <x:c r="J54" s="61" t="str">
        <x:v>Alias</x:v>
      </x:c>
      <x:c r="K54" s="61" t="str">
        <x:v>https://avp.fandom.com/wiki/Classic_Predator_%282010%29</x:v>
      </x:c>
      <x:c r="L54" s="59" t="str">
        <x:v>Film / animation</x:v>
      </x:c>
    </x:row>
    <x:row r="55">
      <x:c r="A55" s="61" t="str">
        <x:v>Y-054</x:v>
      </x:c>
      <x:c r="B55" s="61" t="str">
        <x:v>Claw</x:v>
      </x:c>
      <x:c r="C55" s="61" t="str"/>
      <x:c r="D55" s="61" t="str">
        <x:v>Individu nommé ou surnommé</x:v>
      </x:c>
      <x:c r="E55" s="61" t="str">
        <x:v>Jeu vidéo</x:v>
      </x:c>
      <x:c r="F55" s="61" t="str">
        <x:v>Voir la source individuelle</x:v>
      </x:c>
      <x:c r="G55" s="61" t="str">
        <x:v>Univers étendu licencié / catalogué</x:v>
      </x:c>
      <x:c r="H55" s="61" t="str"/>
      <x:c r="I55" s="61" t="str"/>
      <x:c r="J55" s="61" t="str">
        <x:v>Oui</x:v>
      </x:c>
      <x:c r="K55" s="61" t="str">
        <x:v>https://avp.fandom.com/wiki/Claw</x:v>
      </x:c>
      <x:c r="L55" s="59" t="str">
        <x:v>Jeu vidéo</x:v>
      </x:c>
    </x:row>
    <x:row r="56">
      <x:c r="A56" s="61" t="str">
        <x:v>Y-055</x:v>
      </x:c>
      <x:c r="B56" s="61" t="str">
        <x:v>Cleopatra</x:v>
      </x:c>
      <x:c r="C56" s="61" t="str"/>
      <x:c r="D56" s="61" t="str">
        <x:v>Individu nommé ou surnommé</x:v>
      </x:c>
      <x:c r="E56" s="61" t="str">
        <x:v>Jeu vidéo</x:v>
      </x:c>
      <x:c r="F56" s="61" t="str">
        <x:v>Predator: Hunting Grounds</x:v>
      </x:c>
      <x:c r="G56" s="61" t="str">
        <x:v>Univers étendu licencié / catalogué</x:v>
      </x:c>
      <x:c r="H56" s="61" t="str"/>
      <x:c r="I56" s="61" t="str"/>
      <x:c r="J56" s="61" t="str">
        <x:v>Oui</x:v>
      </x:c>
      <x:c r="K56" s="61" t="str">
        <x:v>https://avp.fandom.com/wiki/Cleopatra</x:v>
      </x:c>
      <x:c r="L56" s="59" t="str">
        <x:v>Jeu vidéo</x:v>
      </x:c>
    </x:row>
    <x:row r="57">
      <x:c r="A57" s="61" t="str">
        <x:v>Y-056</x:v>
      </x:c>
      <x:c r="B57" s="61" t="str">
        <x:v>Comrade</x:v>
      </x:c>
      <x:c r="C57" s="61" t="str"/>
      <x:c r="D57" s="61" t="str">
        <x:v>Individu nommé ou surnommé</x:v>
      </x:c>
      <x:c r="E57" s="61" t="str">
        <x:v>Univers étendu (comic/roman/audio/jeu)</x:v>
      </x:c>
      <x:c r="F57" s="61" t="str">
        <x:v>Voir la source individuelle</x:v>
      </x:c>
      <x:c r="G57" s="61" t="str">
        <x:v>Univers étendu licencié / catalogué</x:v>
      </x:c>
      <x:c r="H57" s="61" t="str"/>
      <x:c r="I57" s="61" t="str"/>
      <x:c r="J57" s="61" t="str">
        <x:v>Oui</x:v>
      </x:c>
      <x:c r="K57" s="61" t="str">
        <x:v>https://avp.fandom.com/wiki/Comrade</x:v>
      </x:c>
      <x:c r="L57" s="59" t="str">
        <x:v>Univers étendu</x:v>
      </x:c>
    </x:row>
    <x:row r="58">
      <x:c r="A58" s="61" t="str">
        <x:v>Y-057</x:v>
      </x:c>
      <x:c r="B58" s="61" t="str">
        <x:v>Cracked Tusk Predator</x:v>
      </x:c>
      <x:c r="C58" s="61" t="str"/>
      <x:c r="D58" s="61" t="str">
        <x:v>Individu nommé ou surnommé</x:v>
      </x:c>
      <x:c r="E58" s="61" t="str">
        <x:v>Comics • Figurine / jouet</x:v>
      </x:c>
      <x:c r="F58" s="61" t="str">
        <x:v>Voir la source individuelle</x:v>
      </x:c>
      <x:c r="G58" s="61" t="str">
        <x:v>Univers étendu licencié / catalogué</x:v>
      </x:c>
      <x:c r="H58" s="61" t="str"/>
      <x:c r="I58" s="61" t="str">
        <x:v>Identité Kenner/NECA souvent rapprochée de Broken Tusk, mais conservée séparément car les gammes de jouets l'ont traitée comme un personnage propre.</x:v>
      </x:c>
      <x:c r="J58" s="61" t="str">
        <x:v>Oui</x:v>
      </x:c>
      <x:c r="K58" s="61" t="str">
        <x:v>https://avp.fandom.com/wiki/Cracked_Tusk_Predator</x:v>
      </x:c>
      <x:c r="L58" s="59" t="str">
        <x:v>Comics</x:v>
      </x:c>
    </x:row>
    <x:row r="59">
      <x:c r="A59" s="61" t="str">
        <x:v>Y-058</x:v>
      </x:c>
      <x:c r="B59" s="61" t="str">
        <x:v>Crucified Predator</x:v>
      </x:c>
      <x:c r="C59" s="61" t="str">
        <x:v>Captured Predator; Classic Predator (2010)</x:v>
      </x:c>
      <x:c r="D59" s="61" t="str">
        <x:v>Individu nommé ou surnommé</x:v>
      </x:c>
      <x:c r="E59" s="61" t="str">
        <x:v>Film / animation • Comics</x:v>
      </x:c>
      <x:c r="F59" s="61" t="str">
        <x:v>Predators (2010)</x:v>
      </x:c>
      <x:c r="G59" s="61" t="str">
        <x:v>Écran officiel / licencié</x:v>
      </x:c>
      <x:c r="H59" s="61" t="str"/>
      <x:c r="I59" s="61" t="str"/>
      <x:c r="J59" s="61" t="str">
        <x:v>Oui</x:v>
      </x:c>
      <x:c r="K59" s="61" t="str">
        <x:v>https://avp.fandom.com/wiki/Crucified_Predator</x:v>
      </x:c>
      <x:c r="L59" s="59" t="str">
        <x:v>Film / animation</x:v>
      </x:c>
    </x:row>
    <x:row r="60">
      <x:c r="A60" s="61" t="str">
        <x:v>Y-059</x:v>
      </x:c>
      <x:c r="B60" s="61" t="str">
        <x:v>Cyborg Predator (AVP: Annihilation)</x:v>
      </x:c>
      <x:c r="C60" s="61" t="str"/>
      <x:c r="D60" s="61" t="str">
        <x:v>Individu anonyme désigné</x:v>
      </x:c>
      <x:c r="E60" s="61" t="str">
        <x:v>Anime inédit</x:v>
      </x:c>
      <x:c r="F60" s="61" t="str">
        <x:v>Aliens vs. Predator: Annihilation (anime inédit)</x:v>
      </x:c>
      <x:c r="G60" s="61" t="str">
        <x:v>Œuvre achevée non diffusée</x:v>
      </x:c>
      <x:c r="H60" s="61" t="str"/>
      <x:c r="I60" s="61" t="str">
        <x:v>Membre cyborg du clan de l'anime achevé mais non diffusé; aucun nom propre public connu.</x:v>
      </x:c>
      <x:c r="J60" s="61" t="str">
        <x:v>Oui</x:v>
      </x:c>
      <x:c r="K60" s="61" t="str">
        <x:v>https://avp.fandom.com/wiki/Cyborg_Predator_%28AVP%3A_Annihilation%29</x:v>
      </x:c>
      <x:c r="L60" s="59" t="str">
        <x:v>Anime inédit</x:v>
      </x:c>
    </x:row>
    <x:row r="61">
      <x:c r="A61" s="61" t="str">
        <x:v>Y-060</x:v>
      </x:c>
      <x:c r="B61" s="61" t="str">
        <x:v>Da-ec'te</x:v>
      </x:c>
      <x:c r="C61" s="61" t="str"/>
      <x:c r="D61" s="61" t="str">
        <x:v>Individu nommé ou surnommé</x:v>
      </x:c>
      <x:c r="E61" s="61" t="str">
        <x:v>Roman / prose</x:v>
      </x:c>
      <x:c r="F61" s="61" t="str">
        <x:v>Aliens vs. Predator: Prey</x:v>
      </x:c>
      <x:c r="G61" s="61" t="str">
        <x:v>Univers étendu licencié / catalogué</x:v>
      </x:c>
      <x:c r="H61" s="61" t="str"/>
      <x:c r="I61" s="61" t="str"/>
      <x:c r="J61" s="61" t="str">
        <x:v>Oui</x:v>
      </x:c>
      <x:c r="K61" s="61" t="str">
        <x:v>https://avp.fandom.com/wiki/Da-ec'te</x:v>
      </x:c>
      <x:c r="L61" s="59" t="str">
        <x:v>Roman / prose</x:v>
      </x:c>
    </x:row>
    <x:row r="62">
      <x:c r="A62" s="61" t="str">
        <x:v>Y-061</x:v>
      </x:c>
      <x:c r="B62" s="61" t="str">
        <x:v>Dachande</x:v>
      </x:c>
      <x:c r="C62" s="61" t="str">
        <x:v>Broken Tusk Predator</x:v>
      </x:c>
      <x:c r="D62" s="61" t="str">
        <x:v>Individu nommé</x:v>
      </x:c>
      <x:c r="E62" s="61" t="str">
        <x:v>Comics • Roman / prose</x:v>
      </x:c>
      <x:c r="F62" s="61" t="str">
        <x:v>Aliens vs. Predator / Aliens vs. Predator: Prey</x:v>
      </x:c>
      <x:c r="G62" s="61" t="str">
        <x:v>Univers étendu / merchandising licencié</x:v>
      </x:c>
      <x:c r="H62" s="61" t="str">
        <x:v>Broken Tusk est son surnom/titre.</x:v>
      </x:c>
      <x:c r="I62" s="61" t="str"/>
      <x:c r="J62" s="61" t="str">
        <x:v>Oui</x:v>
      </x:c>
      <x:c r="K62" s="61" t="str">
        <x:v>https://avp.fandom.com/wiki/Dachande</x:v>
      </x:c>
      <x:c r="L62" s="59" t="str">
        <x:v>Comics</x:v>
      </x:c>
    </x:row>
    <x:row r="63">
      <x:c r="A63" s="61" t="str">
        <x:v>Y-062</x:v>
      </x:c>
      <x:c r="B63" s="61" t="str">
        <x:v>Dachande's Clan</x:v>
      </x:c>
      <x:c r="C63" s="61" t="str"/>
      <x:c r="D63" s="61" t="str">
        <x:v>Groupe / clan</x:v>
      </x:c>
      <x:c r="E63" s="61" t="str">
        <x:v>Comics • Roman / prose</x:v>
      </x:c>
      <x:c r="F63" s="61" t="str">
        <x:v>Aliens vs. Predator / Prey</x:v>
      </x:c>
      <x:c r="G63" s="61" t="str">
        <x:v>Groupe / catégorie</x:v>
      </x:c>
      <x:c r="H63" s="61" t="str"/>
      <x:c r="I63" s="61" t="str"/>
      <x:c r="J63" s="61" t="str">
        <x:v>Non (groupe)</x:v>
      </x:c>
      <x:c r="K63" s="61" t="str">
        <x:v>https://avp.fandom.com/wiki/Dachande's_Clan</x:v>
      </x:c>
      <x:c r="L63" s="59" t="str">
        <x:v>Comics</x:v>
      </x:c>
    </x:row>
    <x:row r="64">
      <x:c r="A64" s="61" t="str">
        <x:v>Y-063</x:v>
      </x:c>
      <x:c r="B64" s="61" t="str">
        <x:v>Dark</x:v>
      </x:c>
      <x:c r="C64" s="61" t="str"/>
      <x:c r="D64" s="61" t="str">
        <x:v>Individu nommé ou surnommé</x:v>
      </x:c>
      <x:c r="E64" s="61" t="str">
        <x:v>Jeu vidéo</x:v>
      </x:c>
      <x:c r="F64" s="61" t="str">
        <x:v>Aliens vs. Predator (2010)</x:v>
      </x:c>
      <x:c r="G64" s="61" t="str">
        <x:v>Univers étendu licencié / catalogué</x:v>
      </x:c>
      <x:c r="H64" s="61" t="str"/>
      <x:c r="I64" s="61" t="str"/>
      <x:c r="J64" s="61" t="str">
        <x:v>Oui</x:v>
      </x:c>
      <x:c r="K64" s="61" t="str">
        <x:v>https://avp.fandom.com/wiki/Dark</x:v>
      </x:c>
      <x:c r="L64" s="59" t="str">
        <x:v>Jeu vidéo</x:v>
      </x:c>
    </x:row>
    <x:row r="65">
      <x:c r="A65" s="61" t="str">
        <x:v>Y-064</x:v>
      </x:c>
      <x:c r="B65" s="61" t="str">
        <x:v>Dark Ages Predator</x:v>
      </x:c>
      <x:c r="C65" s="61" t="str"/>
      <x:c r="D65" s="61" t="str">
        <x:v>Individu anonyme désigné</x:v>
      </x:c>
      <x:c r="E65" s="61" t="str">
        <x:v>Fan-film</x:v>
      </x:c>
      <x:c r="F65" s="61" t="str">
        <x:v>Predator: Dark Ages (2015)</x:v>
      </x:c>
      <x:c r="G65" s="61" t="str">
        <x:v>Non officiel / fan-made</x:v>
      </x:c>
      <x:c r="H65" s="61" t="str"/>
      <x:c r="I65" s="61" t="str">
        <x:v>Désignation descriptive d'un Yautja anonyme du fan-film.</x:v>
      </x:c>
      <x:c r="J65" s="61" t="str">
        <x:v>Oui</x:v>
      </x:c>
      <x:c r="K65" s="61" t="str">
        <x:v>https://avp.fandom.com/wiki/Dark_Ages_Predator</x:v>
      </x:c>
      <x:c r="L65" s="59" t="str">
        <x:v>Fan-film</x:v>
      </x:c>
    </x:row>
    <x:row r="66">
      <x:c r="A66" s="61" t="str">
        <x:v>Y-065</x:v>
      </x:c>
      <x:c r="B66" s="61" t="str">
        <x:v>Dark Horse 25th Anniversary Predator</x:v>
      </x:c>
      <x:c r="C66" s="61" t="str"/>
      <x:c r="D66" s="61" t="str">
        <x:v>Individu / design de merchandising</x:v>
      </x:c>
      <x:c r="E66" s="61" t="str">
        <x:v>Figurine / jouet</x:v>
      </x:c>
      <x:c r="F66" s="61" t="str">
        <x:v>NECA</x:v>
      </x:c>
      <x:c r="G66" s="61" t="str">
        <x:v>Univers étendu / merchandising licencié</x:v>
      </x:c>
      <x:c r="H66" s="61" t="str"/>
      <x:c r="I66" s="61" t="str"/>
      <x:c r="J66" s="61" t="str">
        <x:v>Oui</x:v>
      </x:c>
      <x:c r="K66" s="61" t="str">
        <x:v>https://avp.fandom.com/wiki/Dark_Horse_25th_Anniversary_Predator</x:v>
      </x:c>
      <x:c r="L66" s="59" t="str">
        <x:v>Figurine / jouet</x:v>
      </x:c>
    </x:row>
    <x:row r="67">
      <x:c r="A67" s="61" t="str">
        <x:v>Y-066</x:v>
      </x:c>
      <x:c r="B67" s="61" t="str">
        <x:v>Dek</x:v>
      </x:c>
      <x:c r="C67" s="61" t="str"/>
      <x:c r="D67" s="61" t="str">
        <x:v>Individu nommé ou surnommé</x:v>
      </x:c>
      <x:c r="E67" s="61" t="str">
        <x:v>Film / animation</x:v>
      </x:c>
      <x:c r="F67" s="61" t="str">
        <x:v>Predator: Badlands (2025)</x:v>
      </x:c>
      <x:c r="G67" s="61" t="str">
        <x:v>Écran officiel / licencié</x:v>
      </x:c>
      <x:c r="H67" s="61" t="str"/>
      <x:c r="I67" s="61" t="str"/>
      <x:c r="J67" s="61" t="str">
        <x:v>Oui</x:v>
      </x:c>
      <x:c r="K67" s="61" t="str">
        <x:v>https://avp.fandom.com/wiki/Dek</x:v>
      </x:c>
      <x:c r="L67" s="59" t="str">
        <x:v>Film / animation</x:v>
      </x:c>
    </x:row>
    <x:row r="68">
      <x:c r="A68" s="61" t="str">
        <x:v>Y-067</x:v>
      </x:c>
      <x:c r="B68" s="61" t="str">
        <x:v>Devil</x:v>
      </x:c>
      <x:c r="C68" s="61" t="str"/>
      <x:c r="D68" s="61" t="str">
        <x:v>Individu nommé ou surnommé</x:v>
      </x:c>
      <x:c r="E68" s="61" t="str">
        <x:v>Comics</x:v>
      </x:c>
      <x:c r="F68" s="61" t="str">
        <x:v>Voir la source individuelle</x:v>
      </x:c>
      <x:c r="G68" s="61" t="str">
        <x:v>Univers étendu licencié / catalogué</x:v>
      </x:c>
      <x:c r="H68" s="61" t="str"/>
      <x:c r="I68" s="61" t="str"/>
      <x:c r="J68" s="61" t="str">
        <x:v>Oui</x:v>
      </x:c>
      <x:c r="K68" s="61" t="str">
        <x:v>https://avp.fandom.com/wiki/Devil</x:v>
      </x:c>
      <x:c r="L68" s="59" t="str">
        <x:v>Comics</x:v>
      </x:c>
    </x:row>
    <x:row r="69">
      <x:c r="A69" s="61" t="str">
        <x:v>Y-068</x:v>
      </x:c>
      <x:c r="B69" s="61" t="str">
        <x:v>Disc Master</x:v>
      </x:c>
      <x:c r="C69" s="61" t="str"/>
      <x:c r="D69" s="61" t="str">
        <x:v>Rang / classe</x:v>
      </x:c>
      <x:c r="E69" s="61" t="str">
        <x:v>Jeu vidéo</x:v>
      </x:c>
      <x:c r="F69" s="61" t="str">
        <x:v>Jeux Alien/Predator</x:v>
      </x:c>
      <x:c r="G69" s="61" t="str">
        <x:v>Rang / classe</x:v>
      </x:c>
      <x:c r="H69" s="61" t="str"/>
      <x:c r="I69" s="61" t="str"/>
      <x:c r="J69" s="61" t="str">
        <x:v>Non (rang)</x:v>
      </x:c>
      <x:c r="K69" s="61" t="str">
        <x:v>https://avp.fandom.com/wiki/Disc_Master</x:v>
      </x:c>
      <x:c r="L69" s="59" t="str">
        <x:v>Jeu vidéo</x:v>
      </x:c>
    </x:row>
    <x:row r="70">
      <x:c r="A70" s="61" t="str">
        <x:v>Y-069</x:v>
      </x:c>
      <x:c r="B70" s="61" t="str">
        <x:v>Disgraced Predator</x:v>
      </x:c>
      <x:c r="C70" s="61" t="str"/>
      <x:c r="D70" s="61" t="str">
        <x:v>Individu nommé ou surnommé</x:v>
      </x:c>
      <x:c r="E70" s="61" t="str">
        <x:v>Univers étendu (comic/roman/audio/jeu)</x:v>
      </x:c>
      <x:c r="F70" s="61" t="str">
        <x:v>Voir la source individuelle</x:v>
      </x:c>
      <x:c r="G70" s="61" t="str">
        <x:v>Univers étendu licencié / catalogué</x:v>
      </x:c>
      <x:c r="H70" s="61" t="str"/>
      <x:c r="I70" s="61" t="str"/>
      <x:c r="J70" s="61" t="str">
        <x:v>Oui</x:v>
      </x:c>
      <x:c r="K70" s="61" t="str">
        <x:v>https://avp.fandom.com/wiki/Disgraced_Predator</x:v>
      </x:c>
      <x:c r="L70" s="59" t="str">
        <x:v>Univers étendu</x:v>
      </x:c>
    </x:row>
    <x:row r="71">
      <x:c r="A71" s="61" t="str">
        <x:v>Y-070</x:v>
      </x:c>
      <x:c r="B71" s="61" t="str">
        <x:v>Djinn</x:v>
      </x:c>
      <x:c r="C71" s="61" t="str"/>
      <x:c r="D71" s="61" t="str">
        <x:v>Individu nommé ou surnommé</x:v>
      </x:c>
      <x:c r="E71" s="61" t="str">
        <x:v>Comics</x:v>
      </x:c>
      <x:c r="F71" s="61" t="str">
        <x:v>Voir la source individuelle</x:v>
      </x:c>
      <x:c r="G71" s="61" t="str">
        <x:v>Univers étendu licencié / catalogué</x:v>
      </x:c>
      <x:c r="H71" s="61" t="str"/>
      <x:c r="I71" s="61" t="str"/>
      <x:c r="J71" s="61" t="str">
        <x:v>Oui</x:v>
      </x:c>
      <x:c r="K71" s="61" t="str">
        <x:v>https://avp.fandom.com/wiki/Djinn</x:v>
      </x:c>
      <x:c r="L71" s="59" t="str">
        <x:v>Comics</x:v>
      </x:c>
    </x:row>
    <x:row r="72">
      <x:c r="A72" s="61" t="str">
        <x:v>Y-071</x:v>
      </x:c>
      <x:c r="B72" s="61" t="str">
        <x:v>Dominator Predators</x:v>
      </x:c>
      <x:c r="C72" s="61" t="str"/>
      <x:c r="D72" s="61" t="str">
        <x:v>Groupe / collectif</x:v>
      </x:c>
      <x:c r="E72" s="61" t="str">
        <x:v>Univers étendu (comic/roman/audio/jeu)</x:v>
      </x:c>
      <x:c r="F72" s="61" t="str">
        <x:v>Voir la source individuelle</x:v>
      </x:c>
      <x:c r="G72" s="61" t="str">
        <x:v>Groupe / catégorie</x:v>
      </x:c>
      <x:c r="H72" s="61" t="str"/>
      <x:c r="I72" s="61" t="str"/>
      <x:c r="J72" s="61" t="str">
        <x:v>Non (groupe)</x:v>
      </x:c>
      <x:c r="K72" s="61" t="str">
        <x:v>https://avp.fandom.com/wiki/Dominator_Predators</x:v>
      </x:c>
      <x:c r="L72" s="59" t="str">
        <x:v>Univers étendu</x:v>
      </x:c>
    </x:row>
    <x:row r="73">
      <x:c r="A73" s="61" t="str">
        <x:v>Y-072</x:v>
      </x:c>
      <x:c r="B73" s="61" t="str">
        <x:v>Dragon (Yautja)</x:v>
      </x:c>
      <x:c r="C73" s="61" t="str"/>
      <x:c r="D73" s="61" t="str">
        <x:v>Individu nommé ou surnommé</x:v>
      </x:c>
      <x:c r="E73" s="61" t="str">
        <x:v>Comics</x:v>
      </x:c>
      <x:c r="F73" s="61" t="str">
        <x:v>Voir la source individuelle</x:v>
      </x:c>
      <x:c r="G73" s="61" t="str">
        <x:v>Univers étendu licencié / catalogué</x:v>
      </x:c>
      <x:c r="H73" s="61" t="str"/>
      <x:c r="I73" s="61" t="str"/>
      <x:c r="J73" s="61" t="str">
        <x:v>Oui</x:v>
      </x:c>
      <x:c r="K73" s="61" t="str">
        <x:v>https://avp.fandom.com/wiki/Dragon_%28Yautja%29</x:v>
      </x:c>
      <x:c r="L73" s="59" t="str">
        <x:v>Comics</x:v>
      </x:c>
    </x:row>
    <x:row r="74">
      <x:c r="A74" s="61" t="str">
        <x:v>Y-073</x:v>
      </x:c>
      <x:c r="B74" s="61" t="str">
        <x:v>Elder (New Way City)</x:v>
      </x:c>
      <x:c r="C74" s="61" t="str"/>
      <x:c r="D74" s="61" t="str">
        <x:v>Individu de jeu vidéo</x:v>
      </x:c>
      <x:c r="E74" s="61" t="str">
        <x:v>Jeu vidéo</x:v>
      </x:c>
      <x:c r="F74" s="61" t="str">
        <x:v>Predator: Concrete Jungle</x:v>
      </x:c>
      <x:c r="G74" s="61" t="str">
        <x:v>Univers étendu / merchandising licencié</x:v>
      </x:c>
      <x:c r="H74" s="61" t="str"/>
      <x:c r="I74" s="61" t="str"/>
      <x:c r="J74" s="61" t="str">
        <x:v>Oui</x:v>
      </x:c>
      <x:c r="K74" s="61" t="str">
        <x:v>https://avp.fandom.com/wiki/Elder_%28New_Way_City%29</x:v>
      </x:c>
      <x:c r="L74" s="59" t="str">
        <x:v>Jeu vidéo</x:v>
      </x:c>
    </x:row>
    <x:row r="75">
      <x:c r="A75" s="61" t="str">
        <x:v>Y-074</x:v>
      </x:c>
      <x:c r="B75" s="61" t="str">
        <x:v>Elder Predator (Predator: Hunting Grounds)</x:v>
      </x:c>
      <x:c r="C75" s="61" t="str"/>
      <x:c r="D75" s="61" t="str">
        <x:v>Individu nommé ou surnommé</x:v>
      </x:c>
      <x:c r="E75" s="61" t="str">
        <x:v>Jeu vidéo</x:v>
      </x:c>
      <x:c r="F75" s="61" t="str">
        <x:v>Predator: Hunting Grounds</x:v>
      </x:c>
      <x:c r="G75" s="61" t="str">
        <x:v>Univers étendu licencié / catalogué</x:v>
      </x:c>
      <x:c r="H75" s="61" t="str"/>
      <x:c r="I75" s="61" t="str"/>
      <x:c r="J75" s="61" t="str">
        <x:v>Oui</x:v>
      </x:c>
      <x:c r="K75" s="61" t="str">
        <x:v>https://avp.fandom.com/wiki/Elder_Predator_%28Predator%3A_Hunting_Grounds%29</x:v>
      </x:c>
      <x:c r="L75" s="59" t="str">
        <x:v>Jeu vidéo</x:v>
      </x:c>
    </x:row>
    <x:row r="76">
      <x:c r="A76" s="61" t="str">
        <x:v>Y-075</x:v>
      </x:c>
      <x:c r="B76" s="61" t="str">
        <x:v>Elite Clan</x:v>
      </x:c>
      <x:c r="C76" s="61" t="str"/>
      <x:c r="D76" s="61" t="str">
        <x:v>Groupe / clan</x:v>
      </x:c>
      <x:c r="E76" s="61" t="str">
        <x:v>Jeu vidéo</x:v>
      </x:c>
      <x:c r="F76" s="61" t="str">
        <x:v>Aliens vs. Predator (2010)</x:v>
      </x:c>
      <x:c r="G76" s="61" t="str">
        <x:v>Groupe / catégorie</x:v>
      </x:c>
      <x:c r="H76" s="61" t="str"/>
      <x:c r="I76" s="61" t="str"/>
      <x:c r="J76" s="61" t="str">
        <x:v>Non (groupe)</x:v>
      </x:c>
      <x:c r="K76" s="61" t="str">
        <x:v>https://avp.fandom.com/wiki/Elite_Clan</x:v>
      </x:c>
      <x:c r="L76" s="59" t="str">
        <x:v>Jeu vidéo</x:v>
      </x:c>
    </x:row>
    <x:row r="77">
      <x:c r="A77" s="61" t="str">
        <x:v>Y-076</x:v>
      </x:c>
      <x:c r="B77" s="61" t="str">
        <x:v>Emissary Predator</x:v>
      </x:c>
      <x:c r="C77" s="61" t="str"/>
      <x:c r="D77" s="61" t="str">
        <x:v>Désignation collective / individus supprimés</x:v>
      </x:c>
      <x:c r="E77" s="61" t="str">
        <x:v>Film / animation • Jeu vidéo</x:v>
      </x:c>
      <x:c r="F77" s="61" t="str">
        <x:v>The Predator (2018), scènes supprimées</x:v>
      </x:c>
      <x:c r="G77" s="61" t="str">
        <x:v>Écran officiel / licencié</x:v>
      </x:c>
      <x:c r="H77" s="61" t="str"/>
      <x:c r="I77" s="61" t="str">
        <x:v>Deux Emissaries avaient été tournés pour The Predator; scènes retirées du montage cinéma. La désignation collective est conservée ici.</x:v>
      </x:c>
      <x:c r="J77" s="61" t="str">
        <x:v>Oui</x:v>
      </x:c>
      <x:c r="K77" s="61" t="str">
        <x:v>https://avp.fandom.com/wiki/Emissary_Predator</x:v>
      </x:c>
      <x:c r="L77" s="59" t="str">
        <x:v>Film / animation</x:v>
      </x:c>
    </x:row>
    <x:row r="78">
      <x:c r="A78" s="61" t="str">
        <x:v>Y-077</x:v>
      </x:c>
      <x:c r="B78" s="61" t="str">
        <x:v>Enforcer Predator</x:v>
      </x:c>
      <x:c r="C78" s="61" t="str"/>
      <x:c r="D78" s="61" t="str">
        <x:v>Individu nommé ou surnommé</x:v>
      </x:c>
      <x:c r="E78" s="61" t="str">
        <x:v>Comics</x:v>
      </x:c>
      <x:c r="F78" s="61" t="str">
        <x:v>Predator: Bad Blood</x:v>
      </x:c>
      <x:c r="G78" s="61" t="str">
        <x:v>Univers étendu licencié / catalogué</x:v>
      </x:c>
      <x:c r="H78" s="61" t="str"/>
      <x:c r="I78" s="61" t="str"/>
      <x:c r="J78" s="61" t="str">
        <x:v>Oui</x:v>
      </x:c>
      <x:c r="K78" s="61" t="str">
        <x:v>https://avp.fandom.com/wiki/Enforcer_Predator</x:v>
      </x:c>
      <x:c r="L78" s="59" t="str">
        <x:v>Comics</x:v>
      </x:c>
    </x:row>
    <x:row r="79">
      <x:c r="A79" s="61" t="str">
        <x:v>Y-078</x:v>
      </x:c>
      <x:c r="B79" s="61" t="str">
        <x:v>Esch'ande</x:v>
      </x:c>
      <x:c r="C79" s="61" t="str"/>
      <x:c r="D79" s="61" t="str">
        <x:v>Individu nommé ou surnommé</x:v>
      </x:c>
      <x:c r="E79" s="61" t="str">
        <x:v>Univers étendu (comic/roman/audio/jeu)</x:v>
      </x:c>
      <x:c r="F79" s="61" t="str">
        <x:v>Voir la source individuelle</x:v>
      </x:c>
      <x:c r="G79" s="61" t="str">
        <x:v>Univers étendu licencié / catalogué</x:v>
      </x:c>
      <x:c r="H79" s="61" t="str"/>
      <x:c r="I79" s="61" t="str"/>
      <x:c r="J79" s="61" t="str">
        <x:v>Oui</x:v>
      </x:c>
      <x:c r="K79" s="61" t="str">
        <x:v>https://avp.fandom.com/wiki/Esch'ande</x:v>
      </x:c>
      <x:c r="L79" s="59" t="str">
        <x:v>Univers étendu</x:v>
      </x:c>
    </x:row>
    <x:row r="80">
      <x:c r="A80" s="61" t="str">
        <x:v>Y-079</x:v>
      </x:c>
      <x:c r="B80" s="61" t="str">
        <x:v>Etah'-dte</x:v>
      </x:c>
      <x:c r="C80" s="61" t="str"/>
      <x:c r="D80" s="61" t="str">
        <x:v>Individu nommé ou surnommé</x:v>
      </x:c>
      <x:c r="E80" s="61" t="str">
        <x:v>Roman / prose</x:v>
      </x:c>
      <x:c r="F80" s="61" t="str">
        <x:v>Aliens vs. Predator: Prey</x:v>
      </x:c>
      <x:c r="G80" s="61" t="str">
        <x:v>Univers étendu licencié / catalogué</x:v>
      </x:c>
      <x:c r="H80" s="61" t="str"/>
      <x:c r="I80" s="61" t="str"/>
      <x:c r="J80" s="61" t="str">
        <x:v>Oui</x:v>
      </x:c>
      <x:c r="K80" s="61" t="str">
        <x:v>https://avp.fandom.com/wiki/Etah'-dte</x:v>
      </x:c>
      <x:c r="L80" s="59" t="str">
        <x:v>Roman / prose</x:v>
      </x:c>
    </x:row>
    <x:row r="81">
      <x:c r="A81" s="61" t="str">
        <x:v>Y-080</x:v>
      </x:c>
      <x:c r="B81" s="61" t="str">
        <x:v>Exalted Predator</x:v>
      </x:c>
      <x:c r="C81" s="61" t="str"/>
      <x:c r="D81" s="61" t="str">
        <x:v>Individu jouable</x:v>
      </x:c>
      <x:c r="E81" s="61" t="str">
        <x:v>Jeu vidéo</x:v>
      </x:c>
      <x:c r="F81" s="61" t="str">
        <x:v>Predator: Hunting Grounds</x:v>
      </x:c>
      <x:c r="G81" s="61" t="str">
        <x:v>Univers étendu / merchandising licencié</x:v>
      </x:c>
      <x:c r="H81" s="61" t="str"/>
      <x:c r="I81" s="61" t="str"/>
      <x:c r="J81" s="61" t="str">
        <x:v>Oui</x:v>
      </x:c>
      <x:c r="K81" s="61" t="str">
        <x:v>https://avp.fandom.com/wiki/Exalted_Predator</x:v>
      </x:c>
      <x:c r="L81" s="59" t="str">
        <x:v>Jeu vidéo</x:v>
      </x:c>
    </x:row>
    <x:row r="82">
      <x:c r="A82" s="61" t="str">
        <x:v>Y-081</x:v>
      </x:c>
      <x:c r="B82" s="61" t="str">
        <x:v>Exiled Predator</x:v>
      </x:c>
      <x:c r="C82" s="61" t="str"/>
      <x:c r="D82" s="61" t="str">
        <x:v>Individu nommé ou surnommé</x:v>
      </x:c>
      <x:c r="E82" s="61" t="str">
        <x:v>Jeu vidéo</x:v>
      </x:c>
      <x:c r="F82" s="61" t="str">
        <x:v>Predator: Hunting Grounds</x:v>
      </x:c>
      <x:c r="G82" s="61" t="str">
        <x:v>Univers étendu licencié / catalogué</x:v>
      </x:c>
      <x:c r="H82" s="61" t="str"/>
      <x:c r="I82" s="61" t="str"/>
      <x:c r="J82" s="61" t="str">
        <x:v>Oui</x:v>
      </x:c>
      <x:c r="K82" s="61" t="str">
        <x:v>https://avp.fandom.com/wiki/Exiled_Predator</x:v>
      </x:c>
      <x:c r="L82" s="59" t="str">
        <x:v>Jeu vidéo</x:v>
      </x:c>
    </x:row>
    <x:row r="83">
      <x:c r="A83" s="61" t="str">
        <x:v>Y-082</x:v>
      </x:c>
      <x:c r="B83" s="61" t="str">
        <x:v>Exiles</x:v>
      </x:c>
      <x:c r="C83" s="61" t="str"/>
      <x:c r="D83" s="61" t="str">
        <x:v>Groupe / clan</x:v>
      </x:c>
      <x:c r="E83" s="61" t="str">
        <x:v>Comics</x:v>
      </x:c>
      <x:c r="F83" s="61" t="str">
        <x:v>Univers étendu</x:v>
      </x:c>
      <x:c r="G83" s="61" t="str">
        <x:v>Groupe / catégorie</x:v>
      </x:c>
      <x:c r="H83" s="61" t="str"/>
      <x:c r="I83" s="61" t="str"/>
      <x:c r="J83" s="61" t="str">
        <x:v>Non (groupe)</x:v>
      </x:c>
      <x:c r="K83" s="61" t="str">
        <x:v>https://avp.fandom.com/wiki/Exiles</x:v>
      </x:c>
      <x:c r="L83" s="59" t="str">
        <x:v>Comics</x:v>
      </x:c>
    </x:row>
    <x:row r="84">
      <x:c r="A84" s="61" t="str">
        <x:v>Y-083</x:v>
      </x:c>
      <x:c r="B84" s="61" t="str">
        <x:v>Falconer (Game Preserve Planet)</x:v>
      </x:c>
      <x:c r="C84" s="61" t="str"/>
      <x:c r="D84" s="61" t="str">
        <x:v>Individu nommé ou surnommé</x:v>
      </x:c>
      <x:c r="E84" s="61" t="str">
        <x:v>Film / animation • Jeu vidéo</x:v>
      </x:c>
      <x:c r="F84" s="61" t="str">
        <x:v>Predators (2010)</x:v>
      </x:c>
      <x:c r="G84" s="61" t="str">
        <x:v>Écran officiel / licencié</x:v>
      </x:c>
      <x:c r="H84" s="61" t="str"/>
      <x:c r="I84" s="61" t="str"/>
      <x:c r="J84" s="61" t="str">
        <x:v>Oui</x:v>
      </x:c>
      <x:c r="K84" s="61" t="str">
        <x:v>https://avp.fandom.com/wiki/Falconer_%28Game_Preserve_Planet%29</x:v>
      </x:c>
      <x:c r="L84" s="59" t="str">
        <x:v>Film / animation</x:v>
      </x:c>
    </x:row>
    <x:row r="85">
      <x:c r="A85" s="61" t="str">
        <x:v>Y-084</x:v>
      </x:c>
      <x:c r="B85" s="61" t="str">
        <x:v>Father Predator</x:v>
      </x:c>
      <x:c r="C85" s="61" t="str"/>
      <x:c r="D85" s="61" t="str">
        <x:v>Alias</x:v>
      </x:c>
      <x:c r="E85" s="61" t="str">
        <x:v>Jeu vidéo</x:v>
      </x:c>
      <x:c r="F85" s="61" t="str">
        <x:v>Predator: Hunting Grounds (alias de Njohrr)</x:v>
      </x:c>
      <x:c r="G85" s="61" t="str">
        <x:v>Alias / doublon</x:v>
      </x:c>
      <x:c r="H85" s="61" t="str">
        <x:v>Njohrr</x:v>
      </x:c>
      <x:c r="I85" s="61" t="str"/>
      <x:c r="J85" s="61" t="str">
        <x:v>Alias</x:v>
      </x:c>
      <x:c r="K85" s="61" t="str">
        <x:v>https://avp.fandom.com/wiki/Father_Predator</x:v>
      </x:c>
      <x:c r="L85" s="59" t="str">
        <x:v>Jeu vidéo</x:v>
      </x:c>
    </x:row>
    <x:row r="86">
      <x:c r="A86" s="61" t="str">
        <x:v>Y-085</x:v>
      </x:c>
      <x:c r="B86" s="61" t="str">
        <x:v>Feral Predator</x:v>
      </x:c>
      <x:c r="C86" s="61" t="str"/>
      <x:c r="D86" s="61" t="str">
        <x:v>Individu nommé ou surnommé</x:v>
      </x:c>
      <x:c r="E86" s="61" t="str">
        <x:v>Film / animation • Jeu vidéo</x:v>
      </x:c>
      <x:c r="F86" s="61" t="str">
        <x:v>Prey (2022)</x:v>
      </x:c>
      <x:c r="G86" s="61" t="str">
        <x:v>Écran officiel / licencié</x:v>
      </x:c>
      <x:c r="H86" s="61" t="str"/>
      <x:c r="I86" s="61" t="str"/>
      <x:c r="J86" s="61" t="str">
        <x:v>Oui</x:v>
      </x:c>
      <x:c r="K86" s="61" t="str">
        <x:v>https://avp.fandom.com/wiki/Feral_Predator</x:v>
      </x:c>
      <x:c r="L86" s="59" t="str">
        <x:v>Film / animation</x:v>
      </x:c>
    </x:row>
    <x:row r="87">
      <x:c r="A87" s="61" t="str">
        <x:v>Y-086</x:v>
      </x:c>
      <x:c r="B87" s="61" t="str">
        <x:v>First Heavy Predator</x:v>
      </x:c>
      <x:c r="C87" s="61" t="str"/>
      <x:c r="D87" s="61" t="str">
        <x:v>Individu anonyme désigné</x:v>
      </x:c>
      <x:c r="E87" s="61" t="str">
        <x:v>Univers étendu (comic/roman/audio/jeu)</x:v>
      </x:c>
      <x:c r="F87" s="61" t="str">
        <x:v>Voir la source individuelle</x:v>
      </x:c>
      <x:c r="G87" s="61" t="str">
        <x:v>Univers étendu licencié / catalogué</x:v>
      </x:c>
      <x:c r="H87" s="61" t="str"/>
      <x:c r="I87" s="61" t="str"/>
      <x:c r="J87" s="61" t="str">
        <x:v>Oui</x:v>
      </x:c>
      <x:c r="K87" s="61" t="str">
        <x:v>https://avp.fandom.com/wiki/First_Heavy_Predator</x:v>
      </x:c>
      <x:c r="L87" s="59" t="str">
        <x:v>Univers étendu</x:v>
      </x:c>
    </x:row>
    <x:row r="88">
      <x:c r="A88" s="61" t="str">
        <x:v>Y-087</x:v>
      </x:c>
      <x:c r="B88" s="61" t="str">
        <x:v>First Light Predator</x:v>
      </x:c>
      <x:c r="C88" s="61" t="str"/>
      <x:c r="D88" s="61" t="str">
        <x:v>Individu anonyme désigné</x:v>
      </x:c>
      <x:c r="E88" s="61" t="str">
        <x:v>Univers étendu (comic/roman/audio/jeu)</x:v>
      </x:c>
      <x:c r="F88" s="61" t="str">
        <x:v>Voir la source individuelle</x:v>
      </x:c>
      <x:c r="G88" s="61" t="str">
        <x:v>Univers étendu licencié / catalogué</x:v>
      </x:c>
      <x:c r="H88" s="61" t="str"/>
      <x:c r="I88" s="61" t="str"/>
      <x:c r="J88" s="61" t="str">
        <x:v>Oui</x:v>
      </x:c>
      <x:c r="K88" s="61" t="str">
        <x:v>https://avp.fandom.com/wiki/First_Light_Predator</x:v>
      </x:c>
      <x:c r="L88" s="59" t="str">
        <x:v>Univers étendu</x:v>
      </x:c>
    </x:row>
    <x:row r="89">
      <x:c r="A89" s="61" t="str">
        <x:v>Y-088</x:v>
      </x:c>
      <x:c r="B89" s="61" t="str">
        <x:v>First POC Predator</x:v>
      </x:c>
      <x:c r="C89" s="61" t="str"/>
      <x:c r="D89" s="61" t="str">
        <x:v>Individu anonyme désigné</x:v>
      </x:c>
      <x:c r="E89" s="61" t="str">
        <x:v>Univers étendu (comic/roman/audio/jeu)</x:v>
      </x:c>
      <x:c r="F89" s="61" t="str">
        <x:v>Voir la source individuelle</x:v>
      </x:c>
      <x:c r="G89" s="61" t="str">
        <x:v>Univers étendu licencié / catalogué</x:v>
      </x:c>
      <x:c r="H89" s="61" t="str"/>
      <x:c r="I89" s="61" t="str"/>
      <x:c r="J89" s="61" t="str">
        <x:v>Oui</x:v>
      </x:c>
      <x:c r="K89" s="61" t="str">
        <x:v>https://avp.fandom.com/wiki/First_POC_Predator</x:v>
      </x:c>
      <x:c r="L89" s="59" t="str">
        <x:v>Univers étendu</x:v>
      </x:c>
    </x:row>
    <x:row r="90">
      <x:c r="A90" s="61" t="str">
        <x:v>Y-089</x:v>
      </x:c>
      <x:c r="B90" s="61" t="str">
        <x:v>Forest Devil</x:v>
      </x:c>
      <x:c r="C90" s="61" t="str"/>
      <x:c r="D90" s="61" t="str">
        <x:v>Individu nommé ou surnommé</x:v>
      </x:c>
      <x:c r="E90" s="61" t="str">
        <x:v>Comics</x:v>
      </x:c>
      <x:c r="F90" s="61" t="str">
        <x:v>Voir la source individuelle</x:v>
      </x:c>
      <x:c r="G90" s="61" t="str">
        <x:v>Univers étendu licencié / catalogué</x:v>
      </x:c>
      <x:c r="H90" s="61" t="str"/>
      <x:c r="I90" s="61" t="str"/>
      <x:c r="J90" s="61" t="str">
        <x:v>Oui</x:v>
      </x:c>
      <x:c r="K90" s="61" t="str">
        <x:v>https://avp.fandom.com/wiki/Forest_Devil</x:v>
      </x:c>
      <x:c r="L90" s="59" t="str">
        <x:v>Comics</x:v>
      </x:c>
    </x:row>
    <x:row r="91">
      <x:c r="A91" s="61" t="str">
        <x:v>Y-090</x:v>
      </x:c>
      <x:c r="B91" s="61" t="str">
        <x:v>Four-armed Predator</x:v>
      </x:c>
      <x:c r="C91" s="61" t="str"/>
      <x:c r="D91" s="61" t="str">
        <x:v>Individu / hybride ou mutation</x:v>
      </x:c>
      <x:c r="E91" s="61" t="str">
        <x:v>Comics</x:v>
      </x:c>
      <x:c r="F91" s="61" t="str">
        <x:v>Voir la source individuelle</x:v>
      </x:c>
      <x:c r="G91" s="61" t="str">
        <x:v>Univers étendu licencié / catalogué</x:v>
      </x:c>
      <x:c r="H91" s="61" t="str"/>
      <x:c r="I91" s="61" t="str"/>
      <x:c r="J91" s="61" t="str">
        <x:v>Oui</x:v>
      </x:c>
      <x:c r="K91" s="61" t="str">
        <x:v>https://avp.fandom.com/wiki/Four-armed_Predator</x:v>
      </x:c>
      <x:c r="L91" s="59" t="str">
        <x:v>Comics</x:v>
      </x:c>
    </x:row>
    <x:row r="92">
      <x:c r="A92" s="61" t="str">
        <x:v>Y-091</x:v>
      </x:c>
      <x:c r="B92" s="61" t="str">
        <x:v>Freckles</x:v>
      </x:c>
      <x:c r="C92" s="61" t="str"/>
      <x:c r="D92" s="61" t="str">
        <x:v>Individu nommé ou surnommé</x:v>
      </x:c>
      <x:c r="E92" s="61" t="str">
        <x:v>Univers étendu (comic/roman/audio/jeu)</x:v>
      </x:c>
      <x:c r="F92" s="61" t="str">
        <x:v>Voir la source individuelle</x:v>
      </x:c>
      <x:c r="G92" s="61" t="str">
        <x:v>Univers étendu licencié / catalogué</x:v>
      </x:c>
      <x:c r="H92" s="61" t="str"/>
      <x:c r="I92" s="61" t="str"/>
      <x:c r="J92" s="61" t="str">
        <x:v>Oui</x:v>
      </x:c>
      <x:c r="K92" s="61" t="str">
        <x:v>https://avp.fandom.com/wiki/Freckles</x:v>
      </x:c>
      <x:c r="L92" s="59" t="str">
        <x:v>Univers étendu</x:v>
      </x:c>
    </x:row>
    <x:row r="93">
      <x:c r="A93" s="61" t="str">
        <x:v>Y-092</x:v>
      </x:c>
      <x:c r="B93" s="61" t="str">
        <x:v>Fugitive Predator</x:v>
      </x:c>
      <x:c r="C93" s="61" t="str">
        <x:v>Rogue Predator</x:v>
      </x:c>
      <x:c r="D93" s="61" t="str">
        <x:v>Individu / hybride ou mutation</x:v>
      </x:c>
      <x:c r="E93" s="61" t="str">
        <x:v>Film / animation</x:v>
      </x:c>
      <x:c r="F93" s="61" t="str">
        <x:v>The Predator (2018)</x:v>
      </x:c>
      <x:c r="G93" s="61" t="str">
        <x:v>Écran officiel / licencié</x:v>
      </x:c>
      <x:c r="H93" s="61" t="str"/>
      <x:c r="I93" s="61" t="str">
        <x:v>Aussi Rogue Predator; Yautja modifié/hybride dans le film.</x:v>
      </x:c>
      <x:c r="J93" s="61" t="str">
        <x:v>Oui</x:v>
      </x:c>
      <x:c r="K93" s="61" t="str">
        <x:v>https://avp.fandom.com/wiki/Fugitive_Predator</x:v>
      </x:c>
      <x:c r="L93" s="59" t="str">
        <x:v>Film / animation</x:v>
      </x:c>
    </x:row>
    <x:row r="94">
      <x:c r="A94" s="61" t="str">
        <x:v>Y-093</x:v>
      </x:c>
      <x:c r="B94" s="61" t="str">
        <x:v>Ghardeh</x:v>
      </x:c>
      <x:c r="C94" s="61" t="str"/>
      <x:c r="D94" s="61" t="str">
        <x:v>Individu nommé ou surnommé</x:v>
      </x:c>
      <x:c r="E94" s="61" t="str">
        <x:v>Univers étendu (comic/roman/audio/jeu)</x:v>
      </x:c>
      <x:c r="F94" s="61" t="str">
        <x:v>Voir la source individuelle</x:v>
      </x:c>
      <x:c r="G94" s="61" t="str">
        <x:v>Univers étendu licencié / catalogué</x:v>
      </x:c>
      <x:c r="H94" s="61" t="str"/>
      <x:c r="I94" s="61" t="str"/>
      <x:c r="J94" s="61" t="str">
        <x:v>Oui</x:v>
      </x:c>
      <x:c r="K94" s="61" t="str">
        <x:v>https://avp.fandom.com/wiki/Ghardeh</x:v>
      </x:c>
      <x:c r="L94" s="59" t="str">
        <x:v>Univers étendu</x:v>
      </x:c>
    </x:row>
    <x:row r="95">
      <x:c r="A95" s="61" t="str">
        <x:v>Y-094</x:v>
      </x:c>
      <x:c r="B95" s="61" t="str">
        <x:v>Ghost Predator</x:v>
      </x:c>
      <x:c r="C95" s="61" t="str"/>
      <x:c r="D95" s="61" t="str">
        <x:v>Individu nommé ou surnommé</x:v>
      </x:c>
      <x:c r="E95" s="61" t="str">
        <x:v>Figurine / jouet</x:v>
      </x:c>
      <x:c r="F95" s="61" t="str">
        <x:v>Voir la source individuelle</x:v>
      </x:c>
      <x:c r="G95" s="61" t="str">
        <x:v>Création de merchandising licenciée</x:v>
      </x:c>
      <x:c r="H95" s="61" t="str"/>
      <x:c r="I95" s="61" t="str">
        <x:v>Personnage Kenner/NECA distinct dans ce catalogue; ne pas le confondre avec l'ancien surnom de fan parfois donné au City Hunter.</x:v>
      </x:c>
      <x:c r="J95" s="61" t="str">
        <x:v>Oui</x:v>
      </x:c>
      <x:c r="K95" s="61" t="str">
        <x:v>https://avp.fandom.com/wiki/Ghost_Predator</x:v>
      </x:c>
      <x:c r="L95" s="59" t="str">
        <x:v>Figurine / jouet</x:v>
      </x:c>
    </x:row>
    <x:row r="96">
      <x:c r="A96" s="61" t="str">
        <x:v>Y-095</x:v>
      </x:c>
      <x:c r="B96" s="61" t="str">
        <x:v>Gkyaun</x:v>
      </x:c>
      <x:c r="C96" s="61" t="str"/>
      <x:c r="D96" s="61" t="str">
        <x:v>Individu nommé ou surnommé</x:v>
      </x:c>
      <x:c r="E96" s="61" t="str">
        <x:v>Univers étendu (comic/roman/audio/jeu)</x:v>
      </x:c>
      <x:c r="F96" s="61" t="str">
        <x:v>Voir la source individuelle</x:v>
      </x:c>
      <x:c r="G96" s="61" t="str">
        <x:v>Univers étendu licencié / catalogué</x:v>
      </x:c>
      <x:c r="H96" s="61" t="str"/>
      <x:c r="I96" s="61" t="str"/>
      <x:c r="J96" s="61" t="str">
        <x:v>Oui</x:v>
      </x:c>
      <x:c r="K96" s="61" t="str">
        <x:v>https://avp.fandom.com/wiki/Gkyaun</x:v>
      </x:c>
      <x:c r="L96" s="59" t="str">
        <x:v>Univers étendu</x:v>
      </x:c>
    </x:row>
    <x:row r="97">
      <x:c r="A97" s="61" t="str">
        <x:v>Y-096</x:v>
      </x:c>
      <x:c r="B97" s="61" t="str">
        <x:v>Gladiator Predator</x:v>
      </x:c>
      <x:c r="C97" s="61" t="str"/>
      <x:c r="D97" s="61" t="str">
        <x:v>Individu jouable</x:v>
      </x:c>
      <x:c r="E97" s="61" t="str">
        <x:v>Jeu vidéo</x:v>
      </x:c>
      <x:c r="F97" s="61" t="str">
        <x:v>Predator: Hunting Grounds</x:v>
      </x:c>
      <x:c r="G97" s="61" t="str">
        <x:v>Univers étendu / merchandising licencié</x:v>
      </x:c>
      <x:c r="H97" s="61" t="str"/>
      <x:c r="I97" s="61" t="str"/>
      <x:c r="J97" s="61" t="str">
        <x:v>Oui</x:v>
      </x:c>
      <x:c r="K97" s="61" t="str">
        <x:v>https://avp.fandom.com/wiki/Gladiator_Predator</x:v>
      </x:c>
      <x:c r="L97" s="59" t="str">
        <x:v>Jeu vidéo</x:v>
      </x:c>
    </x:row>
    <x:row r="98">
      <x:c r="A98" s="61" t="str">
        <x:v>Y-097</x:v>
      </x:c>
      <x:c r="B98" s="61" t="str">
        <x:v>Golden Angel Predator</x:v>
      </x:c>
      <x:c r="C98" s="61" t="str"/>
      <x:c r="D98" s="61" t="str">
        <x:v>Alias / version plus jeune</x:v>
      </x:c>
      <x:c r="E98" s="61" t="str">
        <x:v>Comics • Figurine / jouet</x:v>
      </x:c>
      <x:c r="F98" s="61" t="str">
        <x:v>Predator 1718 / NECA</x:v>
      </x:c>
      <x:c r="G98" s="61" t="str">
        <x:v>Alias / doublon</x:v>
      </x:c>
      <x:c r="H98" s="61" t="str">
        <x:v>Greyback</x:v>
      </x:c>
      <x:c r="I98" s="61" t="str"/>
      <x:c r="J98" s="61" t="str">
        <x:v>Alias</x:v>
      </x:c>
      <x:c r="K98" s="61" t="str">
        <x:v>https://avp.fandom.com/wiki/Golden_Angel_Predator</x:v>
      </x:c>
      <x:c r="L98" s="59" t="str">
        <x:v>Comics</x:v>
      </x:c>
    </x:row>
    <x:row r="99">
      <x:c r="A99" s="61" t="str">
        <x:v>Y-098</x:v>
      </x:c>
      <x:c r="B99" s="61" t="str">
        <x:v>Gollywomp</x:v>
      </x:c>
      <x:c r="C99" s="61" t="str"/>
      <x:c r="D99" s="61" t="str">
        <x:v>Individu nommé ou surnommé</x:v>
      </x:c>
      <x:c r="E99" s="61" t="str">
        <x:v>Comics</x:v>
      </x:c>
      <x:c r="F99" s="61" t="str">
        <x:v>Voir la source individuelle</x:v>
      </x:c>
      <x:c r="G99" s="61" t="str">
        <x:v>Univers étendu licencié / catalogué</x:v>
      </x:c>
      <x:c r="H99" s="61" t="str"/>
      <x:c r="I99" s="61" t="str"/>
      <x:c r="J99" s="61" t="str">
        <x:v>Oui</x:v>
      </x:c>
      <x:c r="K99" s="61" t="str">
        <x:v>https://avp.fandom.com/wiki/Gollywomp</x:v>
      </x:c>
      <x:c r="L99" s="59" t="str">
        <x:v>Comics</x:v>
      </x:c>
    </x:row>
    <x:row r="100">
      <x:c r="A100" s="61" t="str">
        <x:v>Y-099</x:v>
      </x:c>
      <x:c r="B100" s="61" t="str">
        <x:v>Goreph</x:v>
      </x:c>
      <x:c r="C100" s="61" t="str"/>
      <x:c r="D100" s="61" t="str">
        <x:v>Individu nommé ou surnommé</x:v>
      </x:c>
      <x:c r="E100" s="61" t="str">
        <x:v>Univers étendu (comic/roman/audio/jeu)</x:v>
      </x:c>
      <x:c r="F100" s="61" t="str">
        <x:v>Voir la source individuelle</x:v>
      </x:c>
      <x:c r="G100" s="61" t="str">
        <x:v>Univers étendu licencié / catalogué</x:v>
      </x:c>
      <x:c r="H100" s="61" t="str"/>
      <x:c r="I100" s="61" t="str"/>
      <x:c r="J100" s="61" t="str">
        <x:v>Oui</x:v>
      </x:c>
      <x:c r="K100" s="61" t="str">
        <x:v>https://avp.fandom.com/wiki/Goreph</x:v>
      </x:c>
      <x:c r="L100" s="59" t="str">
        <x:v>Univers étendu</x:v>
      </x:c>
    </x:row>
    <x:row r="101">
      <x:c r="A101" s="61" t="str">
        <x:v>Y-100</x:v>
      </x:c>
      <x:c r="B101" s="61" t="str">
        <x:v>Gort Predator</x:v>
      </x:c>
      <x:c r="C101" s="61" t="str"/>
      <x:c r="D101" s="61" t="str">
        <x:v>Alias de production / figurine</x:v>
      </x:c>
      <x:c r="E101" s="61" t="str">
        <x:v>Film / animation • Figurine / jouet</x:v>
      </x:c>
      <x:c r="F101" s="61" t="str">
        <x:v>Predator 2 / NECA</x:v>
      </x:c>
      <x:c r="G101" s="61" t="str">
        <x:v>Alias / doublon</x:v>
      </x:c>
      <x:c r="H101" s="61" t="str">
        <x:v>Guardian</x:v>
      </x:c>
      <x:c r="I101" s="61" t="str"/>
      <x:c r="J101" s="61" t="str">
        <x:v>Alias</x:v>
      </x:c>
      <x:c r="K101" s="61" t="str">
        <x:v>https://avp.fandom.com/wiki/Gort_Predator</x:v>
      </x:c>
      <x:c r="L101" s="59" t="str">
        <x:v>Film / animation</x:v>
      </x:c>
    </x:row>
    <x:row r="102">
      <x:c r="A102" s="61" t="str">
        <x:v>Y-101</x:v>
      </x:c>
      <x:c r="B102" s="61" t="str">
        <x:v>Grendel (Yautja)</x:v>
      </x:c>
      <x:c r="C102" s="61" t="str">
        <x:v>Jotun Predator</x:v>
      </x:c>
      <x:c r="D102" s="61" t="str">
        <x:v>Individu nommé ou surnommé</x:v>
      </x:c>
      <x:c r="E102" s="61" t="str">
        <x:v>Film / animation</x:v>
      </x:c>
      <x:c r="F102" s="61" t="str">
        <x:v>Predator: Killer of Killers (2025)</x:v>
      </x:c>
      <x:c r="G102" s="61" t="str">
        <x:v>Écran officiel / licencié</x:v>
      </x:c>
      <x:c r="H102" s="61" t="str"/>
      <x:c r="I102" s="61" t="str">
        <x:v>Appelé Jotun dans Predator: Hunting Grounds.</x:v>
      </x:c>
      <x:c r="J102" s="61" t="str">
        <x:v>Oui</x:v>
      </x:c>
      <x:c r="K102" s="61" t="str">
        <x:v>https://avp.fandom.com/wiki/Grendel_%28Yautja%29</x:v>
      </x:c>
      <x:c r="L102" s="59" t="str">
        <x:v>Film / animation</x:v>
      </x:c>
    </x:row>
    <x:row r="103">
      <x:c r="A103" s="61" t="str">
        <x:v>Y-102</x:v>
      </x:c>
      <x:c r="B103" s="61" t="str">
        <x:v>Grendel King</x:v>
      </x:c>
      <x:c r="C103" s="61" t="str"/>
      <x:c r="D103" s="61" t="str">
        <x:v>Individu nommé ou surnommé</x:v>
      </x:c>
      <x:c r="E103" s="61" t="str">
        <x:v>Film / animation</x:v>
      </x:c>
      <x:c r="F103" s="61" t="str">
        <x:v>Predator: Killer of Killers (2025)</x:v>
      </x:c>
      <x:c r="G103" s="61" t="str">
        <x:v>Écran officiel / licencié</x:v>
      </x:c>
      <x:c r="H103" s="61" t="str"/>
      <x:c r="I103" s="61" t="str">
        <x:v>Aussi appelé Warlord Predator; chef du clan de l'arène.</x:v>
      </x:c>
      <x:c r="J103" s="61" t="str">
        <x:v>Oui</x:v>
      </x:c>
      <x:c r="K103" s="61" t="str">
        <x:v>https://avp.fandom.com/wiki/Grendel_King</x:v>
      </x:c>
      <x:c r="L103" s="59" t="str">
        <x:v>Film / animation</x:v>
      </x:c>
    </x:row>
    <x:row r="104">
      <x:c r="A104" s="61" t="str">
        <x:v>Y-103</x:v>
      </x:c>
      <x:c r="B104" s="61" t="str">
        <x:v>Greyback</x:v>
      </x:c>
      <x:c r="C104" s="61" t="str">
        <x:v>Elder Predator / Golden Angel; Golden Angel Predator</x:v>
      </x:c>
      <x:c r="D104" s="61" t="str">
        <x:v>Individu nommé ou surnommé</x:v>
      </x:c>
      <x:c r="E104" s="61" t="str">
        <x:v>Film / animation</x:v>
      </x:c>
      <x:c r="F104" s="61" t="str">
        <x:v>Predator 2 (1990)</x:v>
      </x:c>
      <x:c r="G104" s="61" t="str">
        <x:v>Écran officiel / licencié</x:v>
      </x:c>
      <x:c r="H104" s="61" t="str"/>
      <x:c r="I104" s="61" t="str"/>
      <x:c r="J104" s="61" t="str">
        <x:v>Oui</x:v>
      </x:c>
      <x:c r="K104" s="61" t="str">
        <x:v>https://avp.fandom.com/wiki/Greyback</x:v>
      </x:c>
      <x:c r="L104" s="59" t="str">
        <x:v>Film / animation</x:v>
      </x:c>
    </x:row>
    <x:row r="105">
      <x:c r="A105" s="61" t="str">
        <x:v>Y-104</x:v>
      </x:c>
      <x:c r="B105" s="61" t="str">
        <x:v>Guardian</x:v>
      </x:c>
      <x:c r="C105" s="61" t="str">
        <x:v>Gort Predator</x:v>
      </x:c>
      <x:c r="D105" s="61" t="str">
        <x:v>Individu nommé ou surnommé</x:v>
      </x:c>
      <x:c r="E105" s="61" t="str">
        <x:v>Film / animation • Comics • Roman / prose</x:v>
      </x:c>
      <x:c r="F105" s="61" t="str">
        <x:v>Predator 2 (1990)</x:v>
      </x:c>
      <x:c r="G105" s="61" t="str">
        <x:v>Écran officiel / licencié</x:v>
      </x:c>
      <x:c r="H105" s="61" t="str"/>
      <x:c r="I105" s="61" t="str"/>
      <x:c r="J105" s="61" t="str">
        <x:v>Oui</x:v>
      </x:c>
      <x:c r="K105" s="61" t="str">
        <x:v>https://avp.fandom.com/wiki/Guardian</x:v>
      </x:c>
      <x:c r="L105" s="59" t="str">
        <x:v>Film / animation</x:v>
      </x:c>
    </x:row>
    <x:row r="106">
      <x:c r="A106" s="61" t="str">
        <x:v>Y-105</x:v>
      </x:c>
      <x:c r="B106" s="61" t="str">
        <x:v>H'chak</x:v>
      </x:c>
      <x:c r="C106" s="61" t="str"/>
      <x:c r="D106" s="61" t="str">
        <x:v>Individu nommé ou surnommé</x:v>
      </x:c>
      <x:c r="E106" s="61" t="str">
        <x:v>Univers étendu (comic/roman/audio/jeu)</x:v>
      </x:c>
      <x:c r="F106" s="61" t="str">
        <x:v>Voir la source individuelle</x:v>
      </x:c>
      <x:c r="G106" s="61" t="str">
        <x:v>Univers étendu licencié / catalogué</x:v>
      </x:c>
      <x:c r="H106" s="61" t="str"/>
      <x:c r="I106" s="61" t="str"/>
      <x:c r="J106" s="61" t="str">
        <x:v>Oui</x:v>
      </x:c>
      <x:c r="K106" s="61" t="str">
        <x:v>https://avp.fandom.com/wiki/H'chak</x:v>
      </x:c>
      <x:c r="L106" s="59" t="str">
        <x:v>Univers étendu</x:v>
      </x:c>
    </x:row>
    <x:row r="107">
      <x:c r="A107" s="61" t="str">
        <x:v>Y-106</x:v>
      </x:c>
      <x:c r="B107" s="61" t="str">
        <x:v>Hashori</x:v>
      </x:c>
      <x:c r="C107" s="61" t="str"/>
      <x:c r="D107" s="61" t="str">
        <x:v>Individu nommé ou surnommé</x:v>
      </x:c>
      <x:c r="E107" s="61" t="str">
        <x:v>Univers étendu (comic/roman/audio/jeu)</x:v>
      </x:c>
      <x:c r="F107" s="61" t="str">
        <x:v>Voir la source individuelle</x:v>
      </x:c>
      <x:c r="G107" s="61" t="str">
        <x:v>Univers étendu licencié / catalogué</x:v>
      </x:c>
      <x:c r="H107" s="61" t="str"/>
      <x:c r="I107" s="61" t="str"/>
      <x:c r="J107" s="61" t="str">
        <x:v>Oui</x:v>
      </x:c>
      <x:c r="K107" s="61" t="str">
        <x:v>https://avp.fandom.com/wiki/Hashori</x:v>
      </x:c>
      <x:c r="L107" s="59" t="str">
        <x:v>Univers étendu</x:v>
      </x:c>
    </x:row>
    <x:row r="108">
      <x:c r="A108" s="61" t="str">
        <x:v>Y-107</x:v>
      </x:c>
      <x:c r="B108" s="61" t="str">
        <x:v>Hippie Predator</x:v>
      </x:c>
      <x:c r="C108" s="61" t="str"/>
      <x:c r="D108" s="61" t="str">
        <x:v>Alias de production / fan</x:v>
      </x:c>
      <x:c r="E108" s="61" t="str">
        <x:v>Film / animation • Figurine / jouet</x:v>
      </x:c>
      <x:c r="F108" s="61" t="str">
        <x:v>Predator 2 / NECA</x:v>
      </x:c>
      <x:c r="G108" s="61" t="str">
        <x:v>Alias / doublon</x:v>
      </x:c>
      <x:c r="H108" s="61" t="str">
        <x:v>Shaman</x:v>
      </x:c>
      <x:c r="I108" s="61" t="str"/>
      <x:c r="J108" s="61" t="str">
        <x:v>Alias</x:v>
      </x:c>
      <x:c r="K108" s="61" t="str">
        <x:v>https://avp.fandom.com/wiki/Hippie_Predator</x:v>
      </x:c>
      <x:c r="L108" s="59" t="str">
        <x:v>Film / animation</x:v>
      </x:c>
    </x:row>
    <x:row r="109">
      <x:c r="A109" s="61" t="str">
        <x:v>Y-108</x:v>
      </x:c>
      <x:c r="B109" s="61" t="str">
        <x:v>Hive Wars Predator</x:v>
      </x:c>
      <x:c r="C109" s="61" t="str"/>
      <x:c r="D109" s="61" t="str">
        <x:v>Individu nommé ou surnommé</x:v>
      </x:c>
      <x:c r="E109" s="61" t="str">
        <x:v>Comics • Figurine / jouet</x:v>
      </x:c>
      <x:c r="F109" s="61" t="str">
        <x:v>Voir la source individuelle</x:v>
      </x:c>
      <x:c r="G109" s="61" t="str">
        <x:v>Univers étendu licencié / catalogué</x:v>
      </x:c>
      <x:c r="H109" s="61" t="str"/>
      <x:c r="I109" s="61" t="str"/>
      <x:c r="J109" s="61" t="str">
        <x:v>Oui</x:v>
      </x:c>
      <x:c r="K109" s="61" t="str">
        <x:v>https://avp.fandom.com/wiki/Hive_Wars_Predator</x:v>
      </x:c>
      <x:c r="L109" s="59" t="str">
        <x:v>Comics</x:v>
      </x:c>
    </x:row>
    <x:row r="110">
      <x:c r="A110" s="61" t="str">
        <x:v>Y-109</x:v>
      </x:c>
      <x:c r="B110" s="61" t="str">
        <x:v>Hook</x:v>
      </x:c>
      <x:c r="C110" s="61" t="str"/>
      <x:c r="D110" s="61" t="str">
        <x:v>Individu nommé ou surnommé</x:v>
      </x:c>
      <x:c r="E110" s="61" t="str">
        <x:v>Comics</x:v>
      </x:c>
      <x:c r="F110" s="61" t="str">
        <x:v>Voir la source individuelle</x:v>
      </x:c>
      <x:c r="G110" s="61" t="str">
        <x:v>Univers étendu licencié / catalogué</x:v>
      </x:c>
      <x:c r="H110" s="61" t="str"/>
      <x:c r="I110" s="61" t="str"/>
      <x:c r="J110" s="61" t="str">
        <x:v>Oui</x:v>
      </x:c>
      <x:c r="K110" s="61" t="str">
        <x:v>https://avp.fandom.com/wiki/Hook</x:v>
      </x:c>
      <x:c r="L110" s="59" t="str">
        <x:v>Comics</x:v>
      </x:c>
    </x:row>
    <x:row r="111">
      <x:c r="A111" s="61" t="str">
        <x:v>Y-110</x:v>
      </x:c>
      <x:c r="B111" s="61" t="str">
        <x:v>Hornhead</x:v>
      </x:c>
      <x:c r="C111" s="61" t="str"/>
      <x:c r="D111" s="61" t="str">
        <x:v>Individu nommé ou surnommé</x:v>
      </x:c>
      <x:c r="E111" s="61" t="str">
        <x:v>Comics</x:v>
      </x:c>
      <x:c r="F111" s="61" t="str">
        <x:v>Voir la source individuelle</x:v>
      </x:c>
      <x:c r="G111" s="61" t="str">
        <x:v>Univers étendu licencié / catalogué</x:v>
      </x:c>
      <x:c r="H111" s="61" t="str"/>
      <x:c r="I111" s="61" t="str"/>
      <x:c r="J111" s="61" t="str">
        <x:v>Oui</x:v>
      </x:c>
      <x:c r="K111" s="61" t="str">
        <x:v>https://avp.fandom.com/wiki/Hornhead</x:v>
      </x:c>
      <x:c r="L111" s="59" t="str">
        <x:v>Comics</x:v>
      </x:c>
    </x:row>
    <x:row r="112">
      <x:c r="A112" s="61" t="str">
        <x:v>Y-111</x:v>
      </x:c>
      <x:c r="B112" s="61" t="str">
        <x:v>Hunter (Elite Clan)</x:v>
      </x:c>
      <x:c r="C112" s="61" t="str"/>
      <x:c r="D112" s="61" t="str">
        <x:v>Individu nommé ou surnommé</x:v>
      </x:c>
      <x:c r="E112" s="61" t="str">
        <x:v>Jeu vidéo</x:v>
      </x:c>
      <x:c r="F112" s="61" t="str">
        <x:v>Voir la source individuelle</x:v>
      </x:c>
      <x:c r="G112" s="61" t="str">
        <x:v>Univers étendu licencié / catalogué</x:v>
      </x:c>
      <x:c r="H112" s="61" t="str"/>
      <x:c r="I112" s="61" t="str"/>
      <x:c r="J112" s="61" t="str">
        <x:v>Oui</x:v>
      </x:c>
      <x:c r="K112" s="61" t="str">
        <x:v>https://avp.fandom.com/wiki/Hunter_%28Elite_Clan%29</x:v>
      </x:c>
      <x:c r="L112" s="59" t="str">
        <x:v>Jeu vidéo</x:v>
      </x:c>
    </x:row>
    <x:row r="113">
      <x:c r="A113" s="61" t="str">
        <x:v>Y-112</x:v>
      </x:c>
      <x:c r="B113" s="61" t="str">
        <x:v>Hunter (title)</x:v>
      </x:c>
      <x:c r="C113" s="61" t="str"/>
      <x:c r="D113" s="61" t="str">
        <x:v>Rang / classe</x:v>
      </x:c>
      <x:c r="E113" s="61" t="str">
        <x:v>Jeu vidéo / univers étendu</x:v>
      </x:c>
      <x:c r="F113" s="61" t="str">
        <x:v>Franchise Predator</x:v>
      </x:c>
      <x:c r="G113" s="61" t="str">
        <x:v>Rang / classe</x:v>
      </x:c>
      <x:c r="H113" s="61" t="str"/>
      <x:c r="I113" s="61" t="str"/>
      <x:c r="J113" s="61" t="str">
        <x:v>Non (rang)</x:v>
      </x:c>
      <x:c r="K113" s="61" t="str">
        <x:v>https://avp.fandom.com/wiki/Hunter_%28title%29</x:v>
      </x:c>
      <x:c r="L113" s="59" t="str">
        <x:v>Jeu vidéo</x:v>
      </x:c>
    </x:row>
    <x:row r="114">
      <x:c r="A114" s="61" t="str">
        <x:v>Y-113</x:v>
      </x:c>
      <x:c r="B114" s="61" t="str">
        <x:v>Hunter Captain</x:v>
      </x:c>
      <x:c r="C114" s="61" t="str"/>
      <x:c r="D114" s="61" t="str">
        <x:v>Individu nommé ou surnommé</x:v>
      </x:c>
      <x:c r="E114" s="61" t="str">
        <x:v>Univers étendu (comic/roman/audio/jeu)</x:v>
      </x:c>
      <x:c r="F114" s="61" t="str">
        <x:v>Predator: Concrete Jungle (2005)</x:v>
      </x:c>
      <x:c r="G114" s="61" t="str">
        <x:v>Univers étendu licencié / catalogué</x:v>
      </x:c>
      <x:c r="H114" s="61" t="str"/>
      <x:c r="I114" s="61" t="str"/>
      <x:c r="J114" s="61" t="str">
        <x:v>Oui</x:v>
      </x:c>
      <x:c r="K114" s="61" t="str">
        <x:v>https://avp.fandom.com/wiki/Hunter_Captain</x:v>
      </x:c>
      <x:c r="L114" s="59" t="str">
        <x:v>Univers étendu</x:v>
      </x:c>
    </x:row>
    <x:row r="115">
      <x:c r="A115" s="61" t="str">
        <x:v>Y-114</x:v>
      </x:c>
      <x:c r="B115" s="61" t="str">
        <x:v>Inu</x:v>
      </x:c>
      <x:c r="C115" s="61" t="str"/>
      <x:c r="D115" s="61" t="str">
        <x:v>Individu nommé ou surnommé</x:v>
      </x:c>
      <x:c r="E115" s="61" t="str">
        <x:v>Univers étendu (comic/roman/audio/jeu)</x:v>
      </x:c>
      <x:c r="F115" s="61" t="str">
        <x:v>Voir la source individuelle</x:v>
      </x:c>
      <x:c r="G115" s="61" t="str">
        <x:v>Univers étendu licencié / catalogué</x:v>
      </x:c>
      <x:c r="H115" s="61" t="str"/>
      <x:c r="I115" s="61" t="str"/>
      <x:c r="J115" s="61" t="str">
        <x:v>Oui</x:v>
      </x:c>
      <x:c r="K115" s="61" t="str">
        <x:v>https://avp.fandom.com/wiki/Inu</x:v>
      </x:c>
      <x:c r="L115" s="59" t="str">
        <x:v>Univers étendu</x:v>
      </x:c>
    </x:row>
    <x:row r="116">
      <x:c r="A116" s="61" t="str">
        <x:v>Y-115</x:v>
      </x:c>
      <x:c r="B116" s="61" t="str">
        <x:v>Isolated Clan</x:v>
      </x:c>
      <x:c r="C116" s="61" t="str"/>
      <x:c r="D116" s="61" t="str">
        <x:v>Groupe / clan</x:v>
      </x:c>
      <x:c r="E116" s="61" t="str">
        <x:v>Film / animation • Jeu vidéo</x:v>
      </x:c>
      <x:c r="F116" s="61" t="str">
        <x:v>Franchise AVP</x:v>
      </x:c>
      <x:c r="G116" s="61" t="str">
        <x:v>Groupe / catégorie</x:v>
      </x:c>
      <x:c r="H116" s="61" t="str"/>
      <x:c r="I116" s="61" t="str"/>
      <x:c r="J116" s="61" t="str">
        <x:v>Non (groupe)</x:v>
      </x:c>
      <x:c r="K116" s="61" t="str">
        <x:v>https://avp.fandom.com/wiki/Isolated_Clan</x:v>
      </x:c>
      <x:c r="L116" s="59" t="str">
        <x:v>Film / animation</x:v>
      </x:c>
    </x:row>
    <x:row r="117">
      <x:c r="A117" s="61" t="str">
        <x:v>Y-116</x:v>
      </x:c>
      <x:c r="B117" s="61" t="str">
        <x:v>Jotun Predator</x:v>
      </x:c>
      <x:c r="C117" s="61" t="str"/>
      <x:c r="D117" s="61" t="str">
        <x:v>Alias</x:v>
      </x:c>
      <x:c r="E117" s="61" t="str">
        <x:v>Jeu vidéo</x:v>
      </x:c>
      <x:c r="F117" s="61" t="str">
        <x:v>Predator: Hunting Grounds (alias de Grendel)</x:v>
      </x:c>
      <x:c r="G117" s="61" t="str">
        <x:v>Alias / doublon</x:v>
      </x:c>
      <x:c r="H117" s="61" t="str">
        <x:v>Grendel (Yautja)</x:v>
      </x:c>
      <x:c r="I117" s="61" t="str"/>
      <x:c r="J117" s="61" t="str">
        <x:v>Alias</x:v>
      </x:c>
      <x:c r="K117" s="61" t="str">
        <x:v>https://avp.fandom.com/wiki/Jotun_Predator</x:v>
      </x:c>
      <x:c r="L117" s="59" t="str">
        <x:v>Jeu vidéo</x:v>
      </x:c>
    </x:row>
    <x:row r="118">
      <x:c r="A118" s="61" t="str">
        <x:v>Y-117</x:v>
      </x:c>
      <x:c r="B118" s="61" t="str">
        <x:v>Jungle Demon Predator</x:v>
      </x:c>
      <x:c r="C118" s="61" t="str"/>
      <x:c r="D118" s="61" t="str">
        <x:v>Alias / variante de figurine</x:v>
      </x:c>
      <x:c r="E118" s="61" t="str">
        <x:v>Figurine / jouet</x:v>
      </x:c>
      <x:c r="F118" s="61" t="str">
        <x:v>NECA</x:v>
      </x:c>
      <x:c r="G118" s="61" t="str">
        <x:v>Alias / doublon</x:v>
      </x:c>
      <x:c r="H118" s="61" t="str">
        <x:v>Jungle Hunter</x:v>
      </x:c>
      <x:c r="I118" s="61" t="str"/>
      <x:c r="J118" s="61" t="str">
        <x:v>Alias</x:v>
      </x:c>
      <x:c r="K118" s="61" t="str">
        <x:v>https://avp.fandom.com/wiki/Jungle_Demon_Predator</x:v>
      </x:c>
      <x:c r="L118" s="59" t="str">
        <x:v>Figurine / jouet</x:v>
      </x:c>
    </x:row>
    <x:row r="119">
      <x:c r="A119" s="61" t="str">
        <x:v>Y-118</x:v>
      </x:c>
      <x:c r="B119" s="61" t="str">
        <x:v>Jungle Hunter</x:v>
      </x:c>
      <x:c r="C119" s="61" t="str">
        <x:v>Classic Predator (1987); Jungle Demon Predator</x:v>
      </x:c>
      <x:c r="D119" s="61" t="str">
        <x:v>Individu nommé ou surnommé</x:v>
      </x:c>
      <x:c r="E119" s="61" t="str">
        <x:v>Film / animation</x:v>
      </x:c>
      <x:c r="F119" s="61" t="str">
        <x:v>Predator (1987)</x:v>
      </x:c>
      <x:c r="G119" s="61" t="str">
        <x:v>Écran officiel / licencié</x:v>
      </x:c>
      <x:c r="H119" s="61" t="str"/>
      <x:c r="I119" s="61" t="str"/>
      <x:c r="J119" s="61" t="str">
        <x:v>Oui</x:v>
      </x:c>
      <x:c r="K119" s="61" t="str">
        <x:v>https://avp.fandom.com/wiki/Jungle_Hunter</x:v>
      </x:c>
      <x:c r="L119" s="59" t="str">
        <x:v>Film / animation</x:v>
      </x:c>
    </x:row>
    <x:row r="120">
      <x:c r="A120" s="61" t="str">
        <x:v>Y-119</x:v>
      </x:c>
      <x:c r="B120" s="61" t="str">
        <x:v>Jungle Hunter Clan</x:v>
      </x:c>
      <x:c r="C120" s="61" t="str"/>
      <x:c r="D120" s="61" t="str">
        <x:v>Groupe / clan</x:v>
      </x:c>
      <x:c r="E120" s="61" t="str">
        <x:v>Film / animation • univers étendu</x:v>
      </x:c>
      <x:c r="F120" s="61" t="str">
        <x:v>Predator / Prey</x:v>
      </x:c>
      <x:c r="G120" s="61" t="str">
        <x:v>Groupe / catégorie</x:v>
      </x:c>
      <x:c r="H120" s="61" t="str"/>
      <x:c r="I120" s="61" t="str"/>
      <x:c r="J120" s="61" t="str">
        <x:v>Non (groupe)</x:v>
      </x:c>
      <x:c r="K120" s="61" t="str">
        <x:v>https://avp.fandom.com/wiki/Jungle_Hunter_Clan</x:v>
      </x:c>
      <x:c r="L120" s="59" t="str">
        <x:v>Film / animation</x:v>
      </x:c>
    </x:row>
    <x:row r="121">
      <x:c r="A121" s="61" t="str">
        <x:v>Y-120</x:v>
      </x:c>
      <x:c r="B121" s="61" t="str">
        <x:v>Ka'Torag</x:v>
      </x:c>
      <x:c r="C121" s="61" t="str"/>
      <x:c r="D121" s="61" t="str">
        <x:v>Individu nommé ou surnommé</x:v>
      </x:c>
      <x:c r="E121" s="61" t="str">
        <x:v>Univers étendu (comic/roman/audio/jeu)</x:v>
      </x:c>
      <x:c r="F121" s="61" t="str">
        <x:v>Voir la source individuelle</x:v>
      </x:c>
      <x:c r="G121" s="61" t="str">
        <x:v>Univers étendu licencié / catalogué</x:v>
      </x:c>
      <x:c r="H121" s="61" t="str"/>
      <x:c r="I121" s="61" t="str"/>
      <x:c r="J121" s="61" t="str">
        <x:v>Oui</x:v>
      </x:c>
      <x:c r="K121" s="61" t="str">
        <x:v>https://avp.fandom.com/wiki/Ka'Torag</x:v>
      </x:c>
      <x:c r="L121" s="59" t="str">
        <x:v>Univers étendu</x:v>
      </x:c>
    </x:row>
    <x:row r="122">
      <x:c r="A122" s="61" t="str">
        <x:v>Y-121</x:v>
      </x:c>
      <x:c r="B122" s="61" t="str">
        <x:v>Kaail</x:v>
      </x:c>
      <x:c r="C122" s="61" t="str"/>
      <x:c r="D122" s="61" t="str">
        <x:v>Individu nommé ou surnommé</x:v>
      </x:c>
      <x:c r="E122" s="61" t="str">
        <x:v>Jeu vidéo • Figurine / jouet</x:v>
      </x:c>
      <x:c r="F122" s="61" t="str">
        <x:v>Voir la source individuelle</x:v>
      </x:c>
      <x:c r="G122" s="61" t="str">
        <x:v>Univers étendu licencié / catalogué</x:v>
      </x:c>
      <x:c r="H122" s="61" t="str"/>
      <x:c r="I122" s="61" t="str"/>
      <x:c r="J122" s="61" t="str">
        <x:v>Oui</x:v>
      </x:c>
      <x:c r="K122" s="61" t="str">
        <x:v>https://avp.fandom.com/wiki/Kaail</x:v>
      </x:c>
      <x:c r="L122" s="59" t="str">
        <x:v>Jeu vidéo</x:v>
      </x:c>
    </x:row>
    <x:row r="123">
      <x:c r="A123" s="61" t="str">
        <x:v>Y-122</x:v>
      </x:c>
      <x:c r="B123" s="61" t="str">
        <x:v>Kalakta</x:v>
      </x:c>
      <x:c r="C123" s="61" t="str"/>
      <x:c r="D123" s="61" t="str">
        <x:v>Individu nommé ou surnommé</x:v>
      </x:c>
      <x:c r="E123" s="61" t="str">
        <x:v>Univers étendu (comic/roman/audio/jeu)</x:v>
      </x:c>
      <x:c r="F123" s="61" t="str">
        <x:v>Voir la source individuelle</x:v>
      </x:c>
      <x:c r="G123" s="61" t="str">
        <x:v>Univers étendu licencié / catalogué</x:v>
      </x:c>
      <x:c r="H123" s="61" t="str"/>
      <x:c r="I123" s="61" t="str"/>
      <x:c r="J123" s="61" t="str">
        <x:v>Oui</x:v>
      </x:c>
      <x:c r="K123" s="61" t="str">
        <x:v>https://avp.fandom.com/wiki/Kalakta</x:v>
      </x:c>
      <x:c r="L123" s="59" t="str">
        <x:v>Univers étendu</x:v>
      </x:c>
    </x:row>
    <x:row r="124">
      <x:c r="A124" s="61" t="str">
        <x:v>Y-123</x:v>
      </x:c>
      <x:c r="B124" s="61" t="str">
        <x:v>Kata'nu</x:v>
      </x:c>
      <x:c r="C124" s="61" t="str"/>
      <x:c r="D124" s="61" t="str">
        <x:v>Individu nommé ou surnommé</x:v>
      </x:c>
      <x:c r="E124" s="61" t="str">
        <x:v>Univers étendu (comic/roman/audio/jeu)</x:v>
      </x:c>
      <x:c r="F124" s="61" t="str">
        <x:v>Voir la source individuelle</x:v>
      </x:c>
      <x:c r="G124" s="61" t="str">
        <x:v>Univers étendu licencié / catalogué</x:v>
      </x:c>
      <x:c r="H124" s="61" t="str"/>
      <x:c r="I124" s="61" t="str"/>
      <x:c r="J124" s="61" t="str">
        <x:v>Oui</x:v>
      </x:c>
      <x:c r="K124" s="61" t="str">
        <x:v>https://avp.fandom.com/wiki/Kata'nu</x:v>
      </x:c>
      <x:c r="L124" s="59" t="str">
        <x:v>Univers étendu</x:v>
      </x:c>
    </x:row>
    <x:row r="125">
      <x:c r="A125" s="61" t="str">
        <x:v>Y-124</x:v>
      </x:c>
      <x:c r="B125" s="61" t="str">
        <x:v>Ki'vik'non</x:v>
      </x:c>
      <x:c r="C125" s="61" t="str"/>
      <x:c r="D125" s="61" t="str">
        <x:v>Individu nommé ou surnommé</x:v>
      </x:c>
      <x:c r="E125" s="61" t="str">
        <x:v>Univers étendu (comic/roman/audio/jeu)</x:v>
      </x:c>
      <x:c r="F125" s="61" t="str">
        <x:v>Voir la source individuelle</x:v>
      </x:c>
      <x:c r="G125" s="61" t="str">
        <x:v>Univers étendu licencié / catalogué</x:v>
      </x:c>
      <x:c r="H125" s="61" t="str"/>
      <x:c r="I125" s="61" t="str"/>
      <x:c r="J125" s="61" t="str">
        <x:v>Oui</x:v>
      </x:c>
      <x:c r="K125" s="61" t="str">
        <x:v>https://avp.fandom.com/wiki/Ki'vik'non</x:v>
      </x:c>
      <x:c r="L125" s="59" t="str">
        <x:v>Univers étendu</x:v>
      </x:c>
    </x:row>
    <x:row r="126">
      <x:c r="A126" s="61" t="str">
        <x:v>Y-125</x:v>
      </x:c>
      <x:c r="B126" s="61" t="str">
        <x:v>Killers Clan</x:v>
      </x:c>
      <x:c r="C126" s="61" t="str"/>
      <x:c r="D126" s="61" t="str">
        <x:v>Groupe / clan</x:v>
      </x:c>
      <x:c r="E126" s="61" t="str">
        <x:v>Comics</x:v>
      </x:c>
      <x:c r="F126" s="61" t="str">
        <x:v>Aliens vs. Predator: Three World War</x:v>
      </x:c>
      <x:c r="G126" s="61" t="str">
        <x:v>Groupe / catégorie</x:v>
      </x:c>
      <x:c r="H126" s="61" t="str"/>
      <x:c r="I126" s="61" t="str"/>
      <x:c r="J126" s="61" t="str">
        <x:v>Non (groupe)</x:v>
      </x:c>
      <x:c r="K126" s="61" t="str">
        <x:v>https://avp.fandom.com/wiki/Killers_Clan</x:v>
      </x:c>
      <x:c r="L126" s="59" t="str">
        <x:v>Comics</x:v>
      </x:c>
    </x:row>
    <x:row r="127">
      <x:c r="A127" s="61" t="str">
        <x:v>Y-126</x:v>
      </x:c>
      <x:c r="B127" s="61" t="str">
        <x:v>Ku'dlak</x:v>
      </x:c>
      <x:c r="C127" s="61" t="str"/>
      <x:c r="D127" s="61" t="str">
        <x:v>Individu nommé ou surnommé</x:v>
      </x:c>
      <x:c r="E127" s="61" t="str">
        <x:v>Univers étendu (comic/roman/audio/jeu)</x:v>
      </x:c>
      <x:c r="F127" s="61" t="str">
        <x:v>Voir la source individuelle</x:v>
      </x:c>
      <x:c r="G127" s="61" t="str">
        <x:v>Univers étendu licencié / catalogué</x:v>
      </x:c>
      <x:c r="H127" s="61" t="str"/>
      <x:c r="I127" s="61" t="str"/>
      <x:c r="J127" s="61" t="str">
        <x:v>Oui</x:v>
      </x:c>
      <x:c r="K127" s="61" t="str">
        <x:v>https://avp.fandom.com/wiki/Ku'dlak</x:v>
      </x:c>
      <x:c r="L127" s="59" t="str">
        <x:v>Univers étendu</x:v>
      </x:c>
    </x:row>
    <x:row r="128">
      <x:c r="A128" s="61" t="str">
        <x:v>Y-127</x:v>
      </x:c>
      <x:c r="B128" s="61" t="str">
        <x:v>Kwei</x:v>
      </x:c>
      <x:c r="C128" s="61" t="str"/>
      <x:c r="D128" s="61" t="str">
        <x:v>Individu nommé ou surnommé</x:v>
      </x:c>
      <x:c r="E128" s="61" t="str">
        <x:v>Film / animation</x:v>
      </x:c>
      <x:c r="F128" s="61" t="str">
        <x:v>Predator: Badlands (2025)</x:v>
      </x:c>
      <x:c r="G128" s="61" t="str">
        <x:v>Écran officiel / licencié</x:v>
      </x:c>
      <x:c r="H128" s="61" t="str"/>
      <x:c r="I128" s="61" t="str"/>
      <x:c r="J128" s="61" t="str">
        <x:v>Oui</x:v>
      </x:c>
      <x:c r="K128" s="61" t="str">
        <x:v>https://avp.fandom.com/wiki/Kwei</x:v>
      </x:c>
      <x:c r="L128" s="59" t="str">
        <x:v>Film / animation</x:v>
      </x:c>
    </x:row>
    <x:row r="129">
      <x:c r="A129" s="61" t="str">
        <x:v>Y-128</x:v>
      </x:c>
      <x:c r="B129" s="61" t="str">
        <x:v>Lasershot Predator</x:v>
      </x:c>
      <x:c r="C129" s="61" t="str"/>
      <x:c r="D129" s="61" t="str">
        <x:v>Individu nommé ou surnommé</x:v>
      </x:c>
      <x:c r="E129" s="61" t="str">
        <x:v>Figurine / jouet</x:v>
      </x:c>
      <x:c r="F129" s="61" t="str">
        <x:v>Voir la source individuelle</x:v>
      </x:c>
      <x:c r="G129" s="61" t="str">
        <x:v>Création de merchandising licenciée</x:v>
      </x:c>
      <x:c r="H129" s="61" t="str"/>
      <x:c r="I129" s="61" t="str"/>
      <x:c r="J129" s="61" t="str">
        <x:v>Oui</x:v>
      </x:c>
      <x:c r="K129" s="61" t="str">
        <x:v>https://avp.fandom.com/wiki/Lasershot_Predator</x:v>
      </x:c>
      <x:c r="L129" s="59" t="str">
        <x:v>Figurine / jouet</x:v>
      </x:c>
    </x:row>
    <x:row r="130">
      <x:c r="A130" s="61" t="str">
        <x:v>Y-129</x:v>
      </x:c>
      <x:c r="B130" s="61" t="str">
        <x:v>Lava Planet Predator</x:v>
      </x:c>
      <x:c r="C130" s="61" t="str"/>
      <x:c r="D130" s="61" t="str">
        <x:v>Individu de merchandising</x:v>
      </x:c>
      <x:c r="E130" s="61" t="str">
        <x:v>Figurine / jouet</x:v>
      </x:c>
      <x:c r="F130" s="61" t="str">
        <x:v>Kenner / NECA</x:v>
      </x:c>
      <x:c r="G130" s="61" t="str">
        <x:v>Univers étendu / merchandising licencié</x:v>
      </x:c>
      <x:c r="H130" s="61" t="str"/>
      <x:c r="I130" s="61" t="str"/>
      <x:c r="J130" s="61" t="str">
        <x:v>Oui</x:v>
      </x:c>
      <x:c r="K130" s="61" t="str">
        <x:v>https://avp.fandom.com/wiki/Lava_Planet_Predator</x:v>
      </x:c>
      <x:c r="L130" s="59" t="str">
        <x:v>Figurine / jouet</x:v>
      </x:c>
    </x:row>
    <x:row r="131">
      <x:c r="A131" s="61" t="str">
        <x:v>Y-130</x:v>
      </x:c>
      <x:c r="B131" s="61" t="str">
        <x:v>Lefty</x:v>
      </x:c>
      <x:c r="C131" s="61" t="str"/>
      <x:c r="D131" s="61" t="str">
        <x:v>Individu nommé ou surnommé</x:v>
      </x:c>
      <x:c r="E131" s="61" t="str">
        <x:v>Univers étendu (comic/roman/audio/jeu)</x:v>
      </x:c>
      <x:c r="F131" s="61" t="str">
        <x:v>Voir la source individuelle</x:v>
      </x:c>
      <x:c r="G131" s="61" t="str">
        <x:v>Univers étendu licencié / catalogué</x:v>
      </x:c>
      <x:c r="H131" s="61" t="str"/>
      <x:c r="I131" s="61" t="str"/>
      <x:c r="J131" s="61" t="str">
        <x:v>Oui</x:v>
      </x:c>
      <x:c r="K131" s="61" t="str">
        <x:v>https://avp.fandom.com/wiki/Lefty</x:v>
      </x:c>
      <x:c r="L131" s="59" t="str">
        <x:v>Univers étendu</x:v>
      </x:c>
    </x:row>
    <x:row r="132">
      <x:c r="A132" s="61" t="str">
        <x:v>Y-131</x:v>
      </x:c>
      <x:c r="B132" s="61" t="str">
        <x:v>Light-Stepper</x:v>
      </x:c>
      <x:c r="C132" s="61" t="str"/>
      <x:c r="D132" s="61" t="str">
        <x:v>Individu nommé ou surnommé</x:v>
      </x:c>
      <x:c r="E132" s="61" t="str">
        <x:v>Comics</x:v>
      </x:c>
      <x:c r="F132" s="61" t="str">
        <x:v>Voir la source individuelle</x:v>
      </x:c>
      <x:c r="G132" s="61" t="str">
        <x:v>Univers étendu licencié / catalogué</x:v>
      </x:c>
      <x:c r="H132" s="61" t="str"/>
      <x:c r="I132" s="61" t="str"/>
      <x:c r="J132" s="61" t="str">
        <x:v>Oui</x:v>
      </x:c>
      <x:c r="K132" s="61" t="str">
        <x:v>https://avp.fandom.com/wiki/Light-Stepper</x:v>
      </x:c>
      <x:c r="L132" s="59" t="str">
        <x:v>Comics</x:v>
      </x:c>
    </x:row>
    <x:row r="133">
      <x:c r="A133" s="61" t="str">
        <x:v>Y-132</x:v>
      </x:c>
      <x:c r="B133" s="61" t="str">
        <x:v>Long Spear</x:v>
      </x:c>
      <x:c r="C133" s="61" t="str"/>
      <x:c r="D133" s="61" t="str">
        <x:v>Individu nommé ou surnommé</x:v>
      </x:c>
      <x:c r="E133" s="61" t="str">
        <x:v>Jeu vidéo</x:v>
      </x:c>
      <x:c r="F133" s="61" t="str">
        <x:v>Predator: Concrete Jungle (2005)</x:v>
      </x:c>
      <x:c r="G133" s="61" t="str">
        <x:v>Univers étendu licencié / catalogué</x:v>
      </x:c>
      <x:c r="H133" s="61" t="str"/>
      <x:c r="I133" s="61" t="str"/>
      <x:c r="J133" s="61" t="str">
        <x:v>Oui</x:v>
      </x:c>
      <x:c r="K133" s="61" t="str">
        <x:v>https://avp.fandom.com/wiki/Long_Spear</x:v>
      </x:c>
      <x:c r="L133" s="59" t="str">
        <x:v>Jeu vidéo</x:v>
      </x:c>
    </x:row>
    <x:row r="134">
      <x:c r="A134" s="61" t="str">
        <x:v>Y-133</x:v>
      </x:c>
      <x:c r="B134" s="61" t="str">
        <x:v>Lord</x:v>
      </x:c>
      <x:c r="C134" s="61" t="str"/>
      <x:c r="D134" s="61" t="str">
        <x:v>Individu nommé ou surnommé</x:v>
      </x:c>
      <x:c r="E134" s="61" t="str">
        <x:v>Jeu vidéo</x:v>
      </x:c>
      <x:c r="F134" s="61" t="str">
        <x:v>Aliens versus Predator 2: Primal Hunt (2002)</x:v>
      </x:c>
      <x:c r="G134" s="61" t="str">
        <x:v>Univers étendu licencié / catalogué</x:v>
      </x:c>
      <x:c r="H134" s="61" t="str"/>
      <x:c r="I134" s="61" t="str"/>
      <x:c r="J134" s="61" t="str">
        <x:v>Oui</x:v>
      </x:c>
      <x:c r="K134" s="61" t="str">
        <x:v>https://avp.fandom.com/wiki/Lord</x:v>
      </x:c>
      <x:c r="L134" s="59" t="str">
        <x:v>Jeu vidéo</x:v>
      </x:c>
    </x:row>
    <x:row r="135">
      <x:c r="A135" s="61" t="str">
        <x:v>Y-134</x:v>
      </x:c>
      <x:c r="B135" s="61" t="str">
        <x:v>Lost Predator</x:v>
      </x:c>
      <x:c r="C135" s="61" t="str"/>
      <x:c r="D135" s="61" t="str">
        <x:v>Alias de production / figurine</x:v>
      </x:c>
      <x:c r="E135" s="61" t="str">
        <x:v>Film / animation • Figurine / jouet</x:v>
      </x:c>
      <x:c r="F135" s="61" t="str">
        <x:v>Predator 2 / NECA</x:v>
      </x:c>
      <x:c r="G135" s="61" t="str">
        <x:v>Alias / doublon</x:v>
      </x:c>
      <x:c r="H135" s="61" t="str">
        <x:v>Borg</x:v>
      </x:c>
      <x:c r="I135" s="61" t="str"/>
      <x:c r="J135" s="61" t="str">
        <x:v>Alias</x:v>
      </x:c>
      <x:c r="K135" s="61" t="str">
        <x:v>https://avp.fandom.com/wiki/Lost_Predator</x:v>
      </x:c>
      <x:c r="L135" s="59" t="str">
        <x:v>Film / animation</x:v>
      </x:c>
    </x:row>
    <x:row r="136">
      <x:c r="A136" s="61" t="str">
        <x:v>Y-135</x:v>
      </x:c>
      <x:c r="B136" s="61" t="str">
        <x:v>Lost Tribe / Los Angeles hunting party</x:v>
      </x:c>
      <x:c r="C136" s="61" t="str"/>
      <x:c r="D136" s="61" t="str">
        <x:v>Groupe / clan</x:v>
      </x:c>
      <x:c r="E136" s="61" t="str">
        <x:v>Film / animation</x:v>
      </x:c>
      <x:c r="F136" s="61" t="str">
        <x:v>Predator 2 (1990)</x:v>
      </x:c>
      <x:c r="G136" s="61" t="str">
        <x:v>Groupe / catégorie</x:v>
      </x:c>
      <x:c r="H136" s="61" t="str"/>
      <x:c r="I136" s="61" t="str"/>
      <x:c r="J136" s="61" t="str">
        <x:v>Non (groupe)</x:v>
      </x:c>
      <x:c r="K136" s="61" t="str">
        <x:v>https://avp.fandom.com/wiki/Lost_Tribe_%2F_Los_Angeles_hunting_party</x:v>
      </x:c>
      <x:c r="L136" s="59" t="str">
        <x:v>Film / animation</x:v>
      </x:c>
    </x:row>
    <x:row r="137">
      <x:c r="A137" s="61" t="str">
        <x:v>Y-136</x:v>
      </x:c>
      <x:c r="B137" s="61" t="str">
        <x:v>M'icli-de</x:v>
      </x:c>
      <x:c r="C137" s="61" t="str"/>
      <x:c r="D137" s="61" t="str">
        <x:v>Individu nommé ou surnommé</x:v>
      </x:c>
      <x:c r="E137" s="61" t="str">
        <x:v>Univers étendu (comic/roman/audio/jeu)</x:v>
      </x:c>
      <x:c r="F137" s="61" t="str">
        <x:v>Voir la source individuelle</x:v>
      </x:c>
      <x:c r="G137" s="61" t="str">
        <x:v>Univers étendu licencié / catalogué</x:v>
      </x:c>
      <x:c r="H137" s="61" t="str"/>
      <x:c r="I137" s="61" t="str"/>
      <x:c r="J137" s="61" t="str">
        <x:v>Oui</x:v>
      </x:c>
      <x:c r="K137" s="61" t="str">
        <x:v>https://avp.fandom.com/wiki/M'icli-de</x:v>
      </x:c>
      <x:c r="L137" s="59" t="str">
        <x:v>Univers étendu</x:v>
      </x:c>
    </x:row>
    <x:row r="138">
      <x:c r="A138" s="61" t="str">
        <x:v>Y-137</x:v>
      </x:c>
      <x:c r="B138" s="61" t="str">
        <x:v>Mad Predator</x:v>
      </x:c>
      <x:c r="C138" s="61" t="str"/>
      <x:c r="D138" s="61" t="str">
        <x:v>Individu nommé ou surnommé</x:v>
      </x:c>
      <x:c r="E138" s="61" t="str">
        <x:v>Jeu vidéo</x:v>
      </x:c>
      <x:c r="F138" s="61" t="str">
        <x:v>Alien vs. Predator (arcade, 1994)</x:v>
      </x:c>
      <x:c r="G138" s="61" t="str">
        <x:v>Univers étendu licencié / catalogué</x:v>
      </x:c>
      <x:c r="H138" s="61" t="str"/>
      <x:c r="I138" s="61" t="str"/>
      <x:c r="J138" s="61" t="str">
        <x:v>Oui</x:v>
      </x:c>
      <x:c r="K138" s="61" t="str">
        <x:v>https://avp.fandom.com/wiki/Mad_Predator</x:v>
      </x:c>
      <x:c r="L138" s="59" t="str">
        <x:v>Jeu vidéo</x:v>
      </x:c>
    </x:row>
    <x:row r="139">
      <x:c r="A139" s="61" t="str">
        <x:v>Y-138</x:v>
      </x:c>
      <x:c r="B139" s="61" t="str">
        <x:v>Mahnde</x:v>
      </x:c>
      <x:c r="C139" s="61" t="str"/>
      <x:c r="D139" s="61" t="str">
        <x:v>Individu nommé ou surnommé</x:v>
      </x:c>
      <x:c r="E139" s="61" t="str">
        <x:v>Univers étendu (comic/roman/audio/jeu)</x:v>
      </x:c>
      <x:c r="F139" s="61" t="str">
        <x:v>Voir la source individuelle</x:v>
      </x:c>
      <x:c r="G139" s="61" t="str">
        <x:v>Univers étendu licencié / catalogué</x:v>
      </x:c>
      <x:c r="H139" s="61" t="str"/>
      <x:c r="I139" s="61" t="str"/>
      <x:c r="J139" s="61" t="str">
        <x:v>Oui</x:v>
      </x:c>
      <x:c r="K139" s="61" t="str">
        <x:v>https://avp.fandom.com/wiki/Mahnde</x:v>
      </x:c>
      <x:c r="L139" s="59" t="str">
        <x:v>Univers étendu</x:v>
      </x:c>
    </x:row>
    <x:row r="140">
      <x:c r="A140" s="61" t="str">
        <x:v>Y-139</x:v>
      </x:c>
      <x:c r="B140" s="61" t="str">
        <x:v>Mersh-Trep</x:v>
      </x:c>
      <x:c r="C140" s="61" t="str"/>
      <x:c r="D140" s="61" t="str">
        <x:v>Individu nommé ou surnommé</x:v>
      </x:c>
      <x:c r="E140" s="61" t="str">
        <x:v>Univers étendu (comic/roman/audio/jeu)</x:v>
      </x:c>
      <x:c r="F140" s="61" t="str">
        <x:v>Voir la source individuelle</x:v>
      </x:c>
      <x:c r="G140" s="61" t="str">
        <x:v>Univers étendu licencié / catalogué</x:v>
      </x:c>
      <x:c r="H140" s="61" t="str"/>
      <x:c r="I140" s="61" t="str"/>
      <x:c r="J140" s="61" t="str">
        <x:v>Oui</x:v>
      </x:c>
      <x:c r="K140" s="61" t="str">
        <x:v>https://avp.fandom.com/wiki/Mersh-Trep</x:v>
      </x:c>
      <x:c r="L140" s="59" t="str">
        <x:v>Univers étendu</x:v>
      </x:c>
    </x:row>
    <x:row r="141">
      <x:c r="A141" s="61" t="str">
        <x:v>Y-140</x:v>
      </x:c>
      <x:c r="B141" s="61" t="str">
        <x:v>Minikui</x:v>
      </x:c>
      <x:c r="C141" s="61" t="str"/>
      <x:c r="D141" s="61" t="str">
        <x:v>Individu nommé ou surnommé</x:v>
      </x:c>
      <x:c r="E141" s="61" t="str">
        <x:v>Univers étendu (comic/roman/audio/jeu)</x:v>
      </x:c>
      <x:c r="F141" s="61" t="str">
        <x:v>Voir la source individuelle</x:v>
      </x:c>
      <x:c r="G141" s="61" t="str">
        <x:v>Univers étendu licencié / catalogué</x:v>
      </x:c>
      <x:c r="H141" s="61" t="str"/>
      <x:c r="I141" s="61" t="str"/>
      <x:c r="J141" s="61" t="str">
        <x:v>Oui</x:v>
      </x:c>
      <x:c r="K141" s="61" t="str">
        <x:v>https://avp.fandom.com/wiki/Minikui</x:v>
      </x:c>
      <x:c r="L141" s="59" t="str">
        <x:v>Univers étendu</x:v>
      </x:c>
    </x:row>
    <x:row r="142">
      <x:c r="A142" s="61" t="str">
        <x:v>Y-141</x:v>
      </x:c>
      <x:c r="B142" s="61" t="str">
        <x:v>Mr. Black</x:v>
      </x:c>
      <x:c r="C142" s="61" t="str"/>
      <x:c r="D142" s="61" t="str">
        <x:v>Alias</x:v>
      </x:c>
      <x:c r="E142" s="61" t="str">
        <x:v>Film / animation • Jeu vidéo</x:v>
      </x:c>
      <x:c r="F142" s="61" t="str">
        <x:v>Predators (2010)</x:v>
      </x:c>
      <x:c r="G142" s="61" t="str">
        <x:v>Alias / doublon</x:v>
      </x:c>
      <x:c r="H142" s="61" t="str">
        <x:v>Berserker (Game Preserve Planet)</x:v>
      </x:c>
      <x:c r="I142" s="61" t="str"/>
      <x:c r="J142" s="61" t="str">
        <x:v>Alias</x:v>
      </x:c>
      <x:c r="K142" s="61" t="str">
        <x:v>https://avp.fandom.com/wiki/Mr._Black</x:v>
      </x:c>
      <x:c r="L142" s="59" t="str">
        <x:v>Film / animation</x:v>
      </x:c>
    </x:row>
    <x:row r="143">
      <x:c r="A143" s="61" t="str">
        <x:v>Y-142</x:v>
      </x:c>
      <x:c r="B143" s="61" t="str">
        <x:v>Mutated Yautja</x:v>
      </x:c>
      <x:c r="C143" s="61" t="str"/>
      <x:c r="D143" s="61" t="str">
        <x:v>Individu / hybride ou mutation</x:v>
      </x:c>
      <x:c r="E143" s="61" t="str">
        <x:v>Univers étendu (comic/roman/audio/jeu)</x:v>
      </x:c>
      <x:c r="F143" s="61" t="str">
        <x:v>Voir la source individuelle</x:v>
      </x:c>
      <x:c r="G143" s="61" t="str">
        <x:v>Univers étendu licencié / catalogué</x:v>
      </x:c>
      <x:c r="H143" s="61" t="str"/>
      <x:c r="I143" s="61" t="str"/>
      <x:c r="J143" s="61" t="str">
        <x:v>Oui</x:v>
      </x:c>
      <x:c r="K143" s="61" t="str">
        <x:v>https://avp.fandom.com/wiki/Mutated_Yautja</x:v>
      </x:c>
      <x:c r="L143" s="59" t="str">
        <x:v>Univers étendu</x:v>
      </x:c>
    </x:row>
    <x:row r="144">
      <x:c r="A144" s="61" t="str">
        <x:v>Y-143</x:v>
      </x:c>
      <x:c r="B144" s="61" t="str">
        <x:v>Mystery Competitor</x:v>
      </x:c>
      <x:c r="C144" s="61" t="str"/>
      <x:c r="D144" s="61" t="str">
        <x:v>Individu nommé ou surnommé</x:v>
      </x:c>
      <x:c r="E144" s="61" t="str">
        <x:v>Comics</x:v>
      </x:c>
      <x:c r="F144" s="61" t="str">
        <x:v>Voir la source individuelle</x:v>
      </x:c>
      <x:c r="G144" s="61" t="str">
        <x:v>Univers étendu licencié / catalogué</x:v>
      </x:c>
      <x:c r="H144" s="61" t="str"/>
      <x:c r="I144" s="61" t="str"/>
      <x:c r="J144" s="61" t="str">
        <x:v>Oui</x:v>
      </x:c>
      <x:c r="K144" s="61" t="str">
        <x:v>https://avp.fandom.com/wiki/Mystery_Competitor</x:v>
      </x:c>
      <x:c r="L144" s="59" t="str">
        <x:v>Comics</x:v>
      </x:c>
    </x:row>
    <x:row r="145">
      <x:c r="A145" s="61" t="str">
        <x:v>Y-144</x:v>
      </x:c>
      <x:c r="B145" s="61" t="str">
        <x:v>Nakande</x:v>
      </x:c>
      <x:c r="C145" s="61" t="str"/>
      <x:c r="D145" s="61" t="str">
        <x:v>Individu nommé ou surnommé</x:v>
      </x:c>
      <x:c r="E145" s="61" t="str">
        <x:v>Univers étendu (comic/roman/audio/jeu)</x:v>
      </x:c>
      <x:c r="F145" s="61" t="str">
        <x:v>Voir la source individuelle</x:v>
      </x:c>
      <x:c r="G145" s="61" t="str">
        <x:v>Univers étendu licencié / catalogué</x:v>
      </x:c>
      <x:c r="H145" s="61" t="str"/>
      <x:c r="I145" s="61" t="str"/>
      <x:c r="J145" s="61" t="str">
        <x:v>Oui</x:v>
      </x:c>
      <x:c r="K145" s="61" t="str">
        <x:v>https://avp.fandom.com/wiki/Nakande</x:v>
      </x:c>
      <x:c r="L145" s="59" t="str">
        <x:v>Univers étendu</x:v>
      </x:c>
    </x:row>
    <x:row r="146">
      <x:c r="A146" s="61" t="str">
        <x:v>Y-145</x:v>
      </x:c>
      <x:c r="B146" s="61" t="str">
        <x:v>Nat'ka'pu</x:v>
      </x:c>
      <x:c r="C146" s="61" t="str"/>
      <x:c r="D146" s="61" t="str">
        <x:v>Individu nommé ou surnommé</x:v>
      </x:c>
      <x:c r="E146" s="61" t="str">
        <x:v>Univers étendu (comic/roman/audio/jeu)</x:v>
      </x:c>
      <x:c r="F146" s="61" t="str">
        <x:v>Voir la source individuelle</x:v>
      </x:c>
      <x:c r="G146" s="61" t="str">
        <x:v>Univers étendu licencié / catalogué</x:v>
      </x:c>
      <x:c r="H146" s="61" t="str"/>
      <x:c r="I146" s="61" t="str"/>
      <x:c r="J146" s="61" t="str">
        <x:v>Oui</x:v>
      </x:c>
      <x:c r="K146" s="61" t="str">
        <x:v>https://avp.fandom.com/wiki/Nat'ka'pu</x:v>
      </x:c>
      <x:c r="L146" s="59" t="str">
        <x:v>Univers étendu</x:v>
      </x:c>
    </x:row>
    <x:row r="147">
      <x:c r="A147" s="61" t="str">
        <x:v>Y-146</x:v>
      </x:c>
      <x:c r="B147" s="61" t="str">
        <x:v>Nei'hman-de</x:v>
      </x:c>
      <x:c r="C147" s="61" t="str"/>
      <x:c r="D147" s="61" t="str">
        <x:v>Individu nommé ou surnommé</x:v>
      </x:c>
      <x:c r="E147" s="61" t="str">
        <x:v>Univers étendu (comic/roman/audio/jeu)</x:v>
      </x:c>
      <x:c r="F147" s="61" t="str">
        <x:v>Voir la source individuelle</x:v>
      </x:c>
      <x:c r="G147" s="61" t="str">
        <x:v>Univers étendu licencié / catalogué</x:v>
      </x:c>
      <x:c r="H147" s="61" t="str"/>
      <x:c r="I147" s="61" t="str"/>
      <x:c r="J147" s="61" t="str">
        <x:v>Oui</x:v>
      </x:c>
      <x:c r="K147" s="61" t="str">
        <x:v>https://avp.fandom.com/wiki/Nei'hman-de</x:v>
      </x:c>
      <x:c r="L147" s="59" t="str">
        <x:v>Univers étendu</x:v>
      </x:c>
    </x:row>
    <x:row r="148">
      <x:c r="A148" s="61" t="str">
        <x:v>Y-147</x:v>
      </x:c>
      <x:c r="B148" s="61" t="str">
        <x:v>Night Hunter Clan</x:v>
      </x:c>
      <x:c r="C148" s="61" t="str"/>
      <x:c r="D148" s="61" t="str">
        <x:v>Groupe / clan</x:v>
      </x:c>
      <x:c r="E148" s="61" t="str">
        <x:v>Figurine / jouet</x:v>
      </x:c>
      <x:c r="F148" s="61" t="str">
        <x:v>Kenner / NECA</x:v>
      </x:c>
      <x:c r="G148" s="61" t="str">
        <x:v>Groupe / catégorie</x:v>
      </x:c>
      <x:c r="H148" s="61" t="str"/>
      <x:c r="I148" s="61" t="str"/>
      <x:c r="J148" s="61" t="str">
        <x:v>Non (groupe)</x:v>
      </x:c>
      <x:c r="K148" s="61" t="str">
        <x:v>https://avp.fandom.com/wiki/Night_Hunter_Clan</x:v>
      </x:c>
      <x:c r="L148" s="59" t="str">
        <x:v>Figurine / jouet</x:v>
      </x:c>
    </x:row>
    <x:row r="149">
      <x:c r="A149" s="61" t="str">
        <x:v>Y-148</x:v>
      </x:c>
      <x:c r="B149" s="61" t="str">
        <x:v>Night Recon Predator</x:v>
      </x:c>
      <x:c r="C149" s="61" t="str"/>
      <x:c r="D149" s="61" t="str">
        <x:v>Individu de merchandising</x:v>
      </x:c>
      <x:c r="E149" s="61" t="str">
        <x:v>Figurine / jouet</x:v>
      </x:c>
      <x:c r="F149" s="61" t="str">
        <x:v>Kenner Aliens: Hive Wars</x:v>
      </x:c>
      <x:c r="G149" s="61" t="str">
        <x:v>Univers étendu / merchandising licencié</x:v>
      </x:c>
      <x:c r="H149" s="61" t="str"/>
      <x:c r="I149" s="61" t="str"/>
      <x:c r="J149" s="61" t="str">
        <x:v>Oui</x:v>
      </x:c>
      <x:c r="K149" s="61" t="str">
        <x:v>https://avp.fandom.com/wiki/Night_Recon_Predator</x:v>
      </x:c>
      <x:c r="L149" s="59" t="str">
        <x:v>Figurine / jouet</x:v>
      </x:c>
    </x:row>
    <x:row r="150">
      <x:c r="A150" s="61" t="str">
        <x:v>Y-149</x:v>
      </x:c>
      <x:c r="B150" s="61" t="str">
        <x:v>Nightmare Kid</x:v>
      </x:c>
      <x:c r="C150" s="61" t="str"/>
      <x:c r="D150" s="61" t="str">
        <x:v>Individu nommé ou surnommé</x:v>
      </x:c>
      <x:c r="E150" s="61" t="str">
        <x:v>Univers étendu (comic/roman/audio/jeu)</x:v>
      </x:c>
      <x:c r="F150" s="61" t="str">
        <x:v>Voir la source individuelle</x:v>
      </x:c>
      <x:c r="G150" s="61" t="str">
        <x:v>Univers étendu licencié / catalogué</x:v>
      </x:c>
      <x:c r="H150" s="61" t="str"/>
      <x:c r="I150" s="61" t="str"/>
      <x:c r="J150" s="61" t="str">
        <x:v>Oui</x:v>
      </x:c>
      <x:c r="K150" s="61" t="str">
        <x:v>https://avp.fandom.com/wiki/Nightmare_Kid</x:v>
      </x:c>
      <x:c r="L150" s="59" t="str">
        <x:v>Univers étendu</x:v>
      </x:c>
    </x:row>
    <x:row r="151">
      <x:c r="A151" s="61" t="str">
        <x:v>Y-150</x:v>
      </x:c>
      <x:c r="B151" s="61" t="str">
        <x:v>Nightstorm Predator</x:v>
      </x:c>
      <x:c r="C151" s="61" t="str"/>
      <x:c r="D151" s="61" t="str">
        <x:v>Individu de merchandising</x:v>
      </x:c>
      <x:c r="E151" s="61" t="str">
        <x:v>Figurine / jouet</x:v>
      </x:c>
      <x:c r="F151" s="61" t="str">
        <x:v>Kenner / NECA</x:v>
      </x:c>
      <x:c r="G151" s="61" t="str">
        <x:v>Univers étendu / merchandising licencié</x:v>
      </x:c>
      <x:c r="H151" s="61" t="str"/>
      <x:c r="I151" s="61" t="str"/>
      <x:c r="J151" s="61" t="str">
        <x:v>Oui</x:v>
      </x:c>
      <x:c r="K151" s="61" t="str">
        <x:v>https://avp.fandom.com/wiki/Nightstorm_Predator</x:v>
      </x:c>
      <x:c r="L151" s="59" t="str">
        <x:v>Figurine / jouet</x:v>
      </x:c>
    </x:row>
    <x:row r="152">
      <x:c r="A152" s="61" t="str">
        <x:v>Y-151</x:v>
      </x:c>
      <x:c r="B152" s="61" t="str">
        <x:v>Njohrr</x:v>
      </x:c>
      <x:c r="C152" s="61" t="str">
        <x:v>Father Predator</x:v>
      </x:c>
      <x:c r="D152" s="61" t="str">
        <x:v>Individu nommé ou surnommé</x:v>
      </x:c>
      <x:c r="E152" s="61" t="str">
        <x:v>Film / animation</x:v>
      </x:c>
      <x:c r="F152" s="61" t="str">
        <x:v>Predator: Badlands (2025)</x:v>
      </x:c>
      <x:c r="G152" s="61" t="str">
        <x:v>Écran officiel / licencié</x:v>
      </x:c>
      <x:c r="H152" s="61" t="str"/>
      <x:c r="I152" s="61" t="str">
        <x:v>Appelé Father Predator dans Predator: Hunting Grounds.</x:v>
      </x:c>
      <x:c r="J152" s="61" t="str">
        <x:v>Oui</x:v>
      </x:c>
      <x:c r="K152" s="61" t="str">
        <x:v>https://avp.fandom.com/wiki/Njohrr</x:v>
      </x:c>
      <x:c r="L152" s="59" t="str">
        <x:v>Film / animation</x:v>
      </x:c>
    </x:row>
    <x:row r="153">
      <x:c r="A153" s="61" t="str">
        <x:v>Y-152</x:v>
      </x:c>
      <x:c r="B153" s="61" t="str">
        <x:v>Nk'mecci</x:v>
      </x:c>
      <x:c r="C153" s="61" t="str"/>
      <x:c r="D153" s="61" t="str">
        <x:v>Individu nommé ou surnommé</x:v>
      </x:c>
      <x:c r="E153" s="61" t="str">
        <x:v>Univers étendu (comic/roman/audio/jeu)</x:v>
      </x:c>
      <x:c r="F153" s="61" t="str">
        <x:v>Voir la source individuelle</x:v>
      </x:c>
      <x:c r="G153" s="61" t="str">
        <x:v>Univers étendu licencié / catalogué</x:v>
      </x:c>
      <x:c r="H153" s="61" t="str"/>
      <x:c r="I153" s="61" t="str"/>
      <x:c r="J153" s="61" t="str">
        <x:v>Oui</x:v>
      </x:c>
      <x:c r="K153" s="61" t="str">
        <x:v>https://avp.fandom.com/wiki/Nk'mecci</x:v>
      </x:c>
      <x:c r="L153" s="59" t="str">
        <x:v>Univers étendu</x:v>
      </x:c>
    </x:row>
    <x:row r="154">
      <x:c r="A154" s="61" t="str">
        <x:v>Y-153</x:v>
      </x:c>
      <x:c r="B154" s="61" t="str">
        <x:v>Oc'djy</x:v>
      </x:c>
      <x:c r="C154" s="61" t="str"/>
      <x:c r="D154" s="61" t="str">
        <x:v>Individu nommé ou surnommé</x:v>
      </x:c>
      <x:c r="E154" s="61" t="str">
        <x:v>Univers étendu (comic/roman/audio/jeu)</x:v>
      </x:c>
      <x:c r="F154" s="61" t="str">
        <x:v>Voir la source individuelle</x:v>
      </x:c>
      <x:c r="G154" s="61" t="str">
        <x:v>Univers étendu licencié / catalogué</x:v>
      </x:c>
      <x:c r="H154" s="61" t="str"/>
      <x:c r="I154" s="61" t="str"/>
      <x:c r="J154" s="61" t="str">
        <x:v>Oui</x:v>
      </x:c>
      <x:c r="K154" s="61" t="str">
        <x:v>https://avp.fandom.com/wiki/Oc'djy</x:v>
      </x:c>
      <x:c r="L154" s="59" t="str">
        <x:v>Univers étendu</x:v>
      </x:c>
    </x:row>
    <x:row r="155">
      <x:c r="A155" s="61" t="str">
        <x:v>Y-154</x:v>
      </x:c>
      <x:c r="B155" s="61" t="str">
        <x:v>Oni Predator</x:v>
      </x:c>
      <x:c r="C155" s="61" t="str">
        <x:v>Predator (Feudal Era)</x:v>
      </x:c>
      <x:c r="D155" s="61" t="str">
        <x:v>Individu nommé ou surnommé</x:v>
      </x:c>
      <x:c r="E155" s="61" t="str">
        <x:v>Film / animation • Jeu vidéo</x:v>
      </x:c>
      <x:c r="F155" s="61" t="str">
        <x:v>Predator: Killer of Killers (2025)</x:v>
      </x:c>
      <x:c r="G155" s="61" t="str">
        <x:v>Écran officiel / licencié</x:v>
      </x:c>
      <x:c r="H155" s="61" t="str"/>
      <x:c r="I155" s="61" t="str">
        <x:v>Aussi catalogué comme Predator (Feudal Era).</x:v>
      </x:c>
      <x:c r="J155" s="61" t="str">
        <x:v>Oui</x:v>
      </x:c>
      <x:c r="K155" s="61" t="str">
        <x:v>https://avp.fandom.com/wiki/Oni_Predator</x:v>
      </x:c>
      <x:c r="L155" s="59" t="str">
        <x:v>Film / animation</x:v>
      </x:c>
    </x:row>
    <x:row r="156">
      <x:c r="A156" s="61" t="str">
        <x:v>Y-155</x:v>
      </x:c>
      <x:c r="B156" s="61" t="str">
        <x:v>Ozarks Hunter</x:v>
      </x:c>
      <x:c r="C156" s="61" t="str"/>
      <x:c r="D156" s="61" t="str">
        <x:v>Individu nommé ou surnommé</x:v>
      </x:c>
      <x:c r="E156" s="61" t="str">
        <x:v>Comics</x:v>
      </x:c>
      <x:c r="F156" s="61" t="str">
        <x:v>Voir la source individuelle</x:v>
      </x:c>
      <x:c r="G156" s="61" t="str">
        <x:v>Univers étendu licencié / catalogué</x:v>
      </x:c>
      <x:c r="H156" s="61" t="str"/>
      <x:c r="I156" s="61" t="str"/>
      <x:c r="J156" s="61" t="str">
        <x:v>Oui</x:v>
      </x:c>
      <x:c r="K156" s="61" t="str">
        <x:v>https://avp.fandom.com/wiki/Ozarks_Hunter</x:v>
      </x:c>
      <x:c r="L156" s="59" t="str">
        <x:v>Comics</x:v>
      </x:c>
    </x:row>
    <x:row r="157">
      <x:c r="A157" s="61" t="str">
        <x:v>Y-156</x:v>
      </x:c>
      <x:c r="B157" s="61" t="str">
        <x:v>Pig Iron</x:v>
      </x:c>
      <x:c r="C157" s="61" t="str"/>
      <x:c r="D157" s="61" t="str">
        <x:v>Individu nommé ou surnommé</x:v>
      </x:c>
      <x:c r="E157" s="61" t="str">
        <x:v>Comics</x:v>
      </x:c>
      <x:c r="F157" s="61" t="str">
        <x:v>Voir la source individuelle</x:v>
      </x:c>
      <x:c r="G157" s="61" t="str">
        <x:v>Univers étendu licencié / catalogué</x:v>
      </x:c>
      <x:c r="H157" s="61" t="str"/>
      <x:c r="I157" s="61" t="str"/>
      <x:c r="J157" s="61" t="str">
        <x:v>Oui</x:v>
      </x:c>
      <x:c r="K157" s="61" t="str">
        <x:v>https://avp.fandom.com/wiki/Pig_Iron</x:v>
      </x:c>
      <x:c r="L157" s="59" t="str">
        <x:v>Comics</x:v>
      </x:c>
    </x:row>
    <x:row r="158">
      <x:c r="A158" s="61" t="str">
        <x:v>Y-157</x:v>
      </x:c>
      <x:c r="B158" s="61" t="str">
        <x:v>Pirate Predator</x:v>
      </x:c>
      <x:c r="C158" s="61" t="str"/>
      <x:c r="D158" s="61" t="str">
        <x:v>Individu nommé ou surnommé</x:v>
      </x:c>
      <x:c r="E158" s="61" t="str">
        <x:v>Jeu vidéo</x:v>
      </x:c>
      <x:c r="F158" s="61" t="str">
        <x:v>Predator: Hunting Grounds</x:v>
      </x:c>
      <x:c r="G158" s="61" t="str">
        <x:v>Univers étendu licencié / catalogué</x:v>
      </x:c>
      <x:c r="H158" s="61" t="str"/>
      <x:c r="I158" s="61" t="str"/>
      <x:c r="J158" s="61" t="str">
        <x:v>Oui</x:v>
      </x:c>
      <x:c r="K158" s="61" t="str">
        <x:v>https://avp.fandom.com/wiki/Pirate_Predator</x:v>
      </x:c>
      <x:c r="L158" s="59" t="str">
        <x:v>Jeu vidéo</x:v>
      </x:c>
    </x:row>
    <x:row r="159">
      <x:c r="A159" s="61" t="str">
        <x:v>Y-158</x:v>
      </x:c>
      <x:c r="B159" s="61" t="str">
        <x:v>Predator (Feudal Era)</x:v>
      </x:c>
      <x:c r="C159" s="61" t="str"/>
      <x:c r="D159" s="61" t="str">
        <x:v>Alias</x:v>
      </x:c>
      <x:c r="E159" s="61" t="str">
        <x:v>Film / animation</x:v>
      </x:c>
      <x:c r="F159" s="61" t="str">
        <x:v>Predator: Killer of Killers (2025)</x:v>
      </x:c>
      <x:c r="G159" s="61" t="str">
        <x:v>Alias / doublon</x:v>
      </x:c>
      <x:c r="H159" s="61" t="str">
        <x:v>Oni Predator</x:v>
      </x:c>
      <x:c r="I159" s="61" t="str"/>
      <x:c r="J159" s="61" t="str">
        <x:v>Alias</x:v>
      </x:c>
      <x:c r="K159" s="61" t="str">
        <x:v>https://avp.fandom.com/wiki/Predator_%28Feudal_Era%29</x:v>
      </x:c>
      <x:c r="L159" s="59" t="str">
        <x:v>Film / animation</x:v>
      </x:c>
    </x:row>
    <x:row r="160">
      <x:c r="A160" s="61" t="str">
        <x:v>Y-159</x:v>
      </x:c>
      <x:c r="B160" s="61" t="str">
        <x:v>Predator (Mega-City One)</x:v>
      </x:c>
      <x:c r="C160" s="61" t="str"/>
      <x:c r="D160" s="61" t="str">
        <x:v>Individu nommé ou surnommé</x:v>
      </x:c>
      <x:c r="E160" s="61" t="str">
        <x:v>Comics</x:v>
      </x:c>
      <x:c r="F160" s="61" t="str">
        <x:v>Predator vs. Judge Dredd</x:v>
      </x:c>
      <x:c r="G160" s="61" t="str">
        <x:v>Univers étendu licencié / catalogué</x:v>
      </x:c>
      <x:c r="H160" s="61" t="str"/>
      <x:c r="I160" s="61" t="str"/>
      <x:c r="J160" s="61" t="str">
        <x:v>Oui</x:v>
      </x:c>
      <x:c r="K160" s="61" t="str">
        <x:v>https://avp.fandom.com/wiki/Predator_%28Mega-City_One%29</x:v>
      </x:c>
      <x:c r="L160" s="59" t="str">
        <x:v>Comics</x:v>
      </x:c>
    </x:row>
    <x:row r="161">
      <x:c r="A161" s="61" t="str">
        <x:v>Y-160</x:v>
      </x:c>
      <x:c r="B161" s="61" t="str">
        <x:v>Predator (Rite of Passage)</x:v>
      </x:c>
      <x:c r="C161" s="61" t="str"/>
      <x:c r="D161" s="61" t="str">
        <x:v>Individu nommé ou surnommé</x:v>
      </x:c>
      <x:c r="E161" s="61" t="str">
        <x:v>Comics</x:v>
      </x:c>
      <x:c r="F161" s="61" t="str">
        <x:v>Voir la source individuelle</x:v>
      </x:c>
      <x:c r="G161" s="61" t="str">
        <x:v>Univers étendu licencié / catalogué</x:v>
      </x:c>
      <x:c r="H161" s="61" t="str"/>
      <x:c r="I161" s="61" t="str"/>
      <x:c r="J161" s="61" t="str">
        <x:v>Oui</x:v>
      </x:c>
      <x:c r="K161" s="61" t="str">
        <x:v>https://avp.fandom.com/wiki/Predator_%28Rite_of_Passage%29</x:v>
      </x:c>
      <x:c r="L161" s="59" t="str">
        <x:v>Comics</x:v>
      </x:c>
    </x:row>
    <x:row r="162">
      <x:c r="A162" s="61" t="str">
        <x:v>Y-161</x:v>
      </x:c>
      <x:c r="B162" s="61" t="str">
        <x:v>Predator (World War II)</x:v>
      </x:c>
      <x:c r="C162" s="61" t="str"/>
      <x:c r="D162" s="61" t="str">
        <x:v>Individu nommé ou surnommé</x:v>
      </x:c>
      <x:c r="E162" s="61" t="str">
        <x:v>Film / animation</x:v>
      </x:c>
      <x:c r="F162" s="61" t="str">
        <x:v>Predator: Killer of Killers (2025)</x:v>
      </x:c>
      <x:c r="G162" s="61" t="str">
        <x:v>Écran officiel / licencié</x:v>
      </x:c>
      <x:c r="H162" s="61" t="str"/>
      <x:c r="I162" s="61" t="str"/>
      <x:c r="J162" s="61" t="str">
        <x:v>Oui</x:v>
      </x:c>
      <x:c r="K162" s="61" t="str">
        <x:v>https://avp.fandom.com/wiki/Predator_%28World_War_II%29</x:v>
      </x:c>
      <x:c r="L162" s="59" t="str">
        <x:v>Film / animation</x:v>
      </x:c>
    </x:row>
    <x:row r="163">
      <x:c r="A163" s="61" t="str">
        <x:v>Y-162</x:v>
      </x:c>
      <x:c r="B163" s="61" t="str">
        <x:v>Predator A6718</x:v>
      </x:c>
      <x:c r="C163" s="61" t="str"/>
      <x:c r="D163" s="61" t="str">
        <x:v>Individu nommé ou surnommé</x:v>
      </x:c>
      <x:c r="E163" s="61" t="str">
        <x:v>Univers étendu (comic/roman/audio/jeu)</x:v>
      </x:c>
      <x:c r="F163" s="61" t="str">
        <x:v>Alien vs. Predator (arcade, 1994)</x:v>
      </x:c>
      <x:c r="G163" s="61" t="str">
        <x:v>Univers étendu licencié / catalogué</x:v>
      </x:c>
      <x:c r="H163" s="61" t="str"/>
      <x:c r="I163" s="61" t="str"/>
      <x:c r="J163" s="61" t="str">
        <x:v>Oui</x:v>
      </x:c>
      <x:c r="K163" s="61" t="str">
        <x:v>https://avp.fandom.com/wiki/Predator_A6718</x:v>
      </x:c>
      <x:c r="L163" s="59" t="str">
        <x:v>Univers étendu</x:v>
      </x:c>
    </x:row>
    <x:row r="164">
      <x:c r="A164" s="61" t="str">
        <x:v>Y-163</x:v>
      </x:c>
      <x:c r="B164" s="61" t="str">
        <x:v>Predator de AVP: Redemption</x:v>
      </x:c>
      <x:c r="C164" s="61" t="str"/>
      <x:c r="D164" s="61" t="str">
        <x:v>Groupe / individus anonymes désignés</x:v>
      </x:c>
      <x:c r="E164" s="61" t="str">
        <x:v>Fan-film</x:v>
      </x:c>
      <x:c r="F164" s="61" t="str">
        <x:v>AVP: Redemption (2010)</x:v>
      </x:c>
      <x:c r="G164" s="61" t="str">
        <x:v>Groupe / catégorie</x:v>
      </x:c>
      <x:c r="H164" s="61" t="str"/>
      <x:c r="I164" s="61" t="str">
        <x:v>Le film de fans met en scène des Yautja non nommés; entrée collective/descriptive.</x:v>
      </x:c>
      <x:c r="J164" s="61" t="str">
        <x:v>Non (groupe)</x:v>
      </x:c>
      <x:c r="K164" s="61" t="str"/>
      <x:c r="L164" s="59" t="str">
        <x:v>Fan-film</x:v>
      </x:c>
    </x:row>
    <x:row r="165">
      <x:c r="A165" s="61" t="str">
        <x:v>Y-164</x:v>
      </x:c>
      <x:c r="B165" s="61" t="str">
        <x:v>Predator de Predator: Last Will</x:v>
      </x:c>
      <x:c r="C165" s="61" t="str"/>
      <x:c r="D165" s="61" t="str">
        <x:v>Individu anonyme désigné</x:v>
      </x:c>
      <x:c r="E165" s="61" t="str">
        <x:v>Fan-film / machinima</x:v>
      </x:c>
      <x:c r="F165" s="61" t="str">
        <x:v>Predator: Last Will</x:v>
      </x:c>
      <x:c r="G165" s="61" t="str">
        <x:v>Non officiel / fan-made</x:v>
      </x:c>
      <x:c r="H165" s="61" t="str"/>
      <x:c r="I165" s="61" t="str">
        <x:v>Désignation descriptive; production non officielle.</x:v>
      </x:c>
      <x:c r="J165" s="61" t="str">
        <x:v>Oui</x:v>
      </x:c>
      <x:c r="K165" s="61" t="str"/>
      <x:c r="L165" s="59" t="str">
        <x:v>Fan-film</x:v>
      </x:c>
    </x:row>
    <x:row r="166">
      <x:c r="A166" s="61" t="str">
        <x:v>Y-165</x:v>
      </x:c>
      <x:c r="B166" s="61" t="str">
        <x:v>Prient'de</x:v>
      </x:c>
      <x:c r="C166" s="61" t="str"/>
      <x:c r="D166" s="61" t="str">
        <x:v>Individu nommé ou surnommé</x:v>
      </x:c>
      <x:c r="E166" s="61" t="str">
        <x:v>Comics</x:v>
      </x:c>
      <x:c r="F166" s="61" t="str">
        <x:v>Voir la source individuelle</x:v>
      </x:c>
      <x:c r="G166" s="61" t="str">
        <x:v>Univers étendu licencié / catalogué</x:v>
      </x:c>
      <x:c r="H166" s="61" t="str"/>
      <x:c r="I166" s="61" t="str"/>
      <x:c r="J166" s="61" t="str">
        <x:v>Oui</x:v>
      </x:c>
      <x:c r="K166" s="61" t="str">
        <x:v>https://avp.fandom.com/wiki/Prient'de</x:v>
      </x:c>
      <x:c r="L166" s="59" t="str">
        <x:v>Comics</x:v>
      </x:c>
    </x:row>
    <x:row r="167">
      <x:c r="A167" s="61" t="str">
        <x:v>Y-166</x:v>
      </x:c>
      <x:c r="B167" s="61" t="str">
        <x:v>Prince</x:v>
      </x:c>
      <x:c r="C167" s="61" t="str"/>
      <x:c r="D167" s="61" t="str">
        <x:v>Individu nommé ou surnommé</x:v>
      </x:c>
      <x:c r="E167" s="61" t="str">
        <x:v>Jeu vidéo</x:v>
      </x:c>
      <x:c r="F167" s="61" t="str">
        <x:v>Aliens versus Predator 2 (2001)</x:v>
      </x:c>
      <x:c r="G167" s="61" t="str">
        <x:v>Univers étendu licencié / catalogué</x:v>
      </x:c>
      <x:c r="H167" s="61" t="str"/>
      <x:c r="I167" s="61" t="str"/>
      <x:c r="J167" s="61" t="str">
        <x:v>Oui</x:v>
      </x:c>
      <x:c r="K167" s="61" t="str">
        <x:v>https://avp.fandom.com/wiki/Prince</x:v>
      </x:c>
      <x:c r="L167" s="59" t="str">
        <x:v>Jeu vidéo</x:v>
      </x:c>
    </x:row>
    <x:row r="168">
      <x:c r="A168" s="61" t="str">
        <x:v>Y-167</x:v>
      </x:c>
      <x:c r="B168" s="61" t="str">
        <x:v>R'ka</x:v>
      </x:c>
      <x:c r="C168" s="61" t="str"/>
      <x:c r="D168" s="61" t="str">
        <x:v>Individu nommé ou surnommé</x:v>
      </x:c>
      <x:c r="E168" s="61" t="str">
        <x:v>Univers étendu (comic/roman/audio/jeu)</x:v>
      </x:c>
      <x:c r="F168" s="61" t="str">
        <x:v>Voir la source individuelle</x:v>
      </x:c>
      <x:c r="G168" s="61" t="str">
        <x:v>Univers étendu licencié / catalogué</x:v>
      </x:c>
      <x:c r="H168" s="61" t="str"/>
      <x:c r="I168" s="61" t="str"/>
      <x:c r="J168" s="61" t="str">
        <x:v>Oui</x:v>
      </x:c>
      <x:c r="K168" s="61" t="str">
        <x:v>https://avp.fandom.com/wiki/R'ka</x:v>
      </x:c>
      <x:c r="L168" s="59" t="str">
        <x:v>Univers étendu</x:v>
      </x:c>
    </x:row>
    <x:row r="169">
      <x:c r="A169" s="61" t="str">
        <x:v>Y-168</x:v>
      </x:c>
      <x:c r="B169" s="61" t="str">
        <x:v>Rakshasa</x:v>
      </x:c>
      <x:c r="C169" s="61" t="str"/>
      <x:c r="D169" s="61" t="str">
        <x:v>Individu nommé ou surnommé</x:v>
      </x:c>
      <x:c r="E169" s="61" t="str">
        <x:v>Comics</x:v>
      </x:c>
      <x:c r="F169" s="61" t="str">
        <x:v>Voir la source individuelle</x:v>
      </x:c>
      <x:c r="G169" s="61" t="str">
        <x:v>Univers étendu licencié / catalogué</x:v>
      </x:c>
      <x:c r="H169" s="61" t="str"/>
      <x:c r="I169" s="61" t="str"/>
      <x:c r="J169" s="61" t="str">
        <x:v>Oui</x:v>
      </x:c>
      <x:c r="K169" s="61" t="str">
        <x:v>https://avp.fandom.com/wiki/Rakshasa</x:v>
      </x:c>
      <x:c r="L169" s="59" t="str">
        <x:v>Comics</x:v>
      </x:c>
    </x:row>
    <x:row r="170">
      <x:c r="A170" s="61" t="str">
        <x:v>Y-169</x:v>
      </x:c>
      <x:c r="B170" s="61" t="str">
        <x:v>Ram Predator</x:v>
      </x:c>
      <x:c r="C170" s="61" t="str"/>
      <x:c r="D170" s="61" t="str">
        <x:v>Alias de production / figurine</x:v>
      </x:c>
      <x:c r="E170" s="61" t="str">
        <x:v>Film / animation • Figurine / jouet</x:v>
      </x:c>
      <x:c r="F170" s="61" t="str">
        <x:v>Predator 2 / NECA</x:v>
      </x:c>
      <x:c r="G170" s="61" t="str">
        <x:v>Alias / doublon</x:v>
      </x:c>
      <x:c r="H170" s="61" t="str">
        <x:v>Warrior (Yautja)</x:v>
      </x:c>
      <x:c r="I170" s="61" t="str"/>
      <x:c r="J170" s="61" t="str">
        <x:v>Alias</x:v>
      </x:c>
      <x:c r="K170" s="61" t="str">
        <x:v>https://avp.fandom.com/wiki/Ram_Predator</x:v>
      </x:c>
      <x:c r="L170" s="59" t="str">
        <x:v>Film / animation</x:v>
      </x:c>
    </x:row>
    <x:row r="171">
      <x:c r="A171" s="61" t="str">
        <x:v>Y-170</x:v>
      </x:c>
      <x:c r="B171" s="61" t="str">
        <x:v>Renegade Predator</x:v>
      </x:c>
      <x:c r="C171" s="61" t="str"/>
      <x:c r="D171" s="61" t="str">
        <x:v>Individu nommé ou surnommé</x:v>
      </x:c>
      <x:c r="E171" s="61" t="str">
        <x:v>Figurine / jouet</x:v>
      </x:c>
      <x:c r="F171" s="61" t="str">
        <x:v>Voir la source individuelle</x:v>
      </x:c>
      <x:c r="G171" s="61" t="str">
        <x:v>Création de merchandising licenciée</x:v>
      </x:c>
      <x:c r="H171" s="61" t="str"/>
      <x:c r="I171" s="61" t="str"/>
      <x:c r="J171" s="61" t="str">
        <x:v>Oui</x:v>
      </x:c>
      <x:c r="K171" s="61" t="str">
        <x:v>https://avp.fandom.com/wiki/Renegade_Predator</x:v>
      </x:c>
      <x:c r="L171" s="59" t="str">
        <x:v>Figurine / jouet</x:v>
      </x:c>
    </x:row>
    <x:row r="172">
      <x:c r="A172" s="61" t="str">
        <x:v>Y-171</x:v>
      </x:c>
      <x:c r="B172" s="61" t="str">
        <x:v>Rogue Predator</x:v>
      </x:c>
      <x:c r="C172" s="61" t="str"/>
      <x:c r="D172" s="61" t="str">
        <x:v>Alias</x:v>
      </x:c>
      <x:c r="E172" s="61" t="str">
        <x:v>Film / animation • Figurine / jouet</x:v>
      </x:c>
      <x:c r="F172" s="61" t="str">
        <x:v>The Predator (2018)</x:v>
      </x:c>
      <x:c r="G172" s="61" t="str">
        <x:v>Alias / doublon</x:v>
      </x:c>
      <x:c r="H172" s="61" t="str">
        <x:v>Fugitive Predator</x:v>
      </x:c>
      <x:c r="I172" s="61" t="str"/>
      <x:c r="J172" s="61" t="str">
        <x:v>Alias</x:v>
      </x:c>
      <x:c r="K172" s="61" t="str">
        <x:v>https://avp.fandom.com/wiki/Rogue_Predator</x:v>
      </x:c>
      <x:c r="L172" s="59" t="str">
        <x:v>Film / animation</x:v>
      </x:c>
    </x:row>
    <x:row r="173">
      <x:c r="A173" s="61" t="str">
        <x:v>Y-172</x:v>
      </x:c>
      <x:c r="B173" s="61" t="str">
        <x:v>Rogue Space Tribe</x:v>
      </x:c>
      <x:c r="C173" s="61" t="str"/>
      <x:c r="D173" s="61" t="str">
        <x:v>Groupe / clan</x:v>
      </x:c>
      <x:c r="E173" s="61" t="str">
        <x:v>Figurine / jouet</x:v>
      </x:c>
      <x:c r="F173" s="61" t="str">
        <x:v>NECA / biographie de Spiked Tail</x:v>
      </x:c>
      <x:c r="G173" s="61" t="str">
        <x:v>Groupe / catégorie</x:v>
      </x:c>
      <x:c r="H173" s="61" t="str"/>
      <x:c r="I173" s="61" t="str"/>
      <x:c r="J173" s="61" t="str">
        <x:v>Non (groupe)</x:v>
      </x:c>
      <x:c r="K173" s="61" t="str">
        <x:v>https://avp.fandom.com/wiki/Rogue_Space_Tribe</x:v>
      </x:c>
      <x:c r="L173" s="59" t="str">
        <x:v>Figurine / jouet</x:v>
      </x:c>
    </x:row>
    <x:row r="174">
      <x:c r="A174" s="61" t="str">
        <x:v>Y-173</x:v>
      </x:c>
      <x:c r="B174" s="61" t="str">
        <x:v>Sakana</x:v>
      </x:c>
      <x:c r="C174" s="61" t="str"/>
      <x:c r="D174" s="61" t="str">
        <x:v>Individu nommé ou surnommé</x:v>
      </x:c>
      <x:c r="E174" s="61" t="str">
        <x:v>Univers étendu (comic/roman/audio/jeu)</x:v>
      </x:c>
      <x:c r="F174" s="61" t="str">
        <x:v>Voir la source individuelle</x:v>
      </x:c>
      <x:c r="G174" s="61" t="str">
        <x:v>Univers étendu licencié / catalogué</x:v>
      </x:c>
      <x:c r="H174" s="61" t="str"/>
      <x:c r="I174" s="61" t="str"/>
      <x:c r="J174" s="61" t="str">
        <x:v>Oui</x:v>
      </x:c>
      <x:c r="K174" s="61" t="str">
        <x:v>https://avp.fandom.com/wiki/Sakana</x:v>
      </x:c>
      <x:c r="L174" s="59" t="str">
        <x:v>Univers étendu</x:v>
      </x:c>
    </x:row>
    <x:row r="175">
      <x:c r="A175" s="61" t="str">
        <x:v>Y-174</x:v>
      </x:c>
      <x:c r="B175" s="61" t="str">
        <x:v>Samurai Predator</x:v>
      </x:c>
      <x:c r="C175" s="61" t="str"/>
      <x:c r="D175" s="61" t="str">
        <x:v>Individu nommé ou surnommé</x:v>
      </x:c>
      <x:c r="E175" s="61" t="str">
        <x:v>Jeu vidéo</x:v>
      </x:c>
      <x:c r="F175" s="61" t="str">
        <x:v>Predator: Hunting Grounds</x:v>
      </x:c>
      <x:c r="G175" s="61" t="str">
        <x:v>Univers étendu licencié / catalogué</x:v>
      </x:c>
      <x:c r="H175" s="61" t="str"/>
      <x:c r="I175" s="61" t="str"/>
      <x:c r="J175" s="61" t="str">
        <x:v>Oui</x:v>
      </x:c>
      <x:c r="K175" s="61" t="str">
        <x:v>https://avp.fandom.com/wiki/Samurai_Predator</x:v>
      </x:c>
      <x:c r="L175" s="59" t="str">
        <x:v>Jeu vidéo</x:v>
      </x:c>
    </x:row>
    <x:row r="176">
      <x:c r="A176" s="61" t="str">
        <x:v>Y-175</x:v>
      </x:c>
      <x:c r="B176" s="61" t="str">
        <x:v>Scar</x:v>
      </x:c>
      <x:c r="C176" s="61" t="str"/>
      <x:c r="D176" s="61" t="str">
        <x:v>Individu nommé ou surnommé</x:v>
      </x:c>
      <x:c r="E176" s="61" t="str">
        <x:v>Film / animation • Jeu vidéo</x:v>
      </x:c>
      <x:c r="F176" s="61" t="str">
        <x:v>Alien vs. Predator (2004)</x:v>
      </x:c>
      <x:c r="G176" s="61" t="str">
        <x:v>Écran officiel / licencié</x:v>
      </x:c>
      <x:c r="H176" s="61" t="str"/>
      <x:c r="I176" s="61" t="str"/>
      <x:c r="J176" s="61" t="str">
        <x:v>Oui</x:v>
      </x:c>
      <x:c r="K176" s="61" t="str">
        <x:v>https://avp.fandom.com/wiki/Scar</x:v>
      </x:c>
      <x:c r="L176" s="59" t="str">
        <x:v>Film / animation</x:v>
      </x:c>
    </x:row>
    <x:row r="177">
      <x:c r="A177" s="61" t="str">
        <x:v>Y-176</x:v>
      </x:c>
      <x:c r="B177" s="61" t="str">
        <x:v>Scar (Shell)</x:v>
      </x:c>
      <x:c r="C177" s="61" t="str"/>
      <x:c r="D177" s="61" t="str">
        <x:v>Individu nommé ou surnommé</x:v>
      </x:c>
      <x:c r="E177" s="61" t="str">
        <x:v>Univers étendu (comic/roman/audio/jeu)</x:v>
      </x:c>
      <x:c r="F177" s="61" t="str">
        <x:v>Voir la source individuelle</x:v>
      </x:c>
      <x:c r="G177" s="61" t="str">
        <x:v>Univers étendu licencié / catalogué</x:v>
      </x:c>
      <x:c r="H177" s="61" t="str"/>
      <x:c r="I177" s="61" t="str"/>
      <x:c r="J177" s="61" t="str">
        <x:v>Oui</x:v>
      </x:c>
      <x:c r="K177" s="61" t="str">
        <x:v>https://avp.fandom.com/wiki/Scar_%28Shell%29</x:v>
      </x:c>
      <x:c r="L177" s="59" t="str">
        <x:v>Univers étendu</x:v>
      </x:c>
    </x:row>
    <x:row r="178">
      <x:c r="A178" s="61" t="str">
        <x:v>Y-177</x:v>
      </x:c>
      <x:c r="B178" s="61" t="str">
        <x:v>Scarface</x:v>
      </x:c>
      <x:c r="C178" s="61" t="str"/>
      <x:c r="D178" s="61" t="str">
        <x:v>Individu nommé ou surnommé</x:v>
      </x:c>
      <x:c r="E178" s="61" t="str">
        <x:v>Jeu vidéo</x:v>
      </x:c>
      <x:c r="F178" s="61" t="str">
        <x:v>Predator: Concrete Jungle (2005)</x:v>
      </x:c>
      <x:c r="G178" s="61" t="str">
        <x:v>Univers étendu licencié / catalogué</x:v>
      </x:c>
      <x:c r="H178" s="61" t="str"/>
      <x:c r="I178" s="61" t="str"/>
      <x:c r="J178" s="61" t="str">
        <x:v>Oui</x:v>
      </x:c>
      <x:c r="K178" s="61" t="str">
        <x:v>https://avp.fandom.com/wiki/Scarface</x:v>
      </x:c>
      <x:c r="L178" s="59" t="str">
        <x:v>Jeu vidéo</x:v>
      </x:c>
    </x:row>
    <x:row r="179">
      <x:c r="A179" s="61" t="str">
        <x:v>Y-178</x:v>
      </x:c>
      <x:c r="B179" s="61" t="str">
        <x:v>Scavage Predator</x:v>
      </x:c>
      <x:c r="C179" s="61" t="str"/>
      <x:c r="D179" s="61" t="str">
        <x:v>Individu nommé ou surnommé</x:v>
      </x:c>
      <x:c r="E179" s="61" t="str">
        <x:v>Figurine / jouet</x:v>
      </x:c>
      <x:c r="F179" s="61" t="str">
        <x:v>Voir la source individuelle</x:v>
      </x:c>
      <x:c r="G179" s="61" t="str">
        <x:v>Création de merchandising licenciée</x:v>
      </x:c>
      <x:c r="H179" s="61" t="str"/>
      <x:c r="I179" s="61" t="str"/>
      <x:c r="J179" s="61" t="str">
        <x:v>Oui</x:v>
      </x:c>
      <x:c r="K179" s="61" t="str">
        <x:v>https://avp.fandom.com/wiki/Scavage_Predator</x:v>
      </x:c>
      <x:c r="L179" s="59" t="str">
        <x:v>Figurine / jouet</x:v>
      </x:c>
    </x:row>
    <x:row r="180">
      <x:c r="A180" s="61" t="str">
        <x:v>Y-179</x:v>
      </x:c>
      <x:c r="B180" s="61" t="str">
        <x:v>Scout</x:v>
      </x:c>
      <x:c r="C180" s="61" t="str"/>
      <x:c r="D180" s="61" t="str">
        <x:v>Individu nommé ou surnommé</x:v>
      </x:c>
      <x:c r="E180" s="61" t="str">
        <x:v>Film / animation • Comics • Roman / prose</x:v>
      </x:c>
      <x:c r="F180" s="61" t="str">
        <x:v>Predator 2 (1990)</x:v>
      </x:c>
      <x:c r="G180" s="61" t="str">
        <x:v>Écran officiel / licencié</x:v>
      </x:c>
      <x:c r="H180" s="61" t="str"/>
      <x:c r="I180" s="61" t="str"/>
      <x:c r="J180" s="61" t="str">
        <x:v>Oui</x:v>
      </x:c>
      <x:c r="K180" s="61" t="str">
        <x:v>https://avp.fandom.com/wiki/Scout</x:v>
      </x:c>
      <x:c r="L180" s="59" t="str">
        <x:v>Film / animation</x:v>
      </x:c>
    </x:row>
    <x:row r="181">
      <x:c r="A181" s="61" t="str">
        <x:v>Y-180</x:v>
      </x:c>
      <x:c r="B181" s="61" t="str">
        <x:v>Second Heavy Predator</x:v>
      </x:c>
      <x:c r="C181" s="61" t="str"/>
      <x:c r="D181" s="61" t="str">
        <x:v>Individu anonyme désigné</x:v>
      </x:c>
      <x:c r="E181" s="61" t="str">
        <x:v>Univers étendu (comic/roman/audio/jeu)</x:v>
      </x:c>
      <x:c r="F181" s="61" t="str">
        <x:v>Voir la source individuelle</x:v>
      </x:c>
      <x:c r="G181" s="61" t="str">
        <x:v>Univers étendu licencié / catalogué</x:v>
      </x:c>
      <x:c r="H181" s="61" t="str"/>
      <x:c r="I181" s="61" t="str"/>
      <x:c r="J181" s="61" t="str">
        <x:v>Oui</x:v>
      </x:c>
      <x:c r="K181" s="61" t="str">
        <x:v>https://avp.fandom.com/wiki/Second_Heavy_Predator</x:v>
      </x:c>
      <x:c r="L181" s="59" t="str">
        <x:v>Univers étendu</x:v>
      </x:c>
    </x:row>
    <x:row r="182">
      <x:c r="A182" s="61" t="str">
        <x:v>Y-181</x:v>
      </x:c>
      <x:c r="B182" s="61" t="str">
        <x:v>Second Light Predator</x:v>
      </x:c>
      <x:c r="C182" s="61" t="str"/>
      <x:c r="D182" s="61" t="str">
        <x:v>Individu anonyme désigné</x:v>
      </x:c>
      <x:c r="E182" s="61" t="str">
        <x:v>Univers étendu (comic/roman/audio/jeu)</x:v>
      </x:c>
      <x:c r="F182" s="61" t="str">
        <x:v>Voir la source individuelle</x:v>
      </x:c>
      <x:c r="G182" s="61" t="str">
        <x:v>Univers étendu licencié / catalogué</x:v>
      </x:c>
      <x:c r="H182" s="61" t="str"/>
      <x:c r="I182" s="61" t="str"/>
      <x:c r="J182" s="61" t="str">
        <x:v>Oui</x:v>
      </x:c>
      <x:c r="K182" s="61" t="str">
        <x:v>https://avp.fandom.com/wiki/Second_Light_Predator</x:v>
      </x:c>
      <x:c r="L182" s="59" t="str">
        <x:v>Univers étendu</x:v>
      </x:c>
    </x:row>
    <x:row r="183">
      <x:c r="A183" s="61" t="str">
        <x:v>Y-182</x:v>
      </x:c>
      <x:c r="B183" s="61" t="str">
        <x:v>Second POC Predator</x:v>
      </x:c>
      <x:c r="C183" s="61" t="str"/>
      <x:c r="D183" s="61" t="str">
        <x:v>Individu anonyme désigné</x:v>
      </x:c>
      <x:c r="E183" s="61" t="str">
        <x:v>Univers étendu (comic/roman/audio/jeu)</x:v>
      </x:c>
      <x:c r="F183" s="61" t="str">
        <x:v>Voir la source individuelle</x:v>
      </x:c>
      <x:c r="G183" s="61" t="str">
        <x:v>Univers étendu licencié / catalogué</x:v>
      </x:c>
      <x:c r="H183" s="61" t="str"/>
      <x:c r="I183" s="61" t="str"/>
      <x:c r="J183" s="61" t="str">
        <x:v>Oui</x:v>
      </x:c>
      <x:c r="K183" s="61" t="str">
        <x:v>https://avp.fandom.com/wiki/Second_POC_Predator</x:v>
      </x:c>
      <x:c r="L183" s="59" t="str">
        <x:v>Univers étendu</x:v>
      </x:c>
    </x:row>
    <x:row r="184">
      <x:c r="A184" s="61" t="str">
        <x:v>Y-183</x:v>
      </x:c>
      <x:c r="B184" s="61" t="str">
        <x:v>See-through Slasher</x:v>
      </x:c>
      <x:c r="C184" s="61" t="str"/>
      <x:c r="D184" s="61" t="str">
        <x:v>Individu nommé ou surnommé</x:v>
      </x:c>
      <x:c r="E184" s="61" t="str">
        <x:v>Comics</x:v>
      </x:c>
      <x:c r="F184" s="61" t="str">
        <x:v>Batman versus Predator</x:v>
      </x:c>
      <x:c r="G184" s="61" t="str">
        <x:v>Univers étendu licencié / catalogué</x:v>
      </x:c>
      <x:c r="H184" s="61" t="str"/>
      <x:c r="I184" s="61" t="str"/>
      <x:c r="J184" s="61" t="str">
        <x:v>Oui</x:v>
      </x:c>
      <x:c r="K184" s="61" t="str">
        <x:v>https://avp.fandom.com/wiki/See-through_Slasher</x:v>
      </x:c>
      <x:c r="L184" s="59" t="str">
        <x:v>Comics</x:v>
      </x:c>
    </x:row>
    <x:row r="185">
      <x:c r="A185" s="61" t="str">
        <x:v>Y-184</x:v>
      </x:c>
      <x:c r="B185" s="61" t="str">
        <x:v>Serpent Hunter Predator</x:v>
      </x:c>
      <x:c r="C185" s="61" t="str"/>
      <x:c r="D185" s="61" t="str">
        <x:v>Alias de figurine</x:v>
      </x:c>
      <x:c r="E185" s="61" t="str">
        <x:v>Figurine / jouet</x:v>
      </x:c>
      <x:c r="F185" s="61" t="str">
        <x:v>NECA</x:v>
      </x:c>
      <x:c r="G185" s="61" t="str">
        <x:v>Alias / doublon</x:v>
      </x:c>
      <x:c r="H185" s="61" t="str">
        <x:v>Alien Head Predator</x:v>
      </x:c>
      <x:c r="I185" s="61" t="str"/>
      <x:c r="J185" s="61" t="str">
        <x:v>Alias</x:v>
      </x:c>
      <x:c r="K185" s="61" t="str">
        <x:v>https://avp.fandom.com/wiki/Serpent_Hunter_Predator</x:v>
      </x:c>
      <x:c r="L185" s="59" t="str">
        <x:v>Figurine / jouet</x:v>
      </x:c>
    </x:row>
    <x:row r="186">
      <x:c r="A186" s="61" t="str">
        <x:v>Y-185</x:v>
      </x:c>
      <x:c r="B186" s="61" t="str">
        <x:v>Set-Thwei</x:v>
      </x:c>
      <x:c r="C186" s="61" t="str"/>
      <x:c r="D186" s="61" t="str">
        <x:v>Individu nommé ou surnommé</x:v>
      </x:c>
      <x:c r="E186" s="61" t="str">
        <x:v>Univers étendu (comic/roman/audio/jeu)</x:v>
      </x:c>
      <x:c r="F186" s="61" t="str">
        <x:v>Voir la source individuelle</x:v>
      </x:c>
      <x:c r="G186" s="61" t="str">
        <x:v>Univers étendu licencié / catalogué</x:v>
      </x:c>
      <x:c r="H186" s="61" t="str"/>
      <x:c r="I186" s="61" t="str"/>
      <x:c r="J186" s="61" t="str">
        <x:v>Oui</x:v>
      </x:c>
      <x:c r="K186" s="61" t="str">
        <x:v>https://avp.fandom.com/wiki/Set-Thwei</x:v>
      </x:c>
      <x:c r="L186" s="59" t="str">
        <x:v>Univers étendu</x:v>
      </x:c>
    </x:row>
    <x:row r="187">
      <x:c r="A187" s="61" t="str">
        <x:v>Y-186</x:v>
      </x:c>
      <x:c r="B187" s="61" t="str">
        <x:v>Shadow Predator</x:v>
      </x:c>
      <x:c r="C187" s="61" t="str"/>
      <x:c r="D187" s="61" t="str">
        <x:v>Alias de production / figurine</x:v>
      </x:c>
      <x:c r="E187" s="61" t="str">
        <x:v>Film / animation • Figurine / jouet</x:v>
      </x:c>
      <x:c r="F187" s="61" t="str">
        <x:v>Predator 2 / NECA</x:v>
      </x:c>
      <x:c r="G187" s="61" t="str">
        <x:v>Alias / doublon</x:v>
      </x:c>
      <x:c r="H187" s="61" t="str">
        <x:v>Snake</x:v>
      </x:c>
      <x:c r="I187" s="61" t="str"/>
      <x:c r="J187" s="61" t="str">
        <x:v>Alias</x:v>
      </x:c>
      <x:c r="K187" s="61" t="str">
        <x:v>https://avp.fandom.com/wiki/Shadow_Predator</x:v>
      </x:c>
      <x:c r="L187" s="59" t="str">
        <x:v>Film / animation</x:v>
      </x:c>
    </x:row>
    <x:row r="188">
      <x:c r="A188" s="61" t="str">
        <x:v>Y-187</x:v>
      </x:c>
      <x:c r="B188" s="61" t="str">
        <x:v>Shaman</x:v>
      </x:c>
      <x:c r="C188" s="61" t="str">
        <x:v>Hippie Predator</x:v>
      </x:c>
      <x:c r="D188" s="61" t="str">
        <x:v>Individu nommé ou surnommé</x:v>
      </x:c>
      <x:c r="E188" s="61" t="str">
        <x:v>Film / animation</x:v>
      </x:c>
      <x:c r="F188" s="61" t="str">
        <x:v>Predator 2 (1990)</x:v>
      </x:c>
      <x:c r="G188" s="61" t="str">
        <x:v>Écran officiel / licencié</x:v>
      </x:c>
      <x:c r="H188" s="61" t="str"/>
      <x:c r="I188" s="61" t="str"/>
      <x:c r="J188" s="61" t="str">
        <x:v>Oui</x:v>
      </x:c>
      <x:c r="K188" s="61" t="str">
        <x:v>https://avp.fandom.com/wiki/Shaman</x:v>
      </x:c>
      <x:c r="L188" s="59" t="str">
        <x:v>Film / animation</x:v>
      </x:c>
    </x:row>
    <x:row r="189">
      <x:c r="A189" s="61" t="str">
        <x:v>Y-188</x:v>
      </x:c>
      <x:c r="B189" s="61" t="str">
        <x:v>Shamana</x:v>
      </x:c>
      <x:c r="C189" s="61" t="str"/>
      <x:c r="D189" s="61" t="str">
        <x:v>Individu nommé ou surnommé</x:v>
      </x:c>
      <x:c r="E189" s="61" t="str">
        <x:v>Roman / prose</x:v>
      </x:c>
      <x:c r="F189" s="61" t="str">
        <x:v>Voir la source individuelle</x:v>
      </x:c>
      <x:c r="G189" s="61" t="str">
        <x:v>Univers étendu licencié / catalogué</x:v>
      </x:c>
      <x:c r="H189" s="61" t="str"/>
      <x:c r="I189" s="61" t="str"/>
      <x:c r="J189" s="61" t="str">
        <x:v>Oui</x:v>
      </x:c>
      <x:c r="K189" s="61" t="str">
        <x:v>https://avp.fandom.com/wiki/Shamana</x:v>
      </x:c>
      <x:c r="L189" s="59" t="str">
        <x:v>Roman / prose</x:v>
      </x:c>
    </x:row>
    <x:row r="190">
      <x:c r="A190" s="61" t="str">
        <x:v>Y-189</x:v>
      </x:c>
      <x:c r="B190" s="61" t="str">
        <x:v>Shesh-Kuk</x:v>
      </x:c>
      <x:c r="C190" s="61" t="str"/>
      <x:c r="D190" s="61" t="str">
        <x:v>Individu nommé ou surnommé</x:v>
      </x:c>
      <x:c r="E190" s="61" t="str">
        <x:v>Roman / prose</x:v>
      </x:c>
      <x:c r="F190" s="61" t="str">
        <x:v>Voir la source individuelle</x:v>
      </x:c>
      <x:c r="G190" s="61" t="str">
        <x:v>Univers étendu licencié / catalogué</x:v>
      </x:c>
      <x:c r="H190" s="61" t="str"/>
      <x:c r="I190" s="61" t="str"/>
      <x:c r="J190" s="61" t="str">
        <x:v>Oui</x:v>
      </x:c>
      <x:c r="K190" s="61" t="str">
        <x:v>https://avp.fandom.com/wiki/Shesh-Kuk</x:v>
      </x:c>
      <x:c r="L190" s="59" t="str">
        <x:v>Roman / prose</x:v>
      </x:c>
    </x:row>
    <x:row r="191">
      <x:c r="A191" s="61" t="str">
        <x:v>Y-190</x:v>
      </x:c>
      <x:c r="B191" s="61" t="str">
        <x:v>Shorty</x:v>
      </x:c>
      <x:c r="C191" s="61" t="str"/>
      <x:c r="D191" s="61" t="str">
        <x:v>Individu nommé ou surnommé</x:v>
      </x:c>
      <x:c r="E191" s="61" t="str">
        <x:v>Comics</x:v>
      </x:c>
      <x:c r="F191" s="61" t="str">
        <x:v>Voir la source individuelle</x:v>
      </x:c>
      <x:c r="G191" s="61" t="str">
        <x:v>Univers étendu licencié / catalogué</x:v>
      </x:c>
      <x:c r="H191" s="61" t="str"/>
      <x:c r="I191" s="61" t="str"/>
      <x:c r="J191" s="61" t="str">
        <x:v>Oui</x:v>
      </x:c>
      <x:c r="K191" s="61" t="str">
        <x:v>https://avp.fandom.com/wiki/Shorty</x:v>
      </x:c>
      <x:c r="L191" s="59" t="str">
        <x:v>Comics</x:v>
      </x:c>
    </x:row>
    <x:row r="192">
      <x:c r="A192" s="61" t="str">
        <x:v>Y-191</x:v>
      </x:c>
      <x:c r="B192" s="61" t="str">
        <x:v>Shriek</x:v>
      </x:c>
      <x:c r="C192" s="61" t="str"/>
      <x:c r="D192" s="61" t="str">
        <x:v>Individu nommé ou surnommé</x:v>
      </x:c>
      <x:c r="E192" s="61" t="str">
        <x:v>Univers étendu (comic/roman/audio/jeu)</x:v>
      </x:c>
      <x:c r="F192" s="61" t="str">
        <x:v>Voir la source individuelle</x:v>
      </x:c>
      <x:c r="G192" s="61" t="str">
        <x:v>Univers étendu licencié / catalogué</x:v>
      </x:c>
      <x:c r="H192" s="61" t="str"/>
      <x:c r="I192" s="61" t="str"/>
      <x:c r="J192" s="61" t="str">
        <x:v>Oui</x:v>
      </x:c>
      <x:c r="K192" s="61" t="str">
        <x:v>https://avp.fandom.com/wiki/Shriek</x:v>
      </x:c>
      <x:c r="L192" s="59" t="str">
        <x:v>Univers étendu</x:v>
      </x:c>
    </x:row>
    <x:row r="193">
      <x:c r="A193" s="61" t="str">
        <x:v>Y-192</x:v>
      </x:c>
      <x:c r="B193" s="61" t="str">
        <x:v>Sister Midnight</x:v>
      </x:c>
      <x:c r="C193" s="61" t="str"/>
      <x:c r="D193" s="61" t="str">
        <x:v>Individu nommé ou surnommé</x:v>
      </x:c>
      <x:c r="E193" s="61" t="str">
        <x:v>Univers étendu (comic/roman/audio/jeu)</x:v>
      </x:c>
      <x:c r="F193" s="61" t="str">
        <x:v>Voir la source individuelle</x:v>
      </x:c>
      <x:c r="G193" s="61" t="str">
        <x:v>Univers étendu licencié / catalogué</x:v>
      </x:c>
      <x:c r="H193" s="61" t="str"/>
      <x:c r="I193" s="61" t="str"/>
      <x:c r="J193" s="61" t="str">
        <x:v>Oui</x:v>
      </x:c>
      <x:c r="K193" s="61" t="str">
        <x:v>https://avp.fandom.com/wiki/Sister_Midnight</x:v>
      </x:c>
      <x:c r="L193" s="59" t="str">
        <x:v>Univers étendu</x:v>
      </x:c>
    </x:row>
    <x:row r="194">
      <x:c r="A194" s="61" t="str">
        <x:v>Y-193</x:v>
      </x:c>
      <x:c r="B194" s="61" t="str">
        <x:v>Skemte</x:v>
      </x:c>
      <x:c r="C194" s="61" t="str"/>
      <x:c r="D194" s="61" t="str">
        <x:v>Individu nommé ou surnommé</x:v>
      </x:c>
      <x:c r="E194" s="61" t="str">
        <x:v>Univers étendu (comic/roman/audio/jeu)</x:v>
      </x:c>
      <x:c r="F194" s="61" t="str">
        <x:v>Voir la source individuelle</x:v>
      </x:c>
      <x:c r="G194" s="61" t="str">
        <x:v>Univers étendu licencié / catalogué</x:v>
      </x:c>
      <x:c r="H194" s="61" t="str"/>
      <x:c r="I194" s="61" t="str"/>
      <x:c r="J194" s="61" t="str">
        <x:v>Oui</x:v>
      </x:c>
      <x:c r="K194" s="61" t="str">
        <x:v>https://avp.fandom.com/wiki/Skemte</x:v>
      </x:c>
      <x:c r="L194" s="59" t="str">
        <x:v>Univers étendu</x:v>
      </x:c>
    </x:row>
    <x:row r="195">
      <x:c r="A195" s="61" t="str">
        <x:v>Y-194</x:v>
      </x:c>
      <x:c r="B195" s="61" t="str">
        <x:v>Skinner</x:v>
      </x:c>
      <x:c r="C195" s="61" t="str"/>
      <x:c r="D195" s="61" t="str">
        <x:v>Individu nommé ou surnommé</x:v>
      </x:c>
      <x:c r="E195" s="61" t="str">
        <x:v>Univers étendu (comic/roman/audio/jeu)</x:v>
      </x:c>
      <x:c r="F195" s="61" t="str">
        <x:v>Voir la source individuelle</x:v>
      </x:c>
      <x:c r="G195" s="61" t="str">
        <x:v>Univers étendu licencié / catalogué</x:v>
      </x:c>
      <x:c r="H195" s="61" t="str"/>
      <x:c r="I195" s="61" t="str"/>
      <x:c r="J195" s="61" t="str">
        <x:v>Oui</x:v>
      </x:c>
      <x:c r="K195" s="61" t="str">
        <x:v>https://avp.fandom.com/wiki/Skinner</x:v>
      </x:c>
      <x:c r="L195" s="59" t="str">
        <x:v>Univers étendu</x:v>
      </x:c>
    </x:row>
    <x:row r="196">
      <x:c r="A196" s="61" t="str">
        <x:v>Y-195</x:v>
      </x:c>
      <x:c r="B196" s="61" t="str">
        <x:v>Skl'da'-si</x:v>
      </x:c>
      <x:c r="C196" s="61" t="str"/>
      <x:c r="D196" s="61" t="str">
        <x:v>Individu nommé ou surnommé</x:v>
      </x:c>
      <x:c r="E196" s="61" t="str">
        <x:v>Univers étendu (comic/roman/audio/jeu)</x:v>
      </x:c>
      <x:c r="F196" s="61" t="str">
        <x:v>Voir la source individuelle</x:v>
      </x:c>
      <x:c r="G196" s="61" t="str">
        <x:v>Univers étendu licencié / catalogué</x:v>
      </x:c>
      <x:c r="H196" s="61" t="str"/>
      <x:c r="I196" s="61" t="str"/>
      <x:c r="J196" s="61" t="str">
        <x:v>Oui</x:v>
      </x:c>
      <x:c r="K196" s="61" t="str">
        <x:v>https://avp.fandom.com/wiki/Skl'da'-si</x:v>
      </x:c>
      <x:c r="L196" s="59" t="str">
        <x:v>Univers étendu</x:v>
      </x:c>
    </x:row>
    <x:row r="197">
      <x:c r="A197" s="61" t="str">
        <x:v>Y-196</x:v>
      </x:c>
      <x:c r="B197" s="61" t="str">
        <x:v>Sky Devil</x:v>
      </x:c>
      <x:c r="C197" s="61" t="str"/>
      <x:c r="D197" s="61" t="str">
        <x:v>Individu nommé ou surnommé</x:v>
      </x:c>
      <x:c r="E197" s="61" t="str">
        <x:v>Univers étendu (comic/roman/audio/jeu)</x:v>
      </x:c>
      <x:c r="F197" s="61" t="str">
        <x:v>Voir la source individuelle</x:v>
      </x:c>
      <x:c r="G197" s="61" t="str">
        <x:v>Univers étendu licencié / catalogué</x:v>
      </x:c>
      <x:c r="H197" s="61" t="str"/>
      <x:c r="I197" s="61" t="str"/>
      <x:c r="J197" s="61" t="str">
        <x:v>Oui</x:v>
      </x:c>
      <x:c r="K197" s="61" t="str">
        <x:v>https://avp.fandom.com/wiki/Sky_Devil</x:v>
      </x:c>
      <x:c r="L197" s="59" t="str">
        <x:v>Univers étendu</x:v>
      </x:c>
    </x:row>
    <x:row r="198">
      <x:c r="A198" s="61" t="str">
        <x:v>Y-197</x:v>
      </x:c>
      <x:c r="B198" s="61" t="str">
        <x:v>Slats</x:v>
      </x:c>
      <x:c r="C198" s="61" t="str"/>
      <x:c r="D198" s="61" t="str">
        <x:v>Individu nommé ou surnommé</x:v>
      </x:c>
      <x:c r="E198" s="61" t="str">
        <x:v>Univers étendu (comic/roman/audio/jeu)</x:v>
      </x:c>
      <x:c r="F198" s="61" t="str">
        <x:v>Voir la source individuelle</x:v>
      </x:c>
      <x:c r="G198" s="61" t="str">
        <x:v>Univers étendu licencié / catalogué</x:v>
      </x:c>
      <x:c r="H198" s="61" t="str"/>
      <x:c r="I198" s="61" t="str"/>
      <x:c r="J198" s="61" t="str">
        <x:v>Oui</x:v>
      </x:c>
      <x:c r="K198" s="61" t="str">
        <x:v>https://avp.fandom.com/wiki/Slats</x:v>
      </x:c>
      <x:c r="L198" s="59" t="str">
        <x:v>Univers étendu</x:v>
      </x:c>
    </x:row>
    <x:row r="199">
      <x:c r="A199" s="61" t="str">
        <x:v>Y-198</x:v>
      </x:c>
      <x:c r="B199" s="61" t="str">
        <x:v>Smiley</x:v>
      </x:c>
      <x:c r="C199" s="61" t="str"/>
      <x:c r="D199" s="61" t="str">
        <x:v>Individu nommé ou surnommé</x:v>
      </x:c>
      <x:c r="E199" s="61" t="str">
        <x:v>Comics • Roman / prose</x:v>
      </x:c>
      <x:c r="F199" s="61" t="str">
        <x:v>Voir la source individuelle</x:v>
      </x:c>
      <x:c r="G199" s="61" t="str">
        <x:v>Univers étendu licencié / catalogué</x:v>
      </x:c>
      <x:c r="H199" s="61" t="str"/>
      <x:c r="I199" s="61" t="str"/>
      <x:c r="J199" s="61" t="str">
        <x:v>Oui</x:v>
      </x:c>
      <x:c r="K199" s="61" t="str">
        <x:v>https://avp.fandom.com/wiki/Smiley</x:v>
      </x:c>
      <x:c r="L199" s="59" t="str">
        <x:v>Comics</x:v>
      </x:c>
    </x:row>
    <x:row r="200">
      <x:c r="A200" s="61" t="str">
        <x:v>Y-199</x:v>
      </x:c>
      <x:c r="B200" s="61" t="str">
        <x:v>Snake</x:v>
      </x:c>
      <x:c r="C200" s="61" t="str">
        <x:v>Shadow Predator</x:v>
      </x:c>
      <x:c r="D200" s="61" t="str">
        <x:v>Individu nommé ou surnommé</x:v>
      </x:c>
      <x:c r="E200" s="61" t="str">
        <x:v>Film / animation</x:v>
      </x:c>
      <x:c r="F200" s="61" t="str">
        <x:v>Predator 2 (1990)</x:v>
      </x:c>
      <x:c r="G200" s="61" t="str">
        <x:v>Écran officiel / licencié</x:v>
      </x:c>
      <x:c r="H200" s="61" t="str"/>
      <x:c r="I200" s="61" t="str"/>
      <x:c r="J200" s="61" t="str">
        <x:v>Oui</x:v>
      </x:c>
      <x:c r="K200" s="61" t="str">
        <x:v>https://avp.fandom.com/wiki/Snake</x:v>
      </x:c>
      <x:c r="L200" s="59" t="str">
        <x:v>Film / animation</x:v>
      </x:c>
    </x:row>
    <x:row r="201">
      <x:c r="A201" s="61" t="str">
        <x:v>Y-200</x:v>
      </x:c>
      <x:c r="B201" s="61" t="str">
        <x:v>Spartan</x:v>
      </x:c>
      <x:c r="C201" s="61" t="str"/>
      <x:c r="D201" s="61" t="str">
        <x:v>Individu nommé ou surnommé</x:v>
      </x:c>
      <x:c r="E201" s="61" t="str">
        <x:v>Jeu vidéo</x:v>
      </x:c>
      <x:c r="F201" s="61" t="str">
        <x:v>Aliens vs. Predator (2010)</x:v>
      </x:c>
      <x:c r="G201" s="61" t="str">
        <x:v>Univers étendu licencié / catalogué</x:v>
      </x:c>
      <x:c r="H201" s="61" t="str"/>
      <x:c r="I201" s="61" t="str"/>
      <x:c r="J201" s="61" t="str">
        <x:v>Oui</x:v>
      </x:c>
      <x:c r="K201" s="61" t="str">
        <x:v>https://avp.fandom.com/wiki/Spartan</x:v>
      </x:c>
      <x:c r="L201" s="59" t="str">
        <x:v>Jeu vidéo</x:v>
      </x:c>
    </x:row>
    <x:row r="202">
      <x:c r="A202" s="61" t="str">
        <x:v>Y-201</x:v>
      </x:c>
      <x:c r="B202" s="61" t="str">
        <x:v>Spear Master</x:v>
      </x:c>
      <x:c r="C202" s="61" t="str"/>
      <x:c r="D202" s="61" t="str">
        <x:v>Rang / classe</x:v>
      </x:c>
      <x:c r="E202" s="61" t="str">
        <x:v>Jeu vidéo</x:v>
      </x:c>
      <x:c r="F202" s="61" t="str">
        <x:v>Jeux Alien/Predator</x:v>
      </x:c>
      <x:c r="G202" s="61" t="str">
        <x:v>Rang / classe</x:v>
      </x:c>
      <x:c r="H202" s="61" t="str"/>
      <x:c r="I202" s="61" t="str"/>
      <x:c r="J202" s="61" t="str">
        <x:v>Non (rang)</x:v>
      </x:c>
      <x:c r="K202" s="61" t="str">
        <x:v>https://avp.fandom.com/wiki/Spear_Master</x:v>
      </x:c>
      <x:c r="L202" s="59" t="str">
        <x:v>Jeu vidéo</x:v>
      </x:c>
    </x:row>
    <x:row r="203">
      <x:c r="A203" s="61" t="str">
        <x:v>Y-202</x:v>
      </x:c>
      <x:c r="B203" s="61" t="str">
        <x:v>Spiked Tail Predator</x:v>
      </x:c>
      <x:c r="C203" s="61" t="str"/>
      <x:c r="D203" s="61" t="str">
        <x:v>Individu nommé ou surnommé</x:v>
      </x:c>
      <x:c r="E203" s="61" t="str">
        <x:v>Figurine / jouet</x:v>
      </x:c>
      <x:c r="F203" s="61" t="str">
        <x:v>Voir la source individuelle</x:v>
      </x:c>
      <x:c r="G203" s="61" t="str">
        <x:v>Création de merchandising licenciée</x:v>
      </x:c>
      <x:c r="H203" s="61" t="str"/>
      <x:c r="I203" s="61" t="str"/>
      <x:c r="J203" s="61" t="str">
        <x:v>Oui</x:v>
      </x:c>
      <x:c r="K203" s="61" t="str">
        <x:v>https://avp.fandom.com/wiki/Spiked_Tail_Predator</x:v>
      </x:c>
      <x:c r="L203" s="59" t="str">
        <x:v>Figurine / jouet</x:v>
      </x:c>
    </x:row>
    <x:row r="204">
      <x:c r="A204" s="61" t="str">
        <x:v>Y-203</x:v>
      </x:c>
      <x:c r="B204" s="61" t="str">
        <x:v>Splitter</x:v>
      </x:c>
      <x:c r="C204" s="61" t="str"/>
      <x:c r="D204" s="61" t="str">
        <x:v>Individu nommé ou surnommé</x:v>
      </x:c>
      <x:c r="E204" s="61" t="str">
        <x:v>Comics</x:v>
      </x:c>
      <x:c r="F204" s="61" t="str">
        <x:v>Voir la source individuelle</x:v>
      </x:c>
      <x:c r="G204" s="61" t="str">
        <x:v>Univers étendu licencié / catalogué</x:v>
      </x:c>
      <x:c r="H204" s="61" t="str"/>
      <x:c r="I204" s="61" t="str"/>
      <x:c r="J204" s="61" t="str">
        <x:v>Oui</x:v>
      </x:c>
      <x:c r="K204" s="61" t="str">
        <x:v>https://avp.fandom.com/wiki/Splitter</x:v>
      </x:c>
      <x:c r="L204" s="59" t="str">
        <x:v>Comics</x:v>
      </x:c>
    </x:row>
    <x:row r="205">
      <x:c r="A205" s="61" t="str">
        <x:v>Y-204</x:v>
      </x:c>
      <x:c r="B205" s="61" t="str">
        <x:v>Stalker (Bad Blood)</x:v>
      </x:c>
      <x:c r="C205" s="61" t="str"/>
      <x:c r="D205" s="61" t="str">
        <x:v>Individu nommé ou surnommé</x:v>
      </x:c>
      <x:c r="E205" s="61" t="str">
        <x:v>Univers étendu (comic/roman/audio/jeu)</x:v>
      </x:c>
      <x:c r="F205" s="61" t="str">
        <x:v>Voir la source individuelle</x:v>
      </x:c>
      <x:c r="G205" s="61" t="str">
        <x:v>Univers étendu licencié / catalogué</x:v>
      </x:c>
      <x:c r="H205" s="61" t="str"/>
      <x:c r="I205" s="61" t="str"/>
      <x:c r="J205" s="61" t="str">
        <x:v>Oui</x:v>
      </x:c>
      <x:c r="K205" s="61" t="str">
        <x:v>https://avp.fandom.com/wiki/Stalker_%28Bad_Blood%29</x:v>
      </x:c>
      <x:c r="L205" s="59" t="str">
        <x:v>Univers étendu</x:v>
      </x:c>
    </x:row>
    <x:row r="206">
      <x:c r="A206" s="61" t="str">
        <x:v>Y-205</x:v>
      </x:c>
      <x:c r="B206" s="61" t="str">
        <x:v>Stalker (Elite Clan)</x:v>
      </x:c>
      <x:c r="C206" s="61" t="str"/>
      <x:c r="D206" s="61" t="str">
        <x:v>Individu / skin de jeu</x:v>
      </x:c>
      <x:c r="E206" s="61" t="str">
        <x:v>Jeu vidéo</x:v>
      </x:c>
      <x:c r="F206" s="61" t="str">
        <x:v>Aliens vs. Predator (2010)</x:v>
      </x:c>
      <x:c r="G206" s="61" t="str">
        <x:v>Univers étendu / merchandising licencié</x:v>
      </x:c>
      <x:c r="H206" s="61" t="str"/>
      <x:c r="I206" s="61" t="str"/>
      <x:c r="J206" s="61" t="str">
        <x:v>Oui</x:v>
      </x:c>
      <x:c r="K206" s="61" t="str">
        <x:v>https://avp.fandom.com/wiki/Stalker_%28Elite_Clan%29</x:v>
      </x:c>
      <x:c r="L206" s="59" t="str">
        <x:v>Jeu vidéo</x:v>
      </x:c>
    </x:row>
    <x:row r="207">
      <x:c r="A207" s="61" t="str">
        <x:v>Y-206</x:v>
      </x:c>
      <x:c r="B207" s="61" t="str">
        <x:v>Stalker (Lost Tribe)</x:v>
      </x:c>
      <x:c r="C207" s="61" t="str">
        <x:v>Brother Boar Predator</x:v>
      </x:c>
      <x:c r="D207" s="61" t="str">
        <x:v>Individu nommé ou surnommé</x:v>
      </x:c>
      <x:c r="E207" s="61" t="str">
        <x:v>Film / animation</x:v>
      </x:c>
      <x:c r="F207" s="61" t="str">
        <x:v>Predator 2 (1990)</x:v>
      </x:c>
      <x:c r="G207" s="61" t="str">
        <x:v>Écran officiel / licencié</x:v>
      </x:c>
      <x:c r="H207" s="61" t="str"/>
      <x:c r="I207" s="61" t="str"/>
      <x:c r="J207" s="61" t="str">
        <x:v>Oui</x:v>
      </x:c>
      <x:c r="K207" s="61" t="str">
        <x:v>https://avp.fandom.com/wiki/Stalker_%28Lost_Tribe%29</x:v>
      </x:c>
      <x:c r="L207" s="59" t="str">
        <x:v>Film / animation</x:v>
      </x:c>
    </x:row>
    <x:row r="208">
      <x:c r="A208" s="61" t="str">
        <x:v>Y-207</x:v>
      </x:c>
      <x:c r="B208" s="61" t="str">
        <x:v>Stalker (Night Hunter Clan)</x:v>
      </x:c>
      <x:c r="C208" s="61" t="str"/>
      <x:c r="D208" s="61" t="str">
        <x:v>Individu nommé ou surnommé</x:v>
      </x:c>
      <x:c r="E208" s="61" t="str">
        <x:v>Figurine / jouet</x:v>
      </x:c>
      <x:c r="F208" s="61" t="str">
        <x:v>Voir la source individuelle</x:v>
      </x:c>
      <x:c r="G208" s="61" t="str">
        <x:v>Création de merchandising licenciée</x:v>
      </x:c>
      <x:c r="H208" s="61" t="str"/>
      <x:c r="I208" s="61" t="str"/>
      <x:c r="J208" s="61" t="str">
        <x:v>Oui</x:v>
      </x:c>
      <x:c r="K208" s="61" t="str">
        <x:v>https://avp.fandom.com/wiki/Stalker_%28Night_Hunter_Clan%29</x:v>
      </x:c>
      <x:c r="L208" s="59" t="str">
        <x:v>Figurine / jouet</x:v>
      </x:c>
    </x:row>
    <x:row r="209">
      <x:c r="A209" s="61" t="str">
        <x:v>Y-208</x:v>
      </x:c>
      <x:c r="B209" s="61" t="str">
        <x:v>Stalker (title)</x:v>
      </x:c>
      <x:c r="C209" s="61" t="str"/>
      <x:c r="D209" s="61" t="str">
        <x:v>Rang / classe</x:v>
      </x:c>
      <x:c r="E209" s="61" t="str">
        <x:v>Jeu vidéo / univers étendu</x:v>
      </x:c>
      <x:c r="F209" s="61" t="str">
        <x:v>Franchise Predator</x:v>
      </x:c>
      <x:c r="G209" s="61" t="str">
        <x:v>Rang / classe</x:v>
      </x:c>
      <x:c r="H209" s="61" t="str"/>
      <x:c r="I209" s="61" t="str"/>
      <x:c r="J209" s="61" t="str">
        <x:v>Non (rang)</x:v>
      </x:c>
      <x:c r="K209" s="61" t="str">
        <x:v>https://avp.fandom.com/wiki/Stalker_%28title%29</x:v>
      </x:c>
      <x:c r="L209" s="59" t="str">
        <x:v>Jeu vidéo</x:v>
      </x:c>
    </x:row>
    <x:row r="210">
      <x:c r="A210" s="61" t="str">
        <x:v>Y-209</x:v>
      </x:c>
      <x:c r="B210" s="61" t="str">
        <x:v>Stone Heart</x:v>
      </x:c>
      <x:c r="C210" s="61" t="str"/>
      <x:c r="D210" s="61" t="str">
        <x:v>Individu nommé ou surnommé</x:v>
      </x:c>
      <x:c r="E210" s="61" t="str">
        <x:v>Jeu vidéo</x:v>
      </x:c>
      <x:c r="F210" s="61" t="str">
        <x:v>Predator: Concrete Jungle (2005)</x:v>
      </x:c>
      <x:c r="G210" s="61" t="str">
        <x:v>Univers étendu licencié / catalogué</x:v>
      </x:c>
      <x:c r="H210" s="61" t="str"/>
      <x:c r="I210" s="61" t="str"/>
      <x:c r="J210" s="61" t="str">
        <x:v>Oui</x:v>
      </x:c>
      <x:c r="K210" s="61" t="str">
        <x:v>https://avp.fandom.com/wiki/Stone_Heart</x:v>
      </x:c>
      <x:c r="L210" s="59" t="str">
        <x:v>Jeu vidéo</x:v>
      </x:c>
    </x:row>
    <x:row r="211">
      <x:c r="A211" s="61" t="str">
        <x:v>Y-210</x:v>
      </x:c>
      <x:c r="B211" s="61" t="str">
        <x:v>Super Predators</x:v>
      </x:c>
      <x:c r="C211" s="61" t="str"/>
      <x:c r="D211" s="61" t="str">
        <x:v>Groupe / branche</x:v>
      </x:c>
      <x:c r="E211" s="61" t="str">
        <x:v>Film / animation • Jeu vidéo • Figurine / jouet</x:v>
      </x:c>
      <x:c r="F211" s="61" t="str">
        <x:v>Predators (2010) et dérivés</x:v>
      </x:c>
      <x:c r="G211" s="61" t="str">
        <x:v>Groupe / catégorie</x:v>
      </x:c>
      <x:c r="H211" s="61" t="str"/>
      <x:c r="I211" s="61" t="str"/>
      <x:c r="J211" s="61" t="str">
        <x:v>Non (groupe)</x:v>
      </x:c>
      <x:c r="K211" s="61" t="str">
        <x:v>https://avp.fandom.com/wiki/Super_Predators</x:v>
      </x:c>
      <x:c r="L211" s="59" t="str">
        <x:v>Film / animation</x:v>
      </x:c>
    </x:row>
    <x:row r="212">
      <x:c r="A212" s="61" t="str">
        <x:v>Y-211</x:v>
      </x:c>
      <x:c r="B212" s="61" t="str">
        <x:v>Swift Knife</x:v>
      </x:c>
      <x:c r="C212" s="61" t="str"/>
      <x:c r="D212" s="61" t="str">
        <x:v>Individu nommé ou surnommé</x:v>
      </x:c>
      <x:c r="E212" s="61" t="str">
        <x:v>Jeu vidéo</x:v>
      </x:c>
      <x:c r="F212" s="61" t="str">
        <x:v>Predator: Concrete Jungle (2005)</x:v>
      </x:c>
      <x:c r="G212" s="61" t="str">
        <x:v>Univers étendu licencié / catalogué</x:v>
      </x:c>
      <x:c r="H212" s="61" t="str"/>
      <x:c r="I212" s="61" t="str"/>
      <x:c r="J212" s="61" t="str">
        <x:v>Oui</x:v>
      </x:c>
      <x:c r="K212" s="61" t="str">
        <x:v>https://avp.fandom.com/wiki/Swift_Knife</x:v>
      </x:c>
      <x:c r="L212" s="59" t="str">
        <x:v>Jeu vidéo</x:v>
      </x:c>
    </x:row>
    <x:row r="213">
      <x:c r="A213" s="61" t="str">
        <x:v>Y-212</x:v>
      </x:c>
      <x:c r="B213" s="61" t="str">
        <x:v>Ta'roga</x:v>
      </x:c>
      <x:c r="C213" s="61" t="str"/>
      <x:c r="D213" s="61" t="str">
        <x:v>Individu nommé ou surnommé</x:v>
      </x:c>
      <x:c r="E213" s="61" t="str">
        <x:v>Univers étendu (comic/roman/audio/jeu)</x:v>
      </x:c>
      <x:c r="F213" s="61" t="str">
        <x:v>Voir la source individuelle</x:v>
      </x:c>
      <x:c r="G213" s="61" t="str">
        <x:v>Univers étendu licencié / catalogué</x:v>
      </x:c>
      <x:c r="H213" s="61" t="str"/>
      <x:c r="I213" s="61" t="str"/>
      <x:c r="J213" s="61" t="str">
        <x:v>Oui</x:v>
      </x:c>
      <x:c r="K213" s="61" t="str">
        <x:v>https://avp.fandom.com/wiki/Ta'roga</x:v>
      </x:c>
      <x:c r="L213" s="59" t="str">
        <x:v>Univers étendu</x:v>
      </x:c>
    </x:row>
    <x:row r="214">
      <x:c r="A214" s="61" t="str">
        <x:v>Y-213</x:v>
      </x:c>
      <x:c r="B214" s="61" t="str">
        <x:v>Temple Guard Predator</x:v>
      </x:c>
      <x:c r="C214" s="61" t="str"/>
      <x:c r="D214" s="61" t="str">
        <x:v>Désignation de production / figurine</x:v>
      </x:c>
      <x:c r="E214" s="61" t="str">
        <x:v>Film / animation • Figurine / jouet</x:v>
      </x:c>
      <x:c r="F214" s="61" t="str">
        <x:v>Alien vs. Predator (2004) / NECA</x:v>
      </x:c>
      <x:c r="G214" s="61" t="str">
        <x:v>Écran officiel / licencié</x:v>
      </x:c>
      <x:c r="H214" s="61" t="str"/>
      <x:c r="I214" s="61" t="str"/>
      <x:c r="J214" s="61" t="str">
        <x:v>Oui</x:v>
      </x:c>
      <x:c r="K214" s="61" t="str">
        <x:v>https://avp.fandom.com/wiki/Temple_Guard_Predator</x:v>
      </x:c>
      <x:c r="L214" s="59" t="str">
        <x:v>Film / animation</x:v>
      </x:c>
    </x:row>
    <x:row r="215">
      <x:c r="A215" s="61" t="str">
        <x:v>Y-214</x:v>
      </x:c>
      <x:c r="B215" s="61" t="str">
        <x:v>The Devil</x:v>
      </x:c>
      <x:c r="C215" s="61" t="str"/>
      <x:c r="D215" s="61" t="str">
        <x:v>Individu nommé ou surnommé</x:v>
      </x:c>
      <x:c r="E215" s="61" t="str">
        <x:v>Univers étendu (comic/roman/audio/jeu)</x:v>
      </x:c>
      <x:c r="F215" s="61" t="str">
        <x:v>Voir la source individuelle</x:v>
      </x:c>
      <x:c r="G215" s="61" t="str">
        <x:v>Univers étendu licencié / catalogué</x:v>
      </x:c>
      <x:c r="H215" s="61" t="str"/>
      <x:c r="I215" s="61" t="str"/>
      <x:c r="J215" s="61" t="str">
        <x:v>Oui</x:v>
      </x:c>
      <x:c r="K215" s="61" t="str">
        <x:v>https://avp.fandom.com/wiki/The_Devil</x:v>
      </x:c>
      <x:c r="L215" s="59" t="str">
        <x:v>Univers étendu</x:v>
      </x:c>
    </x:row>
    <x:row r="216">
      <x:c r="A216" s="61" t="str">
        <x:v>Y-215</x:v>
      </x:c>
      <x:c r="B216" s="61" t="str">
        <x:v>Three Sparks (Aokigahara)</x:v>
      </x:c>
      <x:c r="C216" s="61" t="str"/>
      <x:c r="D216" s="61" t="str">
        <x:v>Groupe / collectif</x:v>
      </x:c>
      <x:c r="E216" s="61" t="str">
        <x:v>Univers étendu (comic/roman/audio/jeu)</x:v>
      </x:c>
      <x:c r="F216" s="61" t="str">
        <x:v>Voir la source individuelle</x:v>
      </x:c>
      <x:c r="G216" s="61" t="str">
        <x:v>Groupe / catégorie</x:v>
      </x:c>
      <x:c r="H216" s="61" t="str"/>
      <x:c r="I216" s="61" t="str"/>
      <x:c r="J216" s="61" t="str">
        <x:v>Non (groupe)</x:v>
      </x:c>
      <x:c r="K216" s="61" t="str">
        <x:v>https://avp.fandom.com/wiki/Three_Sparks_%28Aokigahara%29</x:v>
      </x:c>
      <x:c r="L216" s="59" t="str">
        <x:v>Univers étendu</x:v>
      </x:c>
    </x:row>
    <x:row r="217">
      <x:c r="A217" s="61" t="str">
        <x:v>Y-216</x:v>
      </x:c>
      <x:c r="B217" s="61" t="str">
        <x:v>Three-mandibled Predator</x:v>
      </x:c>
      <x:c r="C217" s="61" t="str"/>
      <x:c r="D217" s="61" t="str">
        <x:v>Individu nommé ou surnommé</x:v>
      </x:c>
      <x:c r="E217" s="61" t="str">
        <x:v>Comics</x:v>
      </x:c>
      <x:c r="F217" s="61" t="str">
        <x:v>Voir la source individuelle</x:v>
      </x:c>
      <x:c r="G217" s="61" t="str">
        <x:v>Univers étendu licencié / catalogué</x:v>
      </x:c>
      <x:c r="H217" s="61" t="str"/>
      <x:c r="I217" s="61" t="str"/>
      <x:c r="J217" s="61" t="str">
        <x:v>Oui</x:v>
      </x:c>
      <x:c r="K217" s="61" t="str">
        <x:v>https://avp.fandom.com/wiki/Three-mandibled_Predator</x:v>
      </x:c>
      <x:c r="L217" s="59" t="str">
        <x:v>Comics</x:v>
      </x:c>
    </x:row>
    <x:row r="218">
      <x:c r="A218" s="61" t="str">
        <x:v>Y-217</x:v>
      </x:c>
      <x:c r="B218" s="61" t="str">
        <x:v>Three-Spot</x:v>
      </x:c>
      <x:c r="C218" s="61" t="str"/>
      <x:c r="D218" s="61" t="str">
        <x:v>Individu nommé ou surnommé</x:v>
      </x:c>
      <x:c r="E218" s="61" t="str">
        <x:v>Comics</x:v>
      </x:c>
      <x:c r="F218" s="61" t="str">
        <x:v>Voir la source individuelle</x:v>
      </x:c>
      <x:c r="G218" s="61" t="str">
        <x:v>Univers étendu licencié / catalogué</x:v>
      </x:c>
      <x:c r="H218" s="61" t="str"/>
      <x:c r="I218" s="61" t="str"/>
      <x:c r="J218" s="61" t="str">
        <x:v>Oui</x:v>
      </x:c>
      <x:c r="K218" s="61" t="str">
        <x:v>https://avp.fandom.com/wiki/Three-Spot</x:v>
      </x:c>
      <x:c r="L218" s="59" t="str">
        <x:v>Comics</x:v>
      </x:c>
    </x:row>
    <x:row r="219">
      <x:c r="A219" s="61" t="str">
        <x:v>Y-218</x:v>
      </x:c>
      <x:c r="B219" s="61" t="str">
        <x:v>Tichinde</x:v>
      </x:c>
      <x:c r="C219" s="61" t="str"/>
      <x:c r="D219" s="61" t="str">
        <x:v>Individu nommé ou surnommé</x:v>
      </x:c>
      <x:c r="E219" s="61" t="str">
        <x:v>Comics • Roman / prose</x:v>
      </x:c>
      <x:c r="F219" s="61" t="str">
        <x:v>Aliens vs. Predator: Prey</x:v>
      </x:c>
      <x:c r="G219" s="61" t="str">
        <x:v>Univers étendu licencié / catalogué</x:v>
      </x:c>
      <x:c r="H219" s="61" t="str"/>
      <x:c r="I219" s="61" t="str"/>
      <x:c r="J219" s="61" t="str">
        <x:v>Oui</x:v>
      </x:c>
      <x:c r="K219" s="61" t="str">
        <x:v>https://avp.fandom.com/wiki/Tichinde</x:v>
      </x:c>
      <x:c r="L219" s="59" t="str">
        <x:v>Comics</x:v>
      </x:c>
    </x:row>
    <x:row r="220">
      <x:c r="A220" s="61" t="str">
        <x:v>Y-219</x:v>
      </x:c>
      <x:c r="B220" s="61" t="str">
        <x:v>Tli'uukop</x:v>
      </x:c>
      <x:c r="C220" s="61" t="str"/>
      <x:c r="D220" s="61" t="str">
        <x:v>Individu nommé ou surnommé</x:v>
      </x:c>
      <x:c r="E220" s="61" t="str">
        <x:v>Univers étendu (comic/roman/audio/jeu)</x:v>
      </x:c>
      <x:c r="F220" s="61" t="str">
        <x:v>Voir la source individuelle</x:v>
      </x:c>
      <x:c r="G220" s="61" t="str">
        <x:v>Univers étendu licencié / catalogué</x:v>
      </x:c>
      <x:c r="H220" s="61" t="str"/>
      <x:c r="I220" s="61" t="str"/>
      <x:c r="J220" s="61" t="str">
        <x:v>Oui</x:v>
      </x:c>
      <x:c r="K220" s="61" t="str">
        <x:v>https://avp.fandom.com/wiki/Tli'uukop</x:v>
      </x:c>
      <x:c r="L220" s="59" t="str">
        <x:v>Univers étendu</x:v>
      </x:c>
    </x:row>
    <x:row r="221">
      <x:c r="A221" s="61" t="str">
        <x:v>Y-220</x:v>
      </x:c>
      <x:c r="B221" s="61" t="str">
        <x:v>Top-Knot</x:v>
      </x:c>
      <x:c r="C221" s="61" t="str"/>
      <x:c r="D221" s="61" t="str">
        <x:v>Individu nommé ou surnommé</x:v>
      </x:c>
      <x:c r="E221" s="61" t="str">
        <x:v>Comics • Roman / prose</x:v>
      </x:c>
      <x:c r="F221" s="61" t="str">
        <x:v>Aliens vs. Predator: War / Hunter's Planet</x:v>
      </x:c>
      <x:c r="G221" s="61" t="str">
        <x:v>Univers étendu licencié / catalogué</x:v>
      </x:c>
      <x:c r="H221" s="61" t="str"/>
      <x:c r="I221" s="61" t="str"/>
      <x:c r="J221" s="61" t="str">
        <x:v>Oui</x:v>
      </x:c>
      <x:c r="K221" s="61" t="str">
        <x:v>https://avp.fandom.com/wiki/Top-Knot</x:v>
      </x:c>
      <x:c r="L221" s="59" t="str">
        <x:v>Comics</x:v>
      </x:c>
    </x:row>
    <x:row r="222">
      <x:c r="A222" s="61" t="str">
        <x:v>Y-221</x:v>
      </x:c>
      <x:c r="B222" s="61" t="str">
        <x:v>Top-Knot's Clan</x:v>
      </x:c>
      <x:c r="C222" s="61" t="str"/>
      <x:c r="D222" s="61" t="str">
        <x:v>Groupe / clan</x:v>
      </x:c>
      <x:c r="E222" s="61" t="str">
        <x:v>Comics • Roman / prose</x:v>
      </x:c>
      <x:c r="F222" s="61" t="str">
        <x:v>Aliens vs. Predator: War / Hunter's Planet</x:v>
      </x:c>
      <x:c r="G222" s="61" t="str">
        <x:v>Groupe / catégorie</x:v>
      </x:c>
      <x:c r="H222" s="61" t="str"/>
      <x:c r="I222" s="61" t="str"/>
      <x:c r="J222" s="61" t="str">
        <x:v>Non (groupe)</x:v>
      </x:c>
      <x:c r="K222" s="61" t="str">
        <x:v>https://avp.fandom.com/wiki/Top-Knot's_Clan</x:v>
      </x:c>
      <x:c r="L222" s="59" t="str">
        <x:v>Comics</x:v>
      </x:c>
    </x:row>
    <x:row r="223">
      <x:c r="A223" s="61" t="str">
        <x:v>Y-222</x:v>
      </x:c>
      <x:c r="B223" s="61" t="str">
        <x:v>Tracker</x:v>
      </x:c>
      <x:c r="C223" s="61" t="str"/>
      <x:c r="D223" s="61" t="str">
        <x:v>Individu nommé ou surnommé</x:v>
      </x:c>
      <x:c r="E223" s="61" t="str">
        <x:v>Film / animation • Jeu vidéo</x:v>
      </x:c>
      <x:c r="F223" s="61" t="str">
        <x:v>Predators (2010)</x:v>
      </x:c>
      <x:c r="G223" s="61" t="str">
        <x:v>Écran officiel / licencié</x:v>
      </x:c>
      <x:c r="H223" s="61" t="str"/>
      <x:c r="I223" s="61" t="str"/>
      <x:c r="J223" s="61" t="str">
        <x:v>Oui</x:v>
      </x:c>
      <x:c r="K223" s="61" t="str">
        <x:v>https://avp.fandom.com/wiki/Tracker</x:v>
      </x:c>
      <x:c r="L223" s="59" t="str">
        <x:v>Film / animation</x:v>
      </x:c>
    </x:row>
    <x:row r="224">
      <x:c r="A224" s="61" t="str">
        <x:v>Y-223</x:v>
      </x:c>
      <x:c r="B224" s="61" t="str">
        <x:v>Tress</x:v>
      </x:c>
      <x:c r="C224" s="61" t="str"/>
      <x:c r="D224" s="61" t="str">
        <x:v>Individu nommé ou surnommé</x:v>
      </x:c>
      <x:c r="E224" s="61" t="str">
        <x:v>Univers étendu (comic/roman/audio/jeu)</x:v>
      </x:c>
      <x:c r="F224" s="61" t="str">
        <x:v>Voir la source individuelle</x:v>
      </x:c>
      <x:c r="G224" s="61" t="str">
        <x:v>Univers étendu licencié / catalogué</x:v>
      </x:c>
      <x:c r="H224" s="61" t="str"/>
      <x:c r="I224" s="61" t="str"/>
      <x:c r="J224" s="61" t="str">
        <x:v>Oui</x:v>
      </x:c>
      <x:c r="K224" s="61" t="str">
        <x:v>https://avp.fandom.com/wiki/Tress</x:v>
      </x:c>
      <x:c r="L224" s="59" t="str">
        <x:v>Univers étendu</x:v>
      </x:c>
    </x:row>
    <x:row r="225">
      <x:c r="A225" s="61" t="str">
        <x:v>Y-224</x:v>
      </x:c>
      <x:c r="B225" s="61" t="str">
        <x:v>Tunnels Predator</x:v>
      </x:c>
      <x:c r="C225" s="61" t="str"/>
      <x:c r="D225" s="61" t="str">
        <x:v>Individu nommé ou surnommé</x:v>
      </x:c>
      <x:c r="E225" s="61" t="str">
        <x:v>Univers étendu (comic/roman/audio/jeu)</x:v>
      </x:c>
      <x:c r="F225" s="61" t="str">
        <x:v>Voir la source individuelle</x:v>
      </x:c>
      <x:c r="G225" s="61" t="str">
        <x:v>Univers étendu licencié / catalogué</x:v>
      </x:c>
      <x:c r="H225" s="61" t="str"/>
      <x:c r="I225" s="61" t="str"/>
      <x:c r="J225" s="61" t="str">
        <x:v>Oui</x:v>
      </x:c>
      <x:c r="K225" s="61" t="str">
        <x:v>https://avp.fandom.com/wiki/Tunnels_Predator</x:v>
      </x:c>
      <x:c r="L225" s="59" t="str">
        <x:v>Univers étendu</x:v>
      </x:c>
    </x:row>
    <x:row r="226">
      <x:c r="A226" s="61" t="str">
        <x:v>Y-225</x:v>
      </x:c>
      <x:c r="B226" s="61" t="str">
        <x:v>Two-Stripes</x:v>
      </x:c>
      <x:c r="C226" s="61" t="str"/>
      <x:c r="D226" s="61" t="str">
        <x:v>Individu nommé ou surnommé</x:v>
      </x:c>
      <x:c r="E226" s="61" t="str">
        <x:v>Comics</x:v>
      </x:c>
      <x:c r="F226" s="61" t="str">
        <x:v>Voir la source individuelle</x:v>
      </x:c>
      <x:c r="G226" s="61" t="str">
        <x:v>Univers étendu licencié / catalogué</x:v>
      </x:c>
      <x:c r="H226" s="61" t="str"/>
      <x:c r="I226" s="61" t="str"/>
      <x:c r="J226" s="61" t="str">
        <x:v>Oui</x:v>
      </x:c>
      <x:c r="K226" s="61" t="str">
        <x:v>https://avp.fandom.com/wiki/Two-Stripes</x:v>
      </x:c>
      <x:c r="L226" s="59" t="str">
        <x:v>Comics</x:v>
      </x:c>
    </x:row>
    <x:row r="227">
      <x:c r="A227" s="61" t="str">
        <x:v>Y-226</x:v>
      </x:c>
      <x:c r="B227" s="61" t="str">
        <x:v>Ultimate Predator (2018)</x:v>
      </x:c>
      <x:c r="C227" s="61" t="str"/>
      <x:c r="D227" s="61" t="str">
        <x:v>Alias</x:v>
      </x:c>
      <x:c r="E227" s="61" t="str">
        <x:v>Film / animation • Figurine / jouet</x:v>
      </x:c>
      <x:c r="F227" s="61" t="str">
        <x:v>The Predator (2018)</x:v>
      </x:c>
      <x:c r="G227" s="61" t="str">
        <x:v>Alias / doublon</x:v>
      </x:c>
      <x:c r="H227" s="61" t="str">
        <x:v>Upgrade Predator</x:v>
      </x:c>
      <x:c r="I227" s="61" t="str"/>
      <x:c r="J227" s="61" t="str">
        <x:v>Alias</x:v>
      </x:c>
      <x:c r="K227" s="61" t="str">
        <x:v>https://avp.fandom.com/wiki/Ultimate_Predator_%282018%29</x:v>
      </x:c>
      <x:c r="L227" s="59" t="str">
        <x:v>Film / animation</x:v>
      </x:c>
    </x:row>
    <x:row r="228">
      <x:c r="A228" s="61" t="str">
        <x:v>Y-227</x:v>
      </x:c>
      <x:c r="B228" s="61" t="str">
        <x:v>Ultimate Predator (Kenner)</x:v>
      </x:c>
      <x:c r="C228" s="61" t="str"/>
      <x:c r="D228" s="61" t="str">
        <x:v>Individu de merchandising</x:v>
      </x:c>
      <x:c r="E228" s="61" t="str">
        <x:v>Figurine / jouet</x:v>
      </x:c>
      <x:c r="F228" s="61" t="str">
        <x:v>Kenner</x:v>
      </x:c>
      <x:c r="G228" s="61" t="str">
        <x:v>Univers étendu / merchandising licencié</x:v>
      </x:c>
      <x:c r="H228" s="61" t="str"/>
      <x:c r="I228" s="61" t="str"/>
      <x:c r="J228" s="61" t="str">
        <x:v>Oui</x:v>
      </x:c>
      <x:c r="K228" s="61" t="str">
        <x:v>https://avp.fandom.com/wiki/Ultimate_Predator_%28Kenner%29</x:v>
      </x:c>
      <x:c r="L228" s="59" t="str">
        <x:v>Figurine / jouet</x:v>
      </x:c>
    </x:row>
    <x:row r="229">
      <x:c r="A229" s="61" t="str">
        <x:v>Y-228</x:v>
      </x:c>
      <x:c r="B229" s="61" t="str">
        <x:v>Unnamed Elite Predator (BG-386)</x:v>
      </x:c>
      <x:c r="C229" s="61" t="str"/>
      <x:c r="D229" s="61" t="str">
        <x:v>Individu anonyme désigné</x:v>
      </x:c>
      <x:c r="E229" s="61" t="str">
        <x:v>Jeu vidéo</x:v>
      </x:c>
      <x:c r="F229" s="61" t="str">
        <x:v>Aliens vs. Predator (2010)</x:v>
      </x:c>
      <x:c r="G229" s="61" t="str">
        <x:v>Univers étendu licencié / catalogué</x:v>
      </x:c>
      <x:c r="H229" s="61" t="str"/>
      <x:c r="I229" s="61" t="str"/>
      <x:c r="J229" s="61" t="str">
        <x:v>Oui</x:v>
      </x:c>
      <x:c r="K229" s="61" t="str">
        <x:v>https://avp.fandom.com/wiki/Unnamed_Elite_Predator_%28BG-386%29</x:v>
      </x:c>
      <x:c r="L229" s="59" t="str">
        <x:v>Jeu vidéo</x:v>
      </x:c>
    </x:row>
    <x:row r="230">
      <x:c r="A230" s="61" t="str">
        <x:v>Y-229</x:v>
      </x:c>
      <x:c r="B230" s="61" t="str">
        <x:v>Unnamed First Predator (Odobenus)</x:v>
      </x:c>
      <x:c r="C230" s="61" t="str"/>
      <x:c r="D230" s="61" t="str">
        <x:v>Individu anonyme désigné</x:v>
      </x:c>
      <x:c r="E230" s="61" t="str">
        <x:v>Jeu vidéo</x:v>
      </x:c>
      <x:c r="F230" s="61" t="str">
        <x:v>Voir la source individuelle</x:v>
      </x:c>
      <x:c r="G230" s="61" t="str">
        <x:v>Univers étendu licencié / catalogué</x:v>
      </x:c>
      <x:c r="H230" s="61" t="str"/>
      <x:c r="I230" s="61" t="str"/>
      <x:c r="J230" s="61" t="str">
        <x:v>Oui</x:v>
      </x:c>
      <x:c r="K230" s="61" t="str">
        <x:v>https://avp.fandom.com/wiki/Unnamed_First_Predator_%28Odobenus%29</x:v>
      </x:c>
      <x:c r="L230" s="59" t="str">
        <x:v>Jeu vidéo</x:v>
      </x:c>
    </x:row>
    <x:row r="231">
      <x:c r="A231" s="61" t="str">
        <x:v>Y-230</x:v>
      </x:c>
      <x:c r="B231" s="61" t="str">
        <x:v>Unnamed Gateway Predators</x:v>
      </x:c>
      <x:c r="C231" s="61" t="str"/>
      <x:c r="D231" s="61" t="str">
        <x:v>Groupe / collectif</x:v>
      </x:c>
      <x:c r="E231" s="61" t="str">
        <x:v>Jeu vidéo</x:v>
      </x:c>
      <x:c r="F231" s="61" t="str">
        <x:v>Voir la source individuelle</x:v>
      </x:c>
      <x:c r="G231" s="61" t="str">
        <x:v>Groupe / catégorie</x:v>
      </x:c>
      <x:c r="H231" s="61" t="str"/>
      <x:c r="I231" s="61" t="str"/>
      <x:c r="J231" s="61" t="str">
        <x:v>Non (groupe)</x:v>
      </x:c>
      <x:c r="K231" s="61" t="str">
        <x:v>https://avp.fandom.com/wiki/Unnamed_Gateway_Predators</x:v>
      </x:c>
      <x:c r="L231" s="59" t="str">
        <x:v>Jeu vidéo</x:v>
      </x:c>
    </x:row>
    <x:row r="232">
      <x:c r="A232" s="61" t="str">
        <x:v>Y-231</x:v>
      </x:c>
      <x:c r="B232" s="61" t="str">
        <x:v>Unnamed Jungle Hunter Predator (Temple Arena)</x:v>
      </x:c>
      <x:c r="C232" s="61" t="str"/>
      <x:c r="D232" s="61" t="str">
        <x:v>Individu anonyme désigné</x:v>
      </x:c>
      <x:c r="E232" s="61" t="str">
        <x:v>Jeu vidéo</x:v>
      </x:c>
      <x:c r="F232" s="61" t="str">
        <x:v>Voir la source individuelle</x:v>
      </x:c>
      <x:c r="G232" s="61" t="str">
        <x:v>Univers étendu licencié / catalogué</x:v>
      </x:c>
      <x:c r="H232" s="61" t="str"/>
      <x:c r="I232" s="61" t="str"/>
      <x:c r="J232" s="61" t="str">
        <x:v>Oui</x:v>
      </x:c>
      <x:c r="K232" s="61" t="str">
        <x:v>https://avp.fandom.com/wiki/Unnamed_Jungle_Hunter_Predator_%28Temple_Arena%29</x:v>
      </x:c>
      <x:c r="L232" s="59" t="str">
        <x:v>Jeu vidéo</x:v>
      </x:c>
    </x:row>
    <x:row r="233">
      <x:c r="A233" s="61" t="str">
        <x:v>Y-232</x:v>
      </x:c>
      <x:c r="B233" s="61" t="str">
        <x:v>Unnamed Predator (LV-426)</x:v>
      </x:c>
      <x:c r="C233" s="61" t="str"/>
      <x:c r="D233" s="61" t="str">
        <x:v>Individu anonyme désigné</x:v>
      </x:c>
      <x:c r="E233" s="61" t="str">
        <x:v>Jeu vidéo</x:v>
      </x:c>
      <x:c r="F233" s="61" t="str">
        <x:v>Voir la source individuelle</x:v>
      </x:c>
      <x:c r="G233" s="61" t="str">
        <x:v>Univers étendu licencié / catalogué</x:v>
      </x:c>
      <x:c r="H233" s="61" t="str"/>
      <x:c r="I233" s="61" t="str"/>
      <x:c r="J233" s="61" t="str">
        <x:v>Oui</x:v>
      </x:c>
      <x:c r="K233" s="61" t="str">
        <x:v>https://avp.fandom.com/wiki/Unnamed_Predator_%28LV-426%29</x:v>
      </x:c>
      <x:c r="L233" s="59" t="str">
        <x:v>Jeu vidéo</x:v>
      </x:c>
    </x:row>
    <x:row r="234">
      <x:c r="A234" s="61" t="str">
        <x:v>Y-233</x:v>
      </x:c>
      <x:c r="B234" s="61" t="str">
        <x:v>Unnamed Predator (Tyrargo)</x:v>
      </x:c>
      <x:c r="C234" s="61" t="str"/>
      <x:c r="D234" s="61" t="str">
        <x:v>Individu anonyme désigné</x:v>
      </x:c>
      <x:c r="E234" s="61" t="str">
        <x:v>Jeu vidéo</x:v>
      </x:c>
      <x:c r="F234" s="61" t="str">
        <x:v>Voir la source individuelle</x:v>
      </x:c>
      <x:c r="G234" s="61" t="str">
        <x:v>Univers étendu licencié / catalogué</x:v>
      </x:c>
      <x:c r="H234" s="61" t="str"/>
      <x:c r="I234" s="61" t="str"/>
      <x:c r="J234" s="61" t="str">
        <x:v>Oui</x:v>
      </x:c>
      <x:c r="K234" s="61" t="str">
        <x:v>https://avp.fandom.com/wiki/Unnamed_Predator_%28Tyrargo%29</x:v>
      </x:c>
      <x:c r="L234" s="59" t="str">
        <x:v>Jeu vidéo</x:v>
      </x:c>
    </x:row>
    <x:row r="235">
      <x:c r="A235" s="61" t="str">
        <x:v>Y-234</x:v>
      </x:c>
      <x:c r="B235" s="61" t="str">
        <x:v>Unnamed Second Predator (Odobenus)</x:v>
      </x:c>
      <x:c r="C235" s="61" t="str"/>
      <x:c r="D235" s="61" t="str">
        <x:v>Individu anonyme désigné</x:v>
      </x:c>
      <x:c r="E235" s="61" t="str">
        <x:v>Jeu vidéo</x:v>
      </x:c>
      <x:c r="F235" s="61" t="str">
        <x:v>Voir la source individuelle</x:v>
      </x:c>
      <x:c r="G235" s="61" t="str">
        <x:v>Univers étendu licencié / catalogué</x:v>
      </x:c>
      <x:c r="H235" s="61" t="str"/>
      <x:c r="I235" s="61" t="str"/>
      <x:c r="J235" s="61" t="str">
        <x:v>Oui</x:v>
      </x:c>
      <x:c r="K235" s="61" t="str">
        <x:v>https://avp.fandom.com/wiki/Unnamed_Second_Predator_%28Odobenus%29</x:v>
      </x:c>
      <x:c r="L235" s="59" t="str">
        <x:v>Jeu vidéo</x:v>
      </x:c>
    </x:row>
    <x:row r="236">
      <x:c r="A236" s="61" t="str">
        <x:v>Y-235</x:v>
      </x:c>
      <x:c r="B236" s="61" t="str">
        <x:v>Unnamed Third Predator (Odobenus)</x:v>
      </x:c>
      <x:c r="C236" s="61" t="str"/>
      <x:c r="D236" s="61" t="str">
        <x:v>Individu anonyme désigné</x:v>
      </x:c>
      <x:c r="E236" s="61" t="str">
        <x:v>Jeu vidéo</x:v>
      </x:c>
      <x:c r="F236" s="61" t="str">
        <x:v>Voir la source individuelle</x:v>
      </x:c>
      <x:c r="G236" s="61" t="str">
        <x:v>Univers étendu licencié / catalogué</x:v>
      </x:c>
      <x:c r="H236" s="61" t="str"/>
      <x:c r="I236" s="61" t="str"/>
      <x:c r="J236" s="61" t="str">
        <x:v>Oui</x:v>
      </x:c>
      <x:c r="K236" s="61" t="str">
        <x:v>https://avp.fandom.com/wiki/Unnamed_Third_Predator_%28Odobenus%29</x:v>
      </x:c>
      <x:c r="L236" s="59" t="str">
        <x:v>Jeu vidéo</x:v>
      </x:c>
    </x:row>
    <x:row r="237">
      <x:c r="A237" s="61" t="str">
        <x:v>Y-236</x:v>
      </x:c>
      <x:c r="B237" s="61" t="str">
        <x:v>Unnamed Young Blood Predator (BG-386)</x:v>
      </x:c>
      <x:c r="C237" s="61" t="str"/>
      <x:c r="D237" s="61" t="str">
        <x:v>Individu anonyme désigné</x:v>
      </x:c>
      <x:c r="E237" s="61" t="str">
        <x:v>Jeu vidéo</x:v>
      </x:c>
      <x:c r="F237" s="61" t="str">
        <x:v>Aliens vs. Predator (2010)</x:v>
      </x:c>
      <x:c r="G237" s="61" t="str">
        <x:v>Univers étendu licencié / catalogué</x:v>
      </x:c>
      <x:c r="H237" s="61" t="str"/>
      <x:c r="I237" s="61" t="str"/>
      <x:c r="J237" s="61" t="str">
        <x:v>Oui</x:v>
      </x:c>
      <x:c r="K237" s="61" t="str">
        <x:v>https://avp.fandom.com/wiki/Unnamed_Young_Blood_Predator_%28BG-386%29</x:v>
      </x:c>
      <x:c r="L237" s="59" t="str">
        <x:v>Jeu vidéo</x:v>
      </x:c>
    </x:row>
    <x:row r="238">
      <x:c r="A238" s="61" t="str">
        <x:v>Y-237</x:v>
      </x:c>
      <x:c r="B238" s="61" t="str">
        <x:v>Upgrade Predator</x:v>
      </x:c>
      <x:c r="C238" s="61" t="str">
        <x:v>Assassin Predator; Ultimate Predator (2018)</x:v>
      </x:c>
      <x:c r="D238" s="61" t="str">
        <x:v>Individu / hybride ou mutation</x:v>
      </x:c>
      <x:c r="E238" s="61" t="str">
        <x:v>Film / animation</x:v>
      </x:c>
      <x:c r="F238" s="61" t="str">
        <x:v>The Predator (2018)</x:v>
      </x:c>
      <x:c r="G238" s="61" t="str">
        <x:v>Écran officiel / licencié</x:v>
      </x:c>
      <x:c r="H238" s="61" t="str"/>
      <x:c r="I238" s="61" t="str">
        <x:v>Aussi Assassin Predator / Ultimate Predator; hybride génétiquement amélioré.</x:v>
      </x:c>
      <x:c r="J238" s="61" t="str">
        <x:v>Oui</x:v>
      </x:c>
      <x:c r="K238" s="61" t="str">
        <x:v>https://avp.fandom.com/wiki/Upgrade_Predator</x:v>
      </x:c>
      <x:c r="L238" s="59" t="str">
        <x:v>Film / animation</x:v>
      </x:c>
    </x:row>
    <x:row r="239">
      <x:c r="A239" s="61" t="str">
        <x:v>Y-238</x:v>
      </x:c>
      <x:c r="B239" s="61" t="str">
        <x:v>Vagouti</x:v>
      </x:c>
      <x:c r="C239" s="61" t="str"/>
      <x:c r="D239" s="61" t="str">
        <x:v>Individu nommé ou surnommé</x:v>
      </x:c>
      <x:c r="E239" s="61" t="str">
        <x:v>Univers étendu (comic/roman/audio/jeu)</x:v>
      </x:c>
      <x:c r="F239" s="61" t="str">
        <x:v>Voir la source individuelle</x:v>
      </x:c>
      <x:c r="G239" s="61" t="str">
        <x:v>Univers étendu licencié / catalogué</x:v>
      </x:c>
      <x:c r="H239" s="61" t="str"/>
      <x:c r="I239" s="61" t="str"/>
      <x:c r="J239" s="61" t="str">
        <x:v>Oui</x:v>
      </x:c>
      <x:c r="K239" s="61" t="str">
        <x:v>https://avp.fandom.com/wiki/Vagouti</x:v>
      </x:c>
      <x:c r="L239" s="59" t="str">
        <x:v>Univers étendu</x:v>
      </x:c>
    </x:row>
    <x:row r="240">
      <x:c r="A240" s="61" t="str">
        <x:v>Y-239</x:v>
      </x:c>
      <x:c r="B240" s="61" t="str">
        <x:v>Valkyrie Predator</x:v>
      </x:c>
      <x:c r="C240" s="61" t="str"/>
      <x:c r="D240" s="61" t="str">
        <x:v>Individu nommé ou surnommé</x:v>
      </x:c>
      <x:c r="E240" s="61" t="str">
        <x:v>Jeu vidéo</x:v>
      </x:c>
      <x:c r="F240" s="61" t="str">
        <x:v>Predator: Hunting Grounds</x:v>
      </x:c>
      <x:c r="G240" s="61" t="str">
        <x:v>Univers étendu licencié / catalogué</x:v>
      </x:c>
      <x:c r="H240" s="61" t="str"/>
      <x:c r="I240" s="61" t="str"/>
      <x:c r="J240" s="61" t="str">
        <x:v>Oui</x:v>
      </x:c>
      <x:c r="K240" s="61" t="str">
        <x:v>https://avp.fandom.com/wiki/Valkyrie_Predator</x:v>
      </x:c>
      <x:c r="L240" s="59" t="str">
        <x:v>Jeu vidéo</x:v>
      </x:c>
    </x:row>
    <x:row r="241">
      <x:c r="A241" s="61" t="str">
        <x:v>Y-240</x:v>
      </x:c>
      <x:c r="B241" s="61" t="str">
        <x:v>Viking Predator</x:v>
      </x:c>
      <x:c r="C241" s="61" t="str"/>
      <x:c r="D241" s="61" t="str">
        <x:v>Individu nommé ou surnommé</x:v>
      </x:c>
      <x:c r="E241" s="61" t="str">
        <x:v>Jeu vidéo</x:v>
      </x:c>
      <x:c r="F241" s="61" t="str">
        <x:v>Predator: Hunting Grounds</x:v>
      </x:c>
      <x:c r="G241" s="61" t="str">
        <x:v>Univers étendu licencié / catalogué</x:v>
      </x:c>
      <x:c r="H241" s="61" t="str"/>
      <x:c r="I241" s="61" t="str"/>
      <x:c r="J241" s="61" t="str">
        <x:v>Oui</x:v>
      </x:c>
      <x:c r="K241" s="61" t="str">
        <x:v>https://avp.fandom.com/wiki/Viking_Predator</x:v>
      </x:c>
      <x:c r="L241" s="59" t="str">
        <x:v>Jeu vidéo</x:v>
      </x:c>
    </x:row>
    <x:row r="242">
      <x:c r="A242" s="61" t="str">
        <x:v>Y-241</x:v>
      </x:c>
      <x:c r="B242" s="61" t="str">
        <x:v>Viper Predator</x:v>
      </x:c>
      <x:c r="C242" s="61" t="str"/>
      <x:c r="D242" s="61" t="str">
        <x:v>Individu nommé ou surnommé</x:v>
      </x:c>
      <x:c r="E242" s="61" t="str">
        <x:v>Figurine / jouet</x:v>
      </x:c>
      <x:c r="F242" s="61" t="str">
        <x:v>Voir la source individuelle</x:v>
      </x:c>
      <x:c r="G242" s="61" t="str">
        <x:v>Création de merchandising licenciée</x:v>
      </x:c>
      <x:c r="H242" s="61" t="str"/>
      <x:c r="I242" s="61" t="str"/>
      <x:c r="J242" s="61" t="str">
        <x:v>Oui</x:v>
      </x:c>
      <x:c r="K242" s="61" t="str">
        <x:v>https://avp.fandom.com/wiki/Viper_Predator</x:v>
      </x:c>
      <x:c r="L242" s="59" t="str">
        <x:v>Figurine / jouet</x:v>
      </x:c>
    </x:row>
    <x:row r="243">
      <x:c r="A243" s="61" t="str">
        <x:v>Y-242</x:v>
      </x:c>
      <x:c r="B243" s="61" t="str">
        <x:v>Vk'leita</x:v>
      </x:c>
      <x:c r="C243" s="61" t="str"/>
      <x:c r="D243" s="61" t="str">
        <x:v>Individu nommé ou surnommé</x:v>
      </x:c>
      <x:c r="E243" s="61" t="str">
        <x:v>Univers étendu (comic/roman/audio/jeu)</x:v>
      </x:c>
      <x:c r="F243" s="61" t="str">
        <x:v>Voir la source individuelle</x:v>
      </x:c>
      <x:c r="G243" s="61" t="str">
        <x:v>Univers étendu licencié / catalogué</x:v>
      </x:c>
      <x:c r="H243" s="61" t="str"/>
      <x:c r="I243" s="61" t="str"/>
      <x:c r="J243" s="61" t="str">
        <x:v>Oui</x:v>
      </x:c>
      <x:c r="K243" s="61" t="str">
        <x:v>https://avp.fandom.com/wiki/Vk'leita</x:v>
      </x:c>
      <x:c r="L243" s="59" t="str">
        <x:v>Univers étendu</x:v>
      </x:c>
    </x:row>
    <x:row r="244">
      <x:c r="A244" s="61" t="str">
        <x:v>Y-243</x:v>
      </x:c>
      <x:c r="B244" s="61" t="str">
        <x:v>Warkha</x:v>
      </x:c>
      <x:c r="C244" s="61" t="str"/>
      <x:c r="D244" s="61" t="str">
        <x:v>Individu nommé ou surnommé</x:v>
      </x:c>
      <x:c r="E244" s="61" t="str">
        <x:v>Univers étendu (comic/roman/audio/jeu)</x:v>
      </x:c>
      <x:c r="F244" s="61" t="str">
        <x:v>Voir la source individuelle</x:v>
      </x:c>
      <x:c r="G244" s="61" t="str">
        <x:v>Univers étendu licencié / catalogué</x:v>
      </x:c>
      <x:c r="H244" s="61" t="str"/>
      <x:c r="I244" s="61" t="str"/>
      <x:c r="J244" s="61" t="str">
        <x:v>Oui</x:v>
      </x:c>
      <x:c r="K244" s="61" t="str">
        <x:v>https://avp.fandom.com/wiki/Warkha</x:v>
      </x:c>
      <x:c r="L244" s="59" t="str">
        <x:v>Univers étendu</x:v>
      </x:c>
    </x:row>
    <x:row r="245">
      <x:c r="A245" s="61" t="str">
        <x:v>Y-244</x:v>
      </x:c>
      <x:c r="B245" s="61" t="str">
        <x:v>Warlord's Clan</x:v>
      </x:c>
      <x:c r="C245" s="61" t="str"/>
      <x:c r="D245" s="61" t="str">
        <x:v>Groupe / clan</x:v>
      </x:c>
      <x:c r="E245" s="61" t="str">
        <x:v>Film / animation</x:v>
      </x:c>
      <x:c r="F245" s="61" t="str">
        <x:v>Predator: Killer of Killers (2025)</x:v>
      </x:c>
      <x:c r="G245" s="61" t="str">
        <x:v>Groupe / catégorie</x:v>
      </x:c>
      <x:c r="H245" s="61" t="str"/>
      <x:c r="I245" s="61" t="str"/>
      <x:c r="J245" s="61" t="str">
        <x:v>Non (groupe)</x:v>
      </x:c>
      <x:c r="K245" s="61" t="str">
        <x:v>https://avp.fandom.com/wiki/Warlord's_Clan</x:v>
      </x:c>
      <x:c r="L245" s="59" t="str">
        <x:v>Film / animation</x:v>
      </x:c>
    </x:row>
    <x:row r="246">
      <x:c r="A246" s="61" t="str">
        <x:v>Y-245</x:v>
      </x:c>
      <x:c r="B246" s="61" t="str">
        <x:v>Warrior (Yautja)</x:v>
      </x:c>
      <x:c r="C246" s="61" t="str">
        <x:v>Ram Predator</x:v>
      </x:c>
      <x:c r="D246" s="61" t="str">
        <x:v>Individu nommé ou surnommé</x:v>
      </x:c>
      <x:c r="E246" s="61" t="str">
        <x:v>Film / animation • Figurine / jouet</x:v>
      </x:c>
      <x:c r="F246" s="61" t="str">
        <x:v>Predator 2 (1990)</x:v>
      </x:c>
      <x:c r="G246" s="61" t="str">
        <x:v>Écran officiel / licencié</x:v>
      </x:c>
      <x:c r="H246" s="61" t="str"/>
      <x:c r="I246" s="61" t="str"/>
      <x:c r="J246" s="61" t="str">
        <x:v>Oui</x:v>
      </x:c>
      <x:c r="K246" s="61" t="str">
        <x:v>https://avp.fandom.com/wiki/Warrior_%28Yautja%29</x:v>
      </x:c>
      <x:c r="L246" s="59" t="str">
        <x:v>Film / animation</x:v>
      </x:c>
    </x:row>
    <x:row r="247">
      <x:c r="A247" s="61" t="str">
        <x:v>Y-246</x:v>
      </x:c>
      <x:c r="B247" s="61" t="str">
        <x:v>Warrior Yautja (LV-412)</x:v>
      </x:c>
      <x:c r="C247" s="61" t="str"/>
      <x:c r="D247" s="61" t="str">
        <x:v>Individu nommé ou surnommé</x:v>
      </x:c>
      <x:c r="E247" s="61" t="str">
        <x:v>Jeu vidéo</x:v>
      </x:c>
      <x:c r="F247" s="61" t="str">
        <x:v>Aliens vs. Predator: Extinction (2003)</x:v>
      </x:c>
      <x:c r="G247" s="61" t="str">
        <x:v>Univers étendu licencié / catalogué</x:v>
      </x:c>
      <x:c r="H247" s="61" t="str"/>
      <x:c r="I247" s="61" t="str"/>
      <x:c r="J247" s="61" t="str">
        <x:v>Oui</x:v>
      </x:c>
      <x:c r="K247" s="61" t="str">
        <x:v>https://avp.fandom.com/wiki/Warrior_Yautja_%28LV-412%29</x:v>
      </x:c>
      <x:c r="L247" s="59" t="str">
        <x:v>Jeu vidéo</x:v>
      </x:c>
    </x:row>
    <x:row r="248">
      <x:c r="A248" s="61" t="str">
        <x:v>Y-247</x:v>
      </x:c>
      <x:c r="B248" s="61" t="str">
        <x:v>Wasp Predator</x:v>
      </x:c>
      <x:c r="C248" s="61" t="str"/>
      <x:c r="D248" s="61" t="str">
        <x:v>Individu fan-made puis licencié</x:v>
      </x:c>
      <x:c r="E248" s="61" t="str">
        <x:v>Fan-film • Figurine / jouet</x:v>
      </x:c>
      <x:c r="F248" s="61" t="str">
        <x:v>Batman: Dead End (2003) / NECA</x:v>
      </x:c>
      <x:c r="G248" s="61" t="str">
        <x:v>Fan-made puis licencié</x:v>
      </x:c>
      <x:c r="H248" s="61" t="str"/>
      <x:c r="I248" s="61" t="str">
        <x:v>Créé pour Batman: Dead End, puis officiellement licencié par NECA.</x:v>
      </x:c>
      <x:c r="J248" s="61" t="str">
        <x:v>Oui</x:v>
      </x:c>
      <x:c r="K248" s="61" t="str">
        <x:v>https://avp.fandom.com/wiki/Wasp_Predator</x:v>
      </x:c>
      <x:c r="L248" s="59" t="str">
        <x:v>Fan-film</x:v>
      </x:c>
    </x:row>
    <x:row r="249">
      <x:c r="A249" s="61" t="str">
        <x:v>Y-248</x:v>
      </x:c>
      <x:c r="B249" s="61" t="str">
        <x:v>Wendigo</x:v>
      </x:c>
      <x:c r="C249" s="61" t="str"/>
      <x:c r="D249" s="61" t="str">
        <x:v>Individu nommé ou surnommé</x:v>
      </x:c>
      <x:c r="E249" s="61" t="str">
        <x:v>Univers étendu (comic/roman/audio/jeu)</x:v>
      </x:c>
      <x:c r="F249" s="61" t="str">
        <x:v>Voir la source individuelle</x:v>
      </x:c>
      <x:c r="G249" s="61" t="str">
        <x:v>Univers étendu licencié / catalogué</x:v>
      </x:c>
      <x:c r="H249" s="61" t="str"/>
      <x:c r="I249" s="61" t="str"/>
      <x:c r="J249" s="61" t="str">
        <x:v>Oui</x:v>
      </x:c>
      <x:c r="K249" s="61" t="str">
        <x:v>https://avp.fandom.com/wiki/Wendigo</x:v>
      </x:c>
      <x:c r="L249" s="59" t="str">
        <x:v>Univers étendu</x:v>
      </x:c>
    </x:row>
    <x:row r="250">
      <x:c r="A250" s="61" t="str">
        <x:v>Y-249</x:v>
      </x:c>
      <x:c r="B250" s="61" t="str">
        <x:v>Witch Predator</x:v>
      </x:c>
      <x:c r="C250" s="61" t="str"/>
      <x:c r="D250" s="61" t="str">
        <x:v>Individu nommé ou surnommé</x:v>
      </x:c>
      <x:c r="E250" s="61" t="str">
        <x:v>Jeu vidéo</x:v>
      </x:c>
      <x:c r="F250" s="61" t="str">
        <x:v>Predator: Hunting Grounds</x:v>
      </x:c>
      <x:c r="G250" s="61" t="str">
        <x:v>Univers étendu licencié / catalogué</x:v>
      </x:c>
      <x:c r="H250" s="61" t="str"/>
      <x:c r="I250" s="61" t="str"/>
      <x:c r="J250" s="61" t="str">
        <x:v>Oui</x:v>
      </x:c>
      <x:c r="K250" s="61" t="str">
        <x:v>https://avp.fandom.com/wiki/Witch_Predator</x:v>
      </x:c>
      <x:c r="L250" s="59" t="str">
        <x:v>Jeu vidéo</x:v>
      </x:c>
    </x:row>
    <x:row r="251">
      <x:c r="A251" s="61" t="str">
        <x:v>Y-250</x:v>
      </x:c>
      <x:c r="B251" s="61" t="str">
        <x:v>Wolf (Earth)</x:v>
      </x:c>
      <x:c r="C251" s="61" t="str"/>
      <x:c r="D251" s="61" t="str">
        <x:v>Individu nommé ou surnommé</x:v>
      </x:c>
      <x:c r="E251" s="61" t="str">
        <x:v>Film / animation • Jeu vidéo</x:v>
      </x:c>
      <x:c r="F251" s="61" t="str">
        <x:v>Aliens vs. Predator: Requiem (2007)</x:v>
      </x:c>
      <x:c r="G251" s="61" t="str">
        <x:v>Écran officiel / licencié</x:v>
      </x:c>
      <x:c r="H251" s="61" t="str"/>
      <x:c r="I251" s="61" t="str"/>
      <x:c r="J251" s="61" t="str">
        <x:v>Oui</x:v>
      </x:c>
      <x:c r="K251" s="61" t="str">
        <x:v>https://avp.fandom.com/wiki/Wolf_%28Earth%29</x:v>
      </x:c>
      <x:c r="L251" s="59" t="str">
        <x:v>Film / animation</x:v>
      </x:c>
    </x:row>
    <x:row r="252">
      <x:c r="A252" s="61" t="str">
        <x:v>Y-251</x:v>
      </x:c>
      <x:c r="B252" s="61" t="str">
        <x:v>Wolf (Elite Clan)</x:v>
      </x:c>
      <x:c r="C252" s="61" t="str"/>
      <x:c r="D252" s="61" t="str">
        <x:v>Individu nommé ou surnommé</x:v>
      </x:c>
      <x:c r="E252" s="61" t="str">
        <x:v>Jeu vidéo</x:v>
      </x:c>
      <x:c r="F252" s="61" t="str">
        <x:v>Aliens vs. Predator (2010)</x:v>
      </x:c>
      <x:c r="G252" s="61" t="str">
        <x:v>Univers étendu licencié / catalogué</x:v>
      </x:c>
      <x:c r="H252" s="61" t="str"/>
      <x:c r="I252" s="61" t="str">
        <x:v>Individu du jeu AVP (2010), distinct du Wolf d'AVPR malgré le nom et une inspiration visuelle communes.</x:v>
      </x:c>
      <x:c r="J252" s="61" t="str">
        <x:v>Oui</x:v>
      </x:c>
      <x:c r="K252" s="61" t="str">
        <x:v>https://avp.fandom.com/wiki/Wolf_%28Elite_Clan%29</x:v>
      </x:c>
      <x:c r="L252" s="59" t="str">
        <x:v>Jeu vidéo</x:v>
      </x:c>
    </x:row>
    <x:row r="253">
      <x:c r="A253" s="61" t="str">
        <x:v>Y-252</x:v>
      </x:c>
      <x:c r="B253" s="61" t="str">
        <x:v>Yaquita</x:v>
      </x:c>
      <x:c r="C253" s="61" t="str"/>
      <x:c r="D253" s="61" t="str">
        <x:v>Individu nommé ou surnommé</x:v>
      </x:c>
      <x:c r="E253" s="61" t="str">
        <x:v>Univers étendu (comic/roman/audio/jeu)</x:v>
      </x:c>
      <x:c r="F253" s="61" t="str">
        <x:v>Voir la source individuelle</x:v>
      </x:c>
      <x:c r="G253" s="61" t="str">
        <x:v>Univers étendu licencié / catalogué</x:v>
      </x:c>
      <x:c r="H253" s="61" t="str"/>
      <x:c r="I253" s="61" t="str"/>
      <x:c r="J253" s="61" t="str">
        <x:v>Oui</x:v>
      </x:c>
      <x:c r="K253" s="61" t="str">
        <x:v>https://avp.fandom.com/wiki/Yaquita</x:v>
      </x:c>
      <x:c r="L253" s="59" t="str">
        <x:v>Univers étendu</x:v>
      </x:c>
    </x:row>
    <x:row r="254">
      <x:c r="A254" s="61" t="str">
        <x:v>Y-253</x:v>
      </x:c>
      <x:c r="B254" s="61" t="str">
        <x:v>Yen'sha</x:v>
      </x:c>
      <x:c r="C254" s="61" t="str"/>
      <x:c r="D254" s="61" t="str">
        <x:v>Individu nommé ou surnommé</x:v>
      </x:c>
      <x:c r="E254" s="61" t="str">
        <x:v>Univers étendu (comic/roman/audio/jeu)</x:v>
      </x:c>
      <x:c r="F254" s="61" t="str">
        <x:v>Voir la source individuelle</x:v>
      </x:c>
      <x:c r="G254" s="61" t="str">
        <x:v>Univers étendu licencié / catalogué</x:v>
      </x:c>
      <x:c r="H254" s="61" t="str"/>
      <x:c r="I254" s="61" t="str"/>
      <x:c r="J254" s="61" t="str">
        <x:v>Oui</x:v>
      </x:c>
      <x:c r="K254" s="61" t="str">
        <x:v>https://avp.fandom.com/wiki/Yen'sha</x:v>
      </x:c>
      <x:c r="L254" s="59" t="str">
        <x:v>Univers étendu</x:v>
      </x:c>
    </x:row>
    <x:row r="255">
      <x:c r="A255" s="61" t="str">
        <x:v>Y-254</x:v>
      </x:c>
      <x:c r="B255" s="61" t="str">
        <x:v>Yeyinde</x:v>
      </x:c>
      <x:c r="C255" s="61" t="str"/>
      <x:c r="D255" s="61" t="str">
        <x:v>Individu nommé ou surnommé</x:v>
      </x:c>
      <x:c r="E255" s="61" t="str">
        <x:v>Comics • Roman / prose</x:v>
      </x:c>
      <x:c r="F255" s="61" t="str">
        <x:v>Voir la source individuelle</x:v>
      </x:c>
      <x:c r="G255" s="61" t="str">
        <x:v>Univers étendu licencié / catalogué</x:v>
      </x:c>
      <x:c r="H255" s="61" t="str"/>
      <x:c r="I255" s="61" t="str"/>
      <x:c r="J255" s="61" t="str">
        <x:v>Oui</x:v>
      </x:c>
      <x:c r="K255" s="61" t="str">
        <x:v>https://avp.fandom.com/wiki/Yeyinde</x:v>
      </x:c>
      <x:c r="L255" s="59" t="str">
        <x:v>Comics</x:v>
      </x:c>
    </x:row>
    <x:row r="256">
      <x:c r="A256" s="61" t="str">
        <x:v>Y-255</x:v>
      </x:c>
      <x:c r="B256" s="61" t="str">
        <x:v>Youngblood Predator</x:v>
      </x:c>
      <x:c r="C256" s="61" t="str"/>
      <x:c r="D256" s="61" t="str">
        <x:v>Désignation de production / figurine</x:v>
      </x:c>
      <x:c r="E256" s="61" t="str">
        <x:v>Film / animation • Figurine / jouet</x:v>
      </x:c>
      <x:c r="F256" s="61" t="str">
        <x:v>Alien vs. Predator (2004) / NECA</x:v>
      </x:c>
      <x:c r="G256" s="61" t="str">
        <x:v>Écran officiel / licencié</x:v>
      </x:c>
      <x:c r="H256" s="61" t="str"/>
      <x:c r="I256" s="61" t="str"/>
      <x:c r="J256" s="61" t="str">
        <x:v>Oui</x:v>
      </x:c>
      <x:c r="K256" s="61" t="str">
        <x:v>https://avp.fandom.com/wiki/Youngblood_Predator</x:v>
      </x:c>
      <x:c r="L256" s="59" t="str">
        <x:v>Film / animation</x:v>
      </x:c>
    </x:row>
  </x:sheetData>
  <x:conditionalFormatting sqref="J2:J256">
    <x:cfRule type="expression" dxfId="0" priority="1">
      <x:formula>J2="Oui"</x:formula>
    </x:cfRule>
    <x:cfRule type="expression" dxfId="1" priority="2">
      <x:formula>J2="Alias"</x:formula>
    </x:cfRule>
    <x:cfRule type="expression" dxfId="2" priority="3">
      <x:formula>LEFT(J2,3)="Non"</x:formula>
    </x:cfRule>
    <x:cfRule type="expression" dxfId="3" priority="4">
      <x:formula>J2="À confirmer"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006d9eed2554e3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5" hidden="0" customWidth="1"/>
    <x:col min="3" max="3" width="32" hidden="0" customWidth="1"/>
    <x:col min="4" max="4" width="40" hidden="0" customWidth="1"/>
    <x:col min="5" max="5" width="35" hidden="0" customWidth="1"/>
    <x:col min="6" max="6" width="52" hidden="0" customWidth="1"/>
  </x:cols>
  <x:sheetData>
    <x:row r="1" ht="32" customHeight="1">
      <x:c r="A1" s="53" t="str">
        <x:v>Année/statut</x:v>
      </x:c>
      <x:c r="B1" s="53" t="str">
        <x:v>Œuvre</x:v>
      </x:c>
      <x:c r="C1" s="53" t="str">
        <x:v>Yautja</x:v>
      </x:c>
      <x:c r="D1" s="53" t="str">
        <x:v>Rôle / remarque</x:v>
      </x:c>
      <x:c r="E1" s="53" t="str">
        <x:v>Alias principaux</x:v>
      </x:c>
      <x:c r="F1" s="53" t="str">
        <x:v>Source URL</x:v>
      </x:c>
    </x:row>
    <x:row r="2">
      <x:c r="A2" s="61" t="n">
        <x:v>1987</x:v>
      </x:c>
      <x:c r="B2" s="61" t="str">
        <x:v>Predator</x:v>
      </x:c>
      <x:c r="C2" s="61" t="str">
        <x:v>Jungle Hunter</x:v>
      </x:c>
      <x:c r="D2" s="61" t="str">
        <x:v>Individu principal</x:v>
      </x:c>
      <x:c r="E2" s="61" t="str">
        <x:v>Classic Predator (1987); Jungle Demon Predator</x:v>
      </x:c>
      <x:c r="F2" s="61" t="str">
        <x:v>https://avp.fandom.com/wiki/Jungle_Hunter</x:v>
      </x:c>
    </x:row>
    <x:row r="3">
      <x:c r="A3" s="61" t="n">
        <x:v>1990</x:v>
      </x:c>
      <x:c r="B3" s="61" t="str">
        <x:v>Predator 2</x:v>
      </x:c>
      <x:c r="C3" s="61" t="str">
        <x:v>City Hunter</x:v>
      </x:c>
      <x:c r="D3" s="61" t="str">
        <x:v>Individu principal</x:v>
      </x:c>
      <x:c r="E3" s="61" t="str">
        <x:v>City Demon Predator</x:v>
      </x:c>
      <x:c r="F3" s="61" t="str">
        <x:v>https://avp.fandom.com/wiki/City_Hunter</x:v>
      </x:c>
    </x:row>
    <x:row r="4">
      <x:c r="A4" s="61" t="n">
        <x:v>1990</x:v>
      </x:c>
      <x:c r="B4" s="61" t="str">
        <x:v>Predator 2</x:v>
      </x:c>
      <x:c r="C4" s="61" t="str">
        <x:v>Greyback</x:v>
      </x:c>
      <x:c r="D4" s="61" t="str">
        <x:v>Lost Tribe / chef</x:v>
      </x:c>
      <x:c r="E4" s="61" t="str">
        <x:v>Elder Predator / Golden Angel; Golden Angel Predator</x:v>
      </x:c>
      <x:c r="F4" s="61" t="str">
        <x:v>https://avp.fandom.com/wiki/Greyback</x:v>
      </x:c>
    </x:row>
    <x:row r="5">
      <x:c r="A5" s="61" t="n">
        <x:v>1990</x:v>
      </x:c>
      <x:c r="B5" s="61" t="str">
        <x:v>Predator 2</x:v>
      </x:c>
      <x:c r="C5" s="61" t="str">
        <x:v>Boar</x:v>
      </x:c>
      <x:c r="D5" s="61" t="str">
        <x:v>Lost Tribe</x:v>
      </x:c>
      <x:c r="E5" s="61" t="str"/>
      <x:c r="F5" s="61" t="str">
        <x:v>https://avp.fandom.com/wiki/Boar</x:v>
      </x:c>
    </x:row>
    <x:row r="6">
      <x:c r="A6" s="61" t="n">
        <x:v>1990</x:v>
      </x:c>
      <x:c r="B6" s="61" t="str">
        <x:v>Predator 2</x:v>
      </x:c>
      <x:c r="C6" s="61" t="str">
        <x:v>Borg</x:v>
      </x:c>
      <x:c r="D6" s="61" t="str">
        <x:v>Lost Tribe</x:v>
      </x:c>
      <x:c r="E6" s="61" t="str">
        <x:v>Lost Predator</x:v>
      </x:c>
      <x:c r="F6" s="61" t="str">
        <x:v>https://avp.fandom.com/wiki/Borg</x:v>
      </x:c>
    </x:row>
    <x:row r="7">
      <x:c r="A7" s="61" t="n">
        <x:v>1990</x:v>
      </x:c>
      <x:c r="B7" s="61" t="str">
        <x:v>Predator 2</x:v>
      </x:c>
      <x:c r="C7" s="61" t="str">
        <x:v>Guardian</x:v>
      </x:c>
      <x:c r="D7" s="61" t="str">
        <x:v>Lost Tribe</x:v>
      </x:c>
      <x:c r="E7" s="61" t="str">
        <x:v>Gort Predator</x:v>
      </x:c>
      <x:c r="F7" s="61" t="str">
        <x:v>https://avp.fandom.com/wiki/Guardian</x:v>
      </x:c>
    </x:row>
    <x:row r="8">
      <x:c r="A8" s="61" t="n">
        <x:v>1990</x:v>
      </x:c>
      <x:c r="B8" s="61" t="str">
        <x:v>Predator 2</x:v>
      </x:c>
      <x:c r="C8" s="61" t="str">
        <x:v>Scout</x:v>
      </x:c>
      <x:c r="D8" s="61" t="str">
        <x:v>Lost Tribe</x:v>
      </x:c>
      <x:c r="E8" s="61" t="str"/>
      <x:c r="F8" s="61" t="str">
        <x:v>https://avp.fandom.com/wiki/Scout</x:v>
      </x:c>
    </x:row>
    <x:row r="9">
      <x:c r="A9" s="61" t="n">
        <x:v>1990</x:v>
      </x:c>
      <x:c r="B9" s="61" t="str">
        <x:v>Predator 2</x:v>
      </x:c>
      <x:c r="C9" s="61" t="str">
        <x:v>Shaman</x:v>
      </x:c>
      <x:c r="D9" s="61" t="str">
        <x:v>Lost Tribe</x:v>
      </x:c>
      <x:c r="E9" s="61" t="str">
        <x:v>Hippie Predator</x:v>
      </x:c>
      <x:c r="F9" s="61" t="str">
        <x:v>https://avp.fandom.com/wiki/Shaman</x:v>
      </x:c>
    </x:row>
    <x:row r="10">
      <x:c r="A10" s="61" t="n">
        <x:v>1990</x:v>
      </x:c>
      <x:c r="B10" s="61" t="str">
        <x:v>Predator 2</x:v>
      </x:c>
      <x:c r="C10" s="61" t="str">
        <x:v>Snake</x:v>
      </x:c>
      <x:c r="D10" s="61" t="str">
        <x:v>Lost Tribe</x:v>
      </x:c>
      <x:c r="E10" s="61" t="str">
        <x:v>Shadow Predator</x:v>
      </x:c>
      <x:c r="F10" s="61" t="str">
        <x:v>https://avp.fandom.com/wiki/Snake</x:v>
      </x:c>
    </x:row>
    <x:row r="11">
      <x:c r="A11" s="61" t="n">
        <x:v>1990</x:v>
      </x:c>
      <x:c r="B11" s="61" t="str">
        <x:v>Predator 2</x:v>
      </x:c>
      <x:c r="C11" s="61" t="str">
        <x:v>Stalker (Lost Tribe)</x:v>
      </x:c>
      <x:c r="D11" s="61" t="str">
        <x:v>Lost Tribe</x:v>
      </x:c>
      <x:c r="E11" s="61" t="str">
        <x:v>Brother Boar Predator</x:v>
      </x:c>
      <x:c r="F11" s="61" t="str">
        <x:v>https://avp.fandom.com/wiki/Stalker_%28Lost_Tribe%29</x:v>
      </x:c>
    </x:row>
    <x:row r="12">
      <x:c r="A12" s="61" t="n">
        <x:v>1990</x:v>
      </x:c>
      <x:c r="B12" s="61" t="str">
        <x:v>Predator 2</x:v>
      </x:c>
      <x:c r="C12" s="61" t="str">
        <x:v>Warrior (Yautja)</x:v>
      </x:c>
      <x:c r="D12" s="61" t="str">
        <x:v>Lost Tribe</x:v>
      </x:c>
      <x:c r="E12" s="61" t="str">
        <x:v>Ram Predator</x:v>
      </x:c>
      <x:c r="F12" s="61" t="str">
        <x:v>https://avp.fandom.com/wiki/Warrior_%28Yautja%29</x:v>
      </x:c>
    </x:row>
    <x:row r="13">
      <x:c r="A13" s="61" t="n">
        <x:v>2004</x:v>
      </x:c>
      <x:c r="B13" s="61" t="str">
        <x:v>Alien vs. Predator</x:v>
      </x:c>
      <x:c r="C13" s="61" t="str">
        <x:v>Scar</x:v>
      </x:c>
      <x:c r="D13" s="61" t="str">
        <x:v>Young Blood</x:v>
      </x:c>
      <x:c r="E13" s="61" t="str"/>
      <x:c r="F13" s="61" t="str">
        <x:v>https://avp.fandom.com/wiki/Scar</x:v>
      </x:c>
    </x:row>
    <x:row r="14">
      <x:c r="A14" s="61" t="n">
        <x:v>2004</x:v>
      </x:c>
      <x:c r="B14" s="61" t="str">
        <x:v>Alien vs. Predator</x:v>
      </x:c>
      <x:c r="C14" s="61" t="str">
        <x:v>Celtic</x:v>
      </x:c>
      <x:c r="D14" s="61" t="str">
        <x:v>Young Blood</x:v>
      </x:c>
      <x:c r="E14" s="61" t="str"/>
      <x:c r="F14" s="61" t="str">
        <x:v>https://avp.fandom.com/wiki/Celtic</x:v>
      </x:c>
    </x:row>
    <x:row r="15">
      <x:c r="A15" s="61" t="n">
        <x:v>2004</x:v>
      </x:c>
      <x:c r="B15" s="61" t="str">
        <x:v>Alien vs. Predator</x:v>
      </x:c>
      <x:c r="C15" s="61" t="str">
        <x:v>Chopper</x:v>
      </x:c>
      <x:c r="D15" s="61" t="str">
        <x:v>Young Blood</x:v>
      </x:c>
      <x:c r="E15" s="61" t="str"/>
      <x:c r="F15" s="61" t="str">
        <x:v>https://avp.fandom.com/wiki/Chopper</x:v>
      </x:c>
    </x:row>
    <x:row r="16">
      <x:c r="A16" s="61" t="n">
        <x:v>2004</x:v>
      </x:c>
      <x:c r="B16" s="61" t="str">
        <x:v>Alien vs. Predator</x:v>
      </x:c>
      <x:c r="C16" s="61" t="str">
        <x:v>Ancient Predator (Earth)</x:v>
      </x:c>
      <x:c r="D16" s="61" t="str">
        <x:v>Elder / chef</x:v>
      </x:c>
      <x:c r="E16" s="61" t="str"/>
      <x:c r="F16" s="61" t="str">
        <x:v>https://avp.fandom.com/wiki/Ancient_Predator_%28Earth%29</x:v>
      </x:c>
    </x:row>
    <x:row r="17">
      <x:c r="A17" s="61" t="n">
        <x:v>2004</x:v>
      </x:c>
      <x:c r="B17" s="61" t="str">
        <x:v>Alien vs. Predator</x:v>
      </x:c>
      <x:c r="C17" s="61" t="str">
        <x:v>Temple Guard Predator</x:v>
      </x:c>
      <x:c r="D17" s="61" t="str">
        <x:v>Désignation de figurine/production</x:v>
      </x:c>
      <x:c r="E17" s="61" t="str"/>
      <x:c r="F17" s="61" t="str">
        <x:v>https://avp.fandom.com/wiki/Temple_Guard_Predator</x:v>
      </x:c>
    </x:row>
    <x:row r="18">
      <x:c r="A18" s="61" t="n">
        <x:v>2004</x:v>
      </x:c>
      <x:c r="B18" s="61" t="str">
        <x:v>Alien vs. Predator</x:v>
      </x:c>
      <x:c r="C18" s="61" t="str">
        <x:v>Youngblood Predator</x:v>
      </x:c>
      <x:c r="D18" s="61" t="str">
        <x:v>Désignation de figurine/production</x:v>
      </x:c>
      <x:c r="E18" s="61" t="str"/>
      <x:c r="F18" s="61" t="str">
        <x:v>https://avp.fandom.com/wiki/Youngblood_Predator</x:v>
      </x:c>
    </x:row>
    <x:row r="19">
      <x:c r="A19" s="61" t="n">
        <x:v>2007</x:v>
      </x:c>
      <x:c r="B19" s="61" t="str">
        <x:v>Aliens vs. Predator: Requiem</x:v>
      </x:c>
      <x:c r="C19" s="61" t="str">
        <x:v>Wolf (Earth)</x:v>
      </x:c>
      <x:c r="D19" s="61" t="str">
        <x:v>Elite / nettoyeur</x:v>
      </x:c>
      <x:c r="E19" s="61" t="str"/>
      <x:c r="F19" s="61" t="str">
        <x:v>https://avp.fandom.com/wiki/Wolf_%28Earth%29</x:v>
      </x:c>
    </x:row>
    <x:row r="20">
      <x:c r="A20" s="61" t="n">
        <x:v>2007</x:v>
      </x:c>
      <x:c r="B20" s="61" t="str">
        <x:v>Aliens vs. Predator: Requiem</x:v>
      </x:c>
      <x:c r="C20" s="61" t="str">
        <x:v>Bull (Predator)</x:v>
      </x:c>
      <x:c r="D20" s="61" t="str">
        <x:v>Membre de l'équipage</x:v>
      </x:c>
      <x:c r="E20" s="61" t="str"/>
      <x:c r="F20" s="61" t="str">
        <x:v>https://avp.fandom.com/wiki/Bull_%28Predator%29</x:v>
      </x:c>
    </x:row>
    <x:row r="21">
      <x:c r="A21" s="61" t="n">
        <x:v>2007</x:v>
      </x:c>
      <x:c r="B21" s="61" t="str">
        <x:v>Aliens vs. Predator: Requiem</x:v>
      </x:c>
      <x:c r="C21" s="61" t="str">
        <x:v>Bonegrill</x:v>
      </x:c>
      <x:c r="D21" s="61" t="str">
        <x:v>Membre de l'équipage</x:v>
      </x:c>
      <x:c r="E21" s="61" t="str"/>
      <x:c r="F21" s="61" t="str">
        <x:v>https://avp.fandom.com/wiki/Bonegrill</x:v>
      </x:c>
    </x:row>
    <x:row r="22">
      <x:c r="A22" s="61" t="n">
        <x:v>2010</x:v>
      </x:c>
      <x:c r="B22" s="61" t="str">
        <x:v>Predators</x:v>
      </x:c>
      <x:c r="C22" s="61" t="str">
        <x:v>Berserker (Game Preserve Planet)</x:v>
      </x:c>
      <x:c r="D22" s="61" t="str">
        <x:v>Super Predator / Mr. Black</x:v>
      </x:c>
      <x:c r="E22" s="61" t="str">
        <x:v>Mr. Black</x:v>
      </x:c>
      <x:c r="F22" s="61" t="str">
        <x:v>https://avp.fandom.com/wiki/Berserker_%28Game_Preserve_Planet%29</x:v>
      </x:c>
    </x:row>
    <x:row r="23">
      <x:c r="A23" s="61" t="n">
        <x:v>2010</x:v>
      </x:c>
      <x:c r="B23" s="61" t="str">
        <x:v>Predators</x:v>
      </x:c>
      <x:c r="C23" s="61" t="str">
        <x:v>Falconer (Game Preserve Planet)</x:v>
      </x:c>
      <x:c r="D23" s="61" t="str">
        <x:v>Super Predator</x:v>
      </x:c>
      <x:c r="E23" s="61" t="str"/>
      <x:c r="F23" s="61" t="str">
        <x:v>https://avp.fandom.com/wiki/Falconer_%28Game_Preserve_Planet%29</x:v>
      </x:c>
    </x:row>
    <x:row r="24">
      <x:c r="A24" s="61" t="n">
        <x:v>2010</x:v>
      </x:c>
      <x:c r="B24" s="61" t="str">
        <x:v>Predators</x:v>
      </x:c>
      <x:c r="C24" s="61" t="str">
        <x:v>Tracker</x:v>
      </x:c>
      <x:c r="D24" s="61" t="str">
        <x:v>Super Predator</x:v>
      </x:c>
      <x:c r="E24" s="61" t="str"/>
      <x:c r="F24" s="61" t="str">
        <x:v>https://avp.fandom.com/wiki/Tracker</x:v>
      </x:c>
    </x:row>
    <x:row r="25">
      <x:c r="A25" s="61" t="n">
        <x:v>2010</x:v>
      </x:c>
      <x:c r="B25" s="61" t="str">
        <x:v>Predators</x:v>
      </x:c>
      <x:c r="C25" s="61" t="str">
        <x:v>Crucified Predator</x:v>
      </x:c>
      <x:c r="D25" s="61" t="str">
        <x:v>Classic/Captured Predator</x:v>
      </x:c>
      <x:c r="E25" s="61" t="str">
        <x:v>Captured Predator; Classic Predator (2010)</x:v>
      </x:c>
      <x:c r="F25" s="61" t="str">
        <x:v>https://avp.fandom.com/wiki/Crucified_Predator</x:v>
      </x:c>
    </x:row>
    <x:row r="26">
      <x:c r="A26" s="61" t="n">
        <x:v>2018</x:v>
      </x:c>
      <x:c r="B26" s="61" t="str">
        <x:v>The Predator</x:v>
      </x:c>
      <x:c r="C26" s="61" t="str">
        <x:v>Fugitive Predator</x:v>
      </x:c>
      <x:c r="D26" s="61" t="str">
        <x:v>Rogue Predator</x:v>
      </x:c>
      <x:c r="E26" s="61" t="str">
        <x:v>Rogue Predator</x:v>
      </x:c>
      <x:c r="F26" s="61" t="str">
        <x:v>https://avp.fandom.com/wiki/Fugitive_Predator</x:v>
      </x:c>
    </x:row>
    <x:row r="27">
      <x:c r="A27" s="61" t="n">
        <x:v>2018</x:v>
      </x:c>
      <x:c r="B27" s="61" t="str">
        <x:v>The Predator</x:v>
      </x:c>
      <x:c r="C27" s="61" t="str">
        <x:v>Upgrade Predator</x:v>
      </x:c>
      <x:c r="D27" s="61" t="str">
        <x:v>Assassin/Ultimate Predator</x:v>
      </x:c>
      <x:c r="E27" s="61" t="str">
        <x:v>Assassin Predator; Ultimate Predator (2018)</x:v>
      </x:c>
      <x:c r="F27" s="61" t="str">
        <x:v>https://avp.fandom.com/wiki/Upgrade_Predator</x:v>
      </x:c>
    </x:row>
    <x:row r="28">
      <x:c r="A28" s="61" t="n">
        <x:v>2018</x:v>
      </x:c>
      <x:c r="B28" s="61" t="str">
        <x:v>The Predator</x:v>
      </x:c>
      <x:c r="C28" s="61" t="str">
        <x:v>Emissary Predator</x:v>
      </x:c>
      <x:c r="D28" s="61" t="str">
        <x:v>Deux individus, scènes supprimées</x:v>
      </x:c>
      <x:c r="E28" s="61" t="str"/>
      <x:c r="F28" s="61" t="str">
        <x:v>https://avp.fandom.com/wiki/Emissary_Predator</x:v>
      </x:c>
    </x:row>
    <x:row r="29">
      <x:c r="A29" s="61" t="n">
        <x:v>2022</x:v>
      </x:c>
      <x:c r="B29" s="61" t="str">
        <x:v>Prey</x:v>
      </x:c>
      <x:c r="C29" s="61" t="str">
        <x:v>Feral Predator</x:v>
      </x:c>
      <x:c r="D29" s="61" t="str">
        <x:v>Chasseur principal</x:v>
      </x:c>
      <x:c r="E29" s="61" t="str"/>
      <x:c r="F29" s="61" t="str">
        <x:v>https://avp.fandom.com/wiki/Feral_Predator</x:v>
      </x:c>
    </x:row>
    <x:row r="30">
      <x:c r="A30" s="61" t="n">
        <x:v>2025</x:v>
      </x:c>
      <x:c r="B30" s="61" t="str">
        <x:v>Predator: Killer of Killers</x:v>
      </x:c>
      <x:c r="C30" s="61" t="str">
        <x:v>Grendel (Yautja)</x:v>
      </x:c>
      <x:c r="D30" s="61" t="str">
        <x:v>Segment viking; Jotun dans PHG</x:v>
      </x:c>
      <x:c r="E30" s="61" t="str">
        <x:v>Jotun Predator</x:v>
      </x:c>
      <x:c r="F30" s="61" t="str">
        <x:v>https://avp.fandom.com/wiki/Grendel_%28Yautja%29</x:v>
      </x:c>
    </x:row>
    <x:row r="31">
      <x:c r="A31" s="61" t="n">
        <x:v>2025</x:v>
      </x:c>
      <x:c r="B31" s="61" t="str">
        <x:v>Predator: Killer of Killers</x:v>
      </x:c>
      <x:c r="C31" s="61" t="str">
        <x:v>Oni Predator</x:v>
      </x:c>
      <x:c r="D31" s="61" t="str">
        <x:v>Segment Japon féodal</x:v>
      </x:c>
      <x:c r="E31" s="61" t="str">
        <x:v>Predator (Feudal Era)</x:v>
      </x:c>
      <x:c r="F31" s="61" t="str">
        <x:v>https://avp.fandom.com/wiki/Oni_Predator</x:v>
      </x:c>
    </x:row>
    <x:row r="32">
      <x:c r="A32" s="61" t="n">
        <x:v>2025</x:v>
      </x:c>
      <x:c r="B32" s="61" t="str">
        <x:v>Predator: Killer of Killers</x:v>
      </x:c>
      <x:c r="C32" s="61" t="str">
        <x:v>Predator (World War II)</x:v>
      </x:c>
      <x:c r="D32" s="61" t="str">
        <x:v>Pilote/chasseur</x:v>
      </x:c>
      <x:c r="E32" s="61" t="str"/>
      <x:c r="F32" s="61" t="str">
        <x:v>https://avp.fandom.com/wiki/Predator_%28World_War_II%29</x:v>
      </x:c>
    </x:row>
    <x:row r="33">
      <x:c r="A33" s="61" t="n">
        <x:v>2025</x:v>
      </x:c>
      <x:c r="B33" s="61" t="str">
        <x:v>Predator: Killer of Killers</x:v>
      </x:c>
      <x:c r="C33" s="61" t="str">
        <x:v>Grendel King</x:v>
      </x:c>
      <x:c r="D33" s="61" t="str">
        <x:v>Warlord / chef de clan</x:v>
      </x:c>
      <x:c r="E33" s="61" t="str"/>
      <x:c r="F33" s="61" t="str">
        <x:v>https://avp.fandom.com/wiki/Grendel_King</x:v>
      </x:c>
    </x:row>
    <x:row r="34">
      <x:c r="A34" s="61" t="n">
        <x:v>2025</x:v>
      </x:c>
      <x:c r="B34" s="61" t="str">
        <x:v>Predator: Badlands</x:v>
      </x:c>
      <x:c r="C34" s="61" t="str">
        <x:v>Dek</x:v>
      </x:c>
      <x:c r="D34" s="61" t="str">
        <x:v>Protagoniste Yautja</x:v>
      </x:c>
      <x:c r="E34" s="61" t="str"/>
      <x:c r="F34" s="61" t="str">
        <x:v>https://avp.fandom.com/wiki/Dek</x:v>
      </x:c>
    </x:row>
    <x:row r="35">
      <x:c r="A35" s="61" t="n">
        <x:v>2025</x:v>
      </x:c>
      <x:c r="B35" s="61" t="str">
        <x:v>Predator: Badlands</x:v>
      </x:c>
      <x:c r="C35" s="61" t="str">
        <x:v>Kwei</x:v>
      </x:c>
      <x:c r="D35" s="61" t="str">
        <x:v>Frère de Dek</x:v>
      </x:c>
      <x:c r="E35" s="61" t="str"/>
      <x:c r="F35" s="61" t="str">
        <x:v>https://avp.fandom.com/wiki/Kwei</x:v>
      </x:c>
    </x:row>
    <x:row r="36">
      <x:c r="A36" s="61" t="n">
        <x:v>2025</x:v>
      </x:c>
      <x:c r="B36" s="61" t="str">
        <x:v>Predator: Badlands</x:v>
      </x:c>
      <x:c r="C36" s="61" t="str">
        <x:v>Njohrr</x:v>
      </x:c>
      <x:c r="D36" s="61" t="str">
        <x:v>Père et chef de clan</x:v>
      </x:c>
      <x:c r="E36" s="61" t="str">
        <x:v>Father Predator</x:v>
      </x:c>
      <x:c r="F36" s="61" t="str">
        <x:v>https://avp.fandom.com/wiki/Njohrr</x:v>
      </x:c>
    </x:row>
    <x:row r="37">
      <x:c r="A37" s="61" t="str">
        <x:v>Non diffusé</x:v>
      </x:c>
      <x:c r="B37" s="61" t="str">
        <x:v>Aliens vs. Predator: Annihilation</x:v>
      </x:c>
      <x:c r="C37" s="61" t="str">
        <x:v>Bone (AVP: Annihilation)</x:v>
      </x:c>
      <x:c r="D37" s="61" t="str">
        <x:v>Anime CG achevé</x:v>
      </x:c>
      <x:c r="E37" s="61" t="str"/>
      <x:c r="F37" s="61" t="str">
        <x:v>https://avp.fandom.com/wiki/Bone_%28AVP%3A_Annihilation%29</x:v>
      </x:c>
    </x:row>
    <x:row r="38">
      <x:c r="A38" s="61" t="str">
        <x:v>Non diffusé</x:v>
      </x:c>
      <x:c r="B38" s="61" t="str">
        <x:v>Aliens vs. Predator: Annihilation</x:v>
      </x:c>
      <x:c r="C38" s="61" t="str">
        <x:v>Cyborg Predator (AVP: Annihilation)</x:v>
      </x:c>
      <x:c r="D38" s="61" t="str">
        <x:v>Anime CG achevé</x:v>
      </x:c>
      <x:c r="E38" s="61" t="str"/>
      <x:c r="F38" s="61" t="str">
        <x:v>https://avp.fandom.com/wiki/Cyborg_Predator_%28AVP%3A_Annihilation%29</x:v>
      </x:c>
    </x:row>
  </x:sheetData>
  <x:pageMargins left="0.7" right="0.7" top="0.75" bottom="0.75" header="0.3" footer="0.3"/>
  <x:tableParts count="1">
    <x:tablePart xmlns:r="http://schemas.openxmlformats.org/officeDocument/2006/relationships" r:id="R907cf9f302ac4d3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  <x:col min="3" max="3" width="40" hidden="0" customWidth="1"/>
    <x:col min="4" max="4" width="20" hidden="0" customWidth="1"/>
    <x:col min="5" max="5" width="30" hidden="0" customWidth="1"/>
    <x:col min="6" max="6" width="44" hidden="0" customWidth="1"/>
    <x:col min="7" max="7" width="52" hidden="0" customWidth="1"/>
  </x:cols>
  <x:sheetData>
    <x:row r="1" ht="32" customHeight="1">
      <x:c r="A1" s="53" t="str">
        <x:v>Yautja / classe</x:v>
      </x:c>
      <x:c r="B1" s="53" t="str">
        <x:v>Type</x:v>
      </x:c>
      <x:c r="C1" s="53" t="str">
        <x:v>Jeu principal</x:v>
      </x:c>
      <x:c r="D1" s="53" t="str">
        <x:v>Identité distincte ?</x:v>
      </x:c>
      <x:c r="E1" s="53" t="str">
        <x:v>Nom canonique</x:v>
      </x:c>
      <x:c r="F1" s="53" t="str">
        <x:v>Notes</x:v>
      </x:c>
      <x:c r="G1" s="53" t="str">
        <x:v>Source URL</x:v>
      </x:c>
    </x:row>
    <x:row r="2">
      <x:c r="A2" s="61" t="str">
        <x:v>Alien Head Predator</x:v>
      </x:c>
      <x:c r="B2" s="61" t="str">
        <x:v>Individu nommé ou surnommé</x:v>
      </x:c>
      <x:c r="C2" s="61" t="str">
        <x:v>Voir la source individuelle</x:v>
      </x:c>
      <x:c r="D2" s="61" t="str">
        <x:v>Oui</x:v>
      </x:c>
      <x:c r="E2" s="61" t="str"/>
      <x:c r="F2" s="61" t="str"/>
      <x:c r="G2" s="61" t="str">
        <x:v>https://avp.fandom.com/wiki/Alien_Head_Predator</x:v>
      </x:c>
    </x:row>
    <x:row r="3">
      <x:c r="A3" s="61" t="str">
        <x:v>Alpha Predator</x:v>
      </x:c>
      <x:c r="B3" s="61" t="str">
        <x:v>Individu de merchandising devenu jouable</x:v>
      </x:c>
      <x:c r="C3" s="61" t="str">
        <x:v>Predator: Hunting Grounds / NECA</x:v>
      </x:c>
      <x:c r="D3" s="61" t="str">
        <x:v>Oui</x:v>
      </x:c>
      <x:c r="E3" s="61" t="str"/>
      <x:c r="F3" s="61" t="str"/>
      <x:c r="G3" s="61" t="str">
        <x:v>https://avp.fandom.com/wiki/Alpha_Predator</x:v>
      </x:c>
    </x:row>
    <x:row r="4">
      <x:c r="A4" s="61" t="str">
        <x:v>Amazon Predator</x:v>
      </x:c>
      <x:c r="B4" s="61" t="str">
        <x:v>Individu nommé ou surnommé</x:v>
      </x:c>
      <x:c r="C4" s="61" t="str">
        <x:v>Predator: Hunting Grounds</x:v>
      </x:c>
      <x:c r="D4" s="61" t="str">
        <x:v>Oui</x:v>
      </x:c>
      <x:c r="E4" s="61" t="str"/>
      <x:c r="F4" s="61" t="str"/>
      <x:c r="G4" s="61" t="str">
        <x:v>https://avp.fandom.com/wiki/Amazon_Predator</x:v>
      </x:c>
    </x:row>
    <x:row r="5">
      <x:c r="A5" s="61" t="str">
        <x:v>Ancient Nuke Carrier</x:v>
      </x:c>
      <x:c r="B5" s="61" t="str">
        <x:v>Individu nommé ou surnommé</x:v>
      </x:c>
      <x:c r="C5" s="61" t="str">
        <x:v>Voir la source individuelle</x:v>
      </x:c>
      <x:c r="D5" s="61" t="str">
        <x:v>Oui</x:v>
      </x:c>
      <x:c r="E5" s="61" t="str"/>
      <x:c r="F5" s="61" t="str"/>
      <x:c r="G5" s="61" t="str">
        <x:v>https://avp.fandom.com/wiki/Ancient_Nuke_Carrier</x:v>
      </x:c>
    </x:row>
    <x:row r="6">
      <x:c r="A6" s="61" t="str">
        <x:v>Ancient Predator (LV-1201)</x:v>
      </x:c>
      <x:c r="B6" s="61" t="str">
        <x:v>Individu nommé ou surnommé</x:v>
      </x:c>
      <x:c r="C6" s="61" t="str">
        <x:v>Aliens versus Predator 2: Primal Hunt (2002)</x:v>
      </x:c>
      <x:c r="D6" s="61" t="str">
        <x:v>Oui</x:v>
      </x:c>
      <x:c r="E6" s="61" t="str"/>
      <x:c r="F6" s="61" t="str"/>
      <x:c r="G6" s="61" t="str">
        <x:v>https://avp.fandom.com/wiki/Ancient_Predator_%28LV-1201%29</x:v>
      </x:c>
    </x:row>
    <x:row r="7">
      <x:c r="A7" s="61" t="str">
        <x:v>Anubis Predator</x:v>
      </x:c>
      <x:c r="B7" s="61" t="str">
        <x:v>Individu jouable</x:v>
      </x:c>
      <x:c r="C7" s="61" t="str">
        <x:v>Predator: Hunting Grounds</x:v>
      </x:c>
      <x:c r="D7" s="61" t="str">
        <x:v>Oui</x:v>
      </x:c>
      <x:c r="E7" s="61" t="str"/>
      <x:c r="F7" s="61" t="str"/>
      <x:c r="G7" s="61" t="str">
        <x:v>https://avp.fandom.com/wiki/Anubis_Predator</x:v>
      </x:c>
    </x:row>
    <x:row r="8">
      <x:c r="A8" s="61" t="str">
        <x:v>Apex Predator</x:v>
      </x:c>
      <x:c r="B8" s="61" t="str">
        <x:v>Individu nommé ou surnommé</x:v>
      </x:c>
      <x:c r="C8" s="61" t="str">
        <x:v>Voir la source individuelle</x:v>
      </x:c>
      <x:c r="D8" s="61" t="str">
        <x:v>Oui</x:v>
      </x:c>
      <x:c r="E8" s="61" t="str"/>
      <x:c r="F8" s="61" t="str"/>
      <x:c r="G8" s="61" t="str">
        <x:v>https://avp.fandom.com/wiki/Apex_Predator</x:v>
      </x:c>
    </x:row>
    <x:row r="9">
      <x:c r="A9" s="61" t="str">
        <x:v>Bad Blood (Yautja)</x:v>
      </x:c>
      <x:c r="B9" s="61" t="str">
        <x:v>Rang / catégorie culturelle</x:v>
      </x:c>
      <x:c r="C9" s="61" t="str">
        <x:v>Concept récurrent de la franchise</x:v>
      </x:c>
      <x:c r="D9" s="61" t="str">
        <x:v>Non (rang)</x:v>
      </x:c>
      <x:c r="E9" s="61" t="str"/>
      <x:c r="F9" s="61" t="str">
        <x:v>Titre/catégorie culturelle, pas un individu.</x:v>
      </x:c>
      <x:c r="G9" s="61" t="str">
        <x:v>https://avp.fandom.com/wiki/Bad_Blood_%28Yautja%29</x:v>
      </x:c>
    </x:row>
    <x:row r="10">
      <x:c r="A10" s="61" t="str">
        <x:v>Berserker (Game Preserve Planet)</x:v>
      </x:c>
      <x:c r="B10" s="61" t="str">
        <x:v>Individu nommé ou surnommé</x:v>
      </x:c>
      <x:c r="C10" s="61" t="str">
        <x:v>Predators (2010)</x:v>
      </x:c>
      <x:c r="D10" s="61" t="str">
        <x:v>Oui</x:v>
      </x:c>
      <x:c r="E10" s="61" t="str"/>
      <x:c r="F10" s="61" t="str"/>
      <x:c r="G10" s="61" t="str">
        <x:v>https://avp.fandom.com/wiki/Berserker_%28Game_Preserve_Planet%29</x:v>
      </x:c>
    </x:row>
    <x:row r="11">
      <x:c r="A11" s="61" t="str">
        <x:v>Berserker (LV-412)</x:v>
      </x:c>
      <x:c r="B11" s="61" t="str">
        <x:v>Individu nommé ou surnommé</x:v>
      </x:c>
      <x:c r="C11" s="61" t="str">
        <x:v>Aliens vs. Predator: Extinction (2003)</x:v>
      </x:c>
      <x:c r="D11" s="61" t="str">
        <x:v>Oui</x:v>
      </x:c>
      <x:c r="E11" s="61" t="str"/>
      <x:c r="F11" s="61" t="str"/>
      <x:c r="G11" s="61" t="str">
        <x:v>https://avp.fandom.com/wiki/Berserker_%28LV-412%29</x:v>
      </x:c>
    </x:row>
    <x:row r="12">
      <x:c r="A12" s="61" t="str">
        <x:v>Bionic Predator</x:v>
      </x:c>
      <x:c r="B12" s="61" t="str">
        <x:v>Individu nommé ou surnommé</x:v>
      </x:c>
      <x:c r="C12" s="61" t="str">
        <x:v>Predator: Hunting Grounds</x:v>
      </x:c>
      <x:c r="D12" s="61" t="str">
        <x:v>Oui</x:v>
      </x:c>
      <x:c r="E12" s="61" t="str"/>
      <x:c r="F12" s="61" t="str"/>
      <x:c r="G12" s="61" t="str">
        <x:v>https://avp.fandom.com/wiki/Bionic_Predator</x:v>
      </x:c>
    </x:row>
    <x:row r="13">
      <x:c r="A13" s="61" t="str">
        <x:v>Blazer (title)</x:v>
      </x:c>
      <x:c r="B13" s="61" t="str">
        <x:v>Rang / classe</x:v>
      </x:c>
      <x:c r="C13" s="61" t="str">
        <x:v>Jeux Alien/Predator</x:v>
      </x:c>
      <x:c r="D13" s="61" t="str">
        <x:v>Non (rang)</x:v>
      </x:c>
      <x:c r="E13" s="61" t="str"/>
      <x:c r="F13" s="61" t="str"/>
      <x:c r="G13" s="61" t="str">
        <x:v>https://avp.fandom.com/wiki/Blazer_%28title%29</x:v>
      </x:c>
    </x:row>
    <x:row r="14">
      <x:c r="A14" s="61" t="str">
        <x:v>Brawler</x:v>
      </x:c>
      <x:c r="B14" s="61" t="str">
        <x:v>Classe / archétype de jeu</x:v>
      </x:c>
      <x:c r="C14" s="61" t="str">
        <x:v>Jeux Alien/Predator</x:v>
      </x:c>
      <x:c r="D14" s="61" t="str">
        <x:v>Non (rang)</x:v>
      </x:c>
      <x:c r="E14" s="61" t="str"/>
      <x:c r="F14" s="61" t="str"/>
      <x:c r="G14" s="61" t="str">
        <x:v>https://avp.fandom.com/wiki/Brawler</x:v>
      </x:c>
    </x:row>
    <x:row r="15">
      <x:c r="A15" s="61" t="str">
        <x:v>Captured Hunters</x:v>
      </x:c>
      <x:c r="B15" s="61" t="str">
        <x:v>Groupe / collectif</x:v>
      </x:c>
      <x:c r="C15" s="61" t="str">
        <x:v>Voir la source individuelle</x:v>
      </x:c>
      <x:c r="D15" s="61" t="str">
        <x:v>Non (groupe)</x:v>
      </x:c>
      <x:c r="E15" s="61" t="str"/>
      <x:c r="F15" s="61" t="str"/>
      <x:c r="G15" s="61" t="str">
        <x:v>https://avp.fandom.com/wiki/Captured_Hunters</x:v>
      </x:c>
    </x:row>
    <x:row r="16">
      <x:c r="A16" s="61" t="str">
        <x:v>Captured Predator</x:v>
      </x:c>
      <x:c r="B16" s="61" t="str">
        <x:v>Individu nommé ou surnommé</x:v>
      </x:c>
      <x:c r="C16" s="61" t="str">
        <x:v>Predators (2010)</x:v>
      </x:c>
      <x:c r="D16" s="61" t="str">
        <x:v>Alias</x:v>
      </x:c>
      <x:c r="E16" s="61" t="str">
        <x:v>Crucified Predator</x:v>
      </x:c>
      <x:c r="F16" s="61" t="str">
        <x:v>Même individu que le Crucified/Classic Predator de Predators (2010).</x:v>
      </x:c>
      <x:c r="G16" s="61" t="str">
        <x:v>https://avp.fandom.com/wiki/Captured_Predator</x:v>
      </x:c>
    </x:row>
    <x:row r="17">
      <x:c r="A17" s="61" t="str">
        <x:v>Celtic</x:v>
      </x:c>
      <x:c r="B17" s="61" t="str">
        <x:v>Individu nommé ou surnommé</x:v>
      </x:c>
      <x:c r="C17" s="61" t="str">
        <x:v>Alien vs. Predator (2004)</x:v>
      </x:c>
      <x:c r="D17" s="61" t="str">
        <x:v>Oui</x:v>
      </x:c>
      <x:c r="E17" s="61" t="str"/>
      <x:c r="F17" s="61" t="str"/>
      <x:c r="G17" s="61" t="str">
        <x:v>https://avp.fandom.com/wiki/Celtic</x:v>
      </x:c>
    </x:row>
    <x:row r="18">
      <x:c r="A18" s="61" t="str">
        <x:v>Chopper</x:v>
      </x:c>
      <x:c r="B18" s="61" t="str">
        <x:v>Individu nommé ou surnommé</x:v>
      </x:c>
      <x:c r="C18" s="61" t="str">
        <x:v>Alien vs. Predator (2004)</x:v>
      </x:c>
      <x:c r="D18" s="61" t="str">
        <x:v>Oui</x:v>
      </x:c>
      <x:c r="E18" s="61" t="str"/>
      <x:c r="F18" s="61" t="str"/>
      <x:c r="G18" s="61" t="str">
        <x:v>https://avp.fandom.com/wiki/Chopper</x:v>
      </x:c>
    </x:row>
    <x:row r="19">
      <x:c r="A19" s="61" t="str">
        <x:v>Claw</x:v>
      </x:c>
      <x:c r="B19" s="61" t="str">
        <x:v>Individu nommé ou surnommé</x:v>
      </x:c>
      <x:c r="C19" s="61" t="str">
        <x:v>Voir la source individuelle</x:v>
      </x:c>
      <x:c r="D19" s="61" t="str">
        <x:v>Oui</x:v>
      </x:c>
      <x:c r="E19" s="61" t="str"/>
      <x:c r="F19" s="61" t="str"/>
      <x:c r="G19" s="61" t="str">
        <x:v>https://avp.fandom.com/wiki/Claw</x:v>
      </x:c>
    </x:row>
    <x:row r="20">
      <x:c r="A20" s="61" t="str">
        <x:v>Cleopatra</x:v>
      </x:c>
      <x:c r="B20" s="61" t="str">
        <x:v>Individu nommé ou surnommé</x:v>
      </x:c>
      <x:c r="C20" s="61" t="str">
        <x:v>Predator: Hunting Grounds</x:v>
      </x:c>
      <x:c r="D20" s="61" t="str">
        <x:v>Oui</x:v>
      </x:c>
      <x:c r="E20" s="61" t="str"/>
      <x:c r="F20" s="61" t="str"/>
      <x:c r="G20" s="61" t="str">
        <x:v>https://avp.fandom.com/wiki/Cleopatra</x:v>
      </x:c>
    </x:row>
    <x:row r="21">
      <x:c r="A21" s="61" t="str">
        <x:v>Dark</x:v>
      </x:c>
      <x:c r="B21" s="61" t="str">
        <x:v>Individu nommé ou surnommé</x:v>
      </x:c>
      <x:c r="C21" s="61" t="str">
        <x:v>Aliens vs. Predator (2010)</x:v>
      </x:c>
      <x:c r="D21" s="61" t="str">
        <x:v>Oui</x:v>
      </x:c>
      <x:c r="E21" s="61" t="str"/>
      <x:c r="F21" s="61" t="str"/>
      <x:c r="G21" s="61" t="str">
        <x:v>https://avp.fandom.com/wiki/Dark</x:v>
      </x:c>
    </x:row>
    <x:row r="22">
      <x:c r="A22" s="61" t="str">
        <x:v>Disc Master</x:v>
      </x:c>
      <x:c r="B22" s="61" t="str">
        <x:v>Rang / classe</x:v>
      </x:c>
      <x:c r="C22" s="61" t="str">
        <x:v>Jeux Alien/Predator</x:v>
      </x:c>
      <x:c r="D22" s="61" t="str">
        <x:v>Non (rang)</x:v>
      </x:c>
      <x:c r="E22" s="61" t="str"/>
      <x:c r="F22" s="61" t="str"/>
      <x:c r="G22" s="61" t="str">
        <x:v>https://avp.fandom.com/wiki/Disc_Master</x:v>
      </x:c>
    </x:row>
    <x:row r="23">
      <x:c r="A23" s="61" t="str">
        <x:v>Elder (New Way City)</x:v>
      </x:c>
      <x:c r="B23" s="61" t="str">
        <x:v>Individu de jeu vidéo</x:v>
      </x:c>
      <x:c r="C23" s="61" t="str">
        <x:v>Predator: Concrete Jungle</x:v>
      </x:c>
      <x:c r="D23" s="61" t="str">
        <x:v>Oui</x:v>
      </x:c>
      <x:c r="E23" s="61" t="str"/>
      <x:c r="F23" s="61" t="str"/>
      <x:c r="G23" s="61" t="str">
        <x:v>https://avp.fandom.com/wiki/Elder_%28New_Way_City%29</x:v>
      </x:c>
    </x:row>
    <x:row r="24">
      <x:c r="A24" s="61" t="str">
        <x:v>Elder Predator (Predator: Hunting Grounds)</x:v>
      </x:c>
      <x:c r="B24" s="61" t="str">
        <x:v>Individu nommé ou surnommé</x:v>
      </x:c>
      <x:c r="C24" s="61" t="str">
        <x:v>Predator: Hunting Grounds</x:v>
      </x:c>
      <x:c r="D24" s="61" t="str">
        <x:v>Oui</x:v>
      </x:c>
      <x:c r="E24" s="61" t="str"/>
      <x:c r="F24" s="61" t="str"/>
      <x:c r="G24" s="61" t="str">
        <x:v>https://avp.fandom.com/wiki/Elder_Predator_%28Predator%3A_Hunting_Grounds%29</x:v>
      </x:c>
    </x:row>
    <x:row r="25">
      <x:c r="A25" s="61" t="str">
        <x:v>Elite Clan</x:v>
      </x:c>
      <x:c r="B25" s="61" t="str">
        <x:v>Groupe / clan</x:v>
      </x:c>
      <x:c r="C25" s="61" t="str">
        <x:v>Aliens vs. Predator (2010)</x:v>
      </x:c>
      <x:c r="D25" s="61" t="str">
        <x:v>Non (groupe)</x:v>
      </x:c>
      <x:c r="E25" s="61" t="str"/>
      <x:c r="F25" s="61" t="str"/>
      <x:c r="G25" s="61" t="str">
        <x:v>https://avp.fandom.com/wiki/Elite_Clan</x:v>
      </x:c>
    </x:row>
    <x:row r="26">
      <x:c r="A26" s="61" t="str">
        <x:v>Emissary Predator</x:v>
      </x:c>
      <x:c r="B26" s="61" t="str">
        <x:v>Désignation collective / individus supprimés</x:v>
      </x:c>
      <x:c r="C26" s="61" t="str">
        <x:v>The Predator (2018), scènes supprimées</x:v>
      </x:c>
      <x:c r="D26" s="61" t="str">
        <x:v>Oui</x:v>
      </x:c>
      <x:c r="E26" s="61" t="str"/>
      <x:c r="F26" s="61" t="str">
        <x:v>Deux Emissaries avaient été tournés pour The Predator; scènes retirées du montage cinéma. La désignation collective est conservée ici.</x:v>
      </x:c>
      <x:c r="G26" s="61" t="str">
        <x:v>https://avp.fandom.com/wiki/Emissary_Predator</x:v>
      </x:c>
    </x:row>
    <x:row r="27">
      <x:c r="A27" s="61" t="str">
        <x:v>Exalted Predator</x:v>
      </x:c>
      <x:c r="B27" s="61" t="str">
        <x:v>Individu jouable</x:v>
      </x:c>
      <x:c r="C27" s="61" t="str">
        <x:v>Predator: Hunting Grounds</x:v>
      </x:c>
      <x:c r="D27" s="61" t="str">
        <x:v>Oui</x:v>
      </x:c>
      <x:c r="E27" s="61" t="str"/>
      <x:c r="F27" s="61" t="str"/>
      <x:c r="G27" s="61" t="str">
        <x:v>https://avp.fandom.com/wiki/Exalted_Predator</x:v>
      </x:c>
    </x:row>
    <x:row r="28">
      <x:c r="A28" s="61" t="str">
        <x:v>Exiled Predator</x:v>
      </x:c>
      <x:c r="B28" s="61" t="str">
        <x:v>Individu nommé ou surnommé</x:v>
      </x:c>
      <x:c r="C28" s="61" t="str">
        <x:v>Predator: Hunting Grounds</x:v>
      </x:c>
      <x:c r="D28" s="61" t="str">
        <x:v>Oui</x:v>
      </x:c>
      <x:c r="E28" s="61" t="str"/>
      <x:c r="F28" s="61" t="str"/>
      <x:c r="G28" s="61" t="str">
        <x:v>https://avp.fandom.com/wiki/Exiled_Predator</x:v>
      </x:c>
    </x:row>
    <x:row r="29">
      <x:c r="A29" s="61" t="str">
        <x:v>Falconer (Game Preserve Planet)</x:v>
      </x:c>
      <x:c r="B29" s="61" t="str">
        <x:v>Individu nommé ou surnommé</x:v>
      </x:c>
      <x:c r="C29" s="61" t="str">
        <x:v>Predators (2010)</x:v>
      </x:c>
      <x:c r="D29" s="61" t="str">
        <x:v>Oui</x:v>
      </x:c>
      <x:c r="E29" s="61" t="str"/>
      <x:c r="F29" s="61" t="str"/>
      <x:c r="G29" s="61" t="str">
        <x:v>https://avp.fandom.com/wiki/Falconer_%28Game_Preserve_Planet%29</x:v>
      </x:c>
    </x:row>
    <x:row r="30">
      <x:c r="A30" s="61" t="str">
        <x:v>Father Predator</x:v>
      </x:c>
      <x:c r="B30" s="61" t="str">
        <x:v>Alias</x:v>
      </x:c>
      <x:c r="C30" s="61" t="str">
        <x:v>Predator: Hunting Grounds (alias de Njohrr)</x:v>
      </x:c>
      <x:c r="D30" s="61" t="str">
        <x:v>Alias</x:v>
      </x:c>
      <x:c r="E30" s="61" t="str">
        <x:v>Njohrr</x:v>
      </x:c>
      <x:c r="F30" s="61" t="str"/>
      <x:c r="G30" s="61" t="str">
        <x:v>https://avp.fandom.com/wiki/Father_Predator</x:v>
      </x:c>
    </x:row>
    <x:row r="31">
      <x:c r="A31" s="61" t="str">
        <x:v>Feral Predator</x:v>
      </x:c>
      <x:c r="B31" s="61" t="str">
        <x:v>Individu nommé ou surnommé</x:v>
      </x:c>
      <x:c r="C31" s="61" t="str">
        <x:v>Prey (2022)</x:v>
      </x:c>
      <x:c r="D31" s="61" t="str">
        <x:v>Oui</x:v>
      </x:c>
      <x:c r="E31" s="61" t="str"/>
      <x:c r="F31" s="61" t="str"/>
      <x:c r="G31" s="61" t="str">
        <x:v>https://avp.fandom.com/wiki/Feral_Predator</x:v>
      </x:c>
    </x:row>
    <x:row r="32">
      <x:c r="A32" s="61" t="str">
        <x:v>Gladiator Predator</x:v>
      </x:c>
      <x:c r="B32" s="61" t="str">
        <x:v>Individu jouable</x:v>
      </x:c>
      <x:c r="C32" s="61" t="str">
        <x:v>Predator: Hunting Grounds</x:v>
      </x:c>
      <x:c r="D32" s="61" t="str">
        <x:v>Oui</x:v>
      </x:c>
      <x:c r="E32" s="61" t="str"/>
      <x:c r="F32" s="61" t="str"/>
      <x:c r="G32" s="61" t="str">
        <x:v>https://avp.fandom.com/wiki/Gladiator_Predator</x:v>
      </x:c>
    </x:row>
    <x:row r="33">
      <x:c r="A33" s="61" t="str">
        <x:v>Hunter (Elite Clan)</x:v>
      </x:c>
      <x:c r="B33" s="61" t="str">
        <x:v>Individu nommé ou surnommé</x:v>
      </x:c>
      <x:c r="C33" s="61" t="str">
        <x:v>Voir la source individuelle</x:v>
      </x:c>
      <x:c r="D33" s="61" t="str">
        <x:v>Oui</x:v>
      </x:c>
      <x:c r="E33" s="61" t="str"/>
      <x:c r="F33" s="61" t="str"/>
      <x:c r="G33" s="61" t="str">
        <x:v>https://avp.fandom.com/wiki/Hunter_%28Elite_Clan%29</x:v>
      </x:c>
    </x:row>
    <x:row r="34">
      <x:c r="A34" s="61" t="str">
        <x:v>Hunter (title)</x:v>
      </x:c>
      <x:c r="B34" s="61" t="str">
        <x:v>Rang / classe</x:v>
      </x:c>
      <x:c r="C34" s="61" t="str">
        <x:v>Franchise Predator</x:v>
      </x:c>
      <x:c r="D34" s="61" t="str">
        <x:v>Non (rang)</x:v>
      </x:c>
      <x:c r="E34" s="61" t="str"/>
      <x:c r="F34" s="61" t="str"/>
      <x:c r="G34" s="61" t="str">
        <x:v>https://avp.fandom.com/wiki/Hunter_%28title%29</x:v>
      </x:c>
    </x:row>
    <x:row r="35">
      <x:c r="A35" s="61" t="str">
        <x:v>Isolated Clan</x:v>
      </x:c>
      <x:c r="B35" s="61" t="str">
        <x:v>Groupe / clan</x:v>
      </x:c>
      <x:c r="C35" s="61" t="str">
        <x:v>Franchise AVP</x:v>
      </x:c>
      <x:c r="D35" s="61" t="str">
        <x:v>Non (groupe)</x:v>
      </x:c>
      <x:c r="E35" s="61" t="str"/>
      <x:c r="F35" s="61" t="str"/>
      <x:c r="G35" s="61" t="str">
        <x:v>https://avp.fandom.com/wiki/Isolated_Clan</x:v>
      </x:c>
    </x:row>
    <x:row r="36">
      <x:c r="A36" s="61" t="str">
        <x:v>Jotun Predator</x:v>
      </x:c>
      <x:c r="B36" s="61" t="str">
        <x:v>Alias</x:v>
      </x:c>
      <x:c r="C36" s="61" t="str">
        <x:v>Predator: Hunting Grounds (alias de Grendel)</x:v>
      </x:c>
      <x:c r="D36" s="61" t="str">
        <x:v>Alias</x:v>
      </x:c>
      <x:c r="E36" s="61" t="str">
        <x:v>Grendel (Yautja)</x:v>
      </x:c>
      <x:c r="F36" s="61" t="str"/>
      <x:c r="G36" s="61" t="str">
        <x:v>https://avp.fandom.com/wiki/Jotun_Predator</x:v>
      </x:c>
    </x:row>
    <x:row r="37">
      <x:c r="A37" s="61" t="str">
        <x:v>Kaail</x:v>
      </x:c>
      <x:c r="B37" s="61" t="str">
        <x:v>Individu nommé ou surnommé</x:v>
      </x:c>
      <x:c r="C37" s="61" t="str">
        <x:v>Voir la source individuelle</x:v>
      </x:c>
      <x:c r="D37" s="61" t="str">
        <x:v>Oui</x:v>
      </x:c>
      <x:c r="E37" s="61" t="str"/>
      <x:c r="F37" s="61" t="str"/>
      <x:c r="G37" s="61" t="str">
        <x:v>https://avp.fandom.com/wiki/Kaail</x:v>
      </x:c>
    </x:row>
    <x:row r="38">
      <x:c r="A38" s="61" t="str">
        <x:v>Long Spear</x:v>
      </x:c>
      <x:c r="B38" s="61" t="str">
        <x:v>Individu nommé ou surnommé</x:v>
      </x:c>
      <x:c r="C38" s="61" t="str">
        <x:v>Predator: Concrete Jungle (2005)</x:v>
      </x:c>
      <x:c r="D38" s="61" t="str">
        <x:v>Oui</x:v>
      </x:c>
      <x:c r="E38" s="61" t="str"/>
      <x:c r="F38" s="61" t="str"/>
      <x:c r="G38" s="61" t="str">
        <x:v>https://avp.fandom.com/wiki/Long_Spear</x:v>
      </x:c>
    </x:row>
    <x:row r="39">
      <x:c r="A39" s="61" t="str">
        <x:v>Lord</x:v>
      </x:c>
      <x:c r="B39" s="61" t="str">
        <x:v>Individu nommé ou surnommé</x:v>
      </x:c>
      <x:c r="C39" s="61" t="str">
        <x:v>Aliens versus Predator 2: Primal Hunt (2002)</x:v>
      </x:c>
      <x:c r="D39" s="61" t="str">
        <x:v>Oui</x:v>
      </x:c>
      <x:c r="E39" s="61" t="str"/>
      <x:c r="F39" s="61" t="str"/>
      <x:c r="G39" s="61" t="str">
        <x:v>https://avp.fandom.com/wiki/Lord</x:v>
      </x:c>
    </x:row>
    <x:row r="40">
      <x:c r="A40" s="61" t="str">
        <x:v>Mad Predator</x:v>
      </x:c>
      <x:c r="B40" s="61" t="str">
        <x:v>Individu nommé ou surnommé</x:v>
      </x:c>
      <x:c r="C40" s="61" t="str">
        <x:v>Alien vs. Predator (arcade, 1994)</x:v>
      </x:c>
      <x:c r="D40" s="61" t="str">
        <x:v>Oui</x:v>
      </x:c>
      <x:c r="E40" s="61" t="str"/>
      <x:c r="F40" s="61" t="str"/>
      <x:c r="G40" s="61" t="str">
        <x:v>https://avp.fandom.com/wiki/Mad_Predator</x:v>
      </x:c>
    </x:row>
    <x:row r="41">
      <x:c r="A41" s="61" t="str">
        <x:v>Mr. Black</x:v>
      </x:c>
      <x:c r="B41" s="61" t="str">
        <x:v>Alias</x:v>
      </x:c>
      <x:c r="C41" s="61" t="str">
        <x:v>Predators (2010)</x:v>
      </x:c>
      <x:c r="D41" s="61" t="str">
        <x:v>Alias</x:v>
      </x:c>
      <x:c r="E41" s="61" t="str">
        <x:v>Berserker (Game Preserve Planet)</x:v>
      </x:c>
      <x:c r="F41" s="61" t="str"/>
      <x:c r="G41" s="61" t="str">
        <x:v>https://avp.fandom.com/wiki/Mr._Black</x:v>
      </x:c>
    </x:row>
    <x:row r="42">
      <x:c r="A42" s="61" t="str">
        <x:v>Oni Predator</x:v>
      </x:c>
      <x:c r="B42" s="61" t="str">
        <x:v>Individu nommé ou surnommé</x:v>
      </x:c>
      <x:c r="C42" s="61" t="str">
        <x:v>Predator: Killer of Killers (2025)</x:v>
      </x:c>
      <x:c r="D42" s="61" t="str">
        <x:v>Oui</x:v>
      </x:c>
      <x:c r="E42" s="61" t="str"/>
      <x:c r="F42" s="61" t="str">
        <x:v>Aussi catalogué comme Predator (Feudal Era).</x:v>
      </x:c>
      <x:c r="G42" s="61" t="str">
        <x:v>https://avp.fandom.com/wiki/Oni_Predator</x:v>
      </x:c>
    </x:row>
    <x:row r="43">
      <x:c r="A43" s="61" t="str">
        <x:v>Pirate Predator</x:v>
      </x:c>
      <x:c r="B43" s="61" t="str">
        <x:v>Individu nommé ou surnommé</x:v>
      </x:c>
      <x:c r="C43" s="61" t="str">
        <x:v>Predator: Hunting Grounds</x:v>
      </x:c>
      <x:c r="D43" s="61" t="str">
        <x:v>Oui</x:v>
      </x:c>
      <x:c r="E43" s="61" t="str"/>
      <x:c r="F43" s="61" t="str"/>
      <x:c r="G43" s="61" t="str">
        <x:v>https://avp.fandom.com/wiki/Pirate_Predator</x:v>
      </x:c>
    </x:row>
    <x:row r="44">
      <x:c r="A44" s="61" t="str">
        <x:v>Prince</x:v>
      </x:c>
      <x:c r="B44" s="61" t="str">
        <x:v>Individu nommé ou surnommé</x:v>
      </x:c>
      <x:c r="C44" s="61" t="str">
        <x:v>Aliens versus Predator 2 (2001)</x:v>
      </x:c>
      <x:c r="D44" s="61" t="str">
        <x:v>Oui</x:v>
      </x:c>
      <x:c r="E44" s="61" t="str"/>
      <x:c r="F44" s="61" t="str"/>
      <x:c r="G44" s="61" t="str">
        <x:v>https://avp.fandom.com/wiki/Prince</x:v>
      </x:c>
    </x:row>
    <x:row r="45">
      <x:c r="A45" s="61" t="str">
        <x:v>Samurai Predator</x:v>
      </x:c>
      <x:c r="B45" s="61" t="str">
        <x:v>Individu nommé ou surnommé</x:v>
      </x:c>
      <x:c r="C45" s="61" t="str">
        <x:v>Predator: Hunting Grounds</x:v>
      </x:c>
      <x:c r="D45" s="61" t="str">
        <x:v>Oui</x:v>
      </x:c>
      <x:c r="E45" s="61" t="str"/>
      <x:c r="F45" s="61" t="str"/>
      <x:c r="G45" s="61" t="str">
        <x:v>https://avp.fandom.com/wiki/Samurai_Predator</x:v>
      </x:c>
    </x:row>
    <x:row r="46">
      <x:c r="A46" s="61" t="str">
        <x:v>Scar</x:v>
      </x:c>
      <x:c r="B46" s="61" t="str">
        <x:v>Individu nommé ou surnommé</x:v>
      </x:c>
      <x:c r="C46" s="61" t="str">
        <x:v>Alien vs. Predator (2004)</x:v>
      </x:c>
      <x:c r="D46" s="61" t="str">
        <x:v>Oui</x:v>
      </x:c>
      <x:c r="E46" s="61" t="str"/>
      <x:c r="F46" s="61" t="str"/>
      <x:c r="G46" s="61" t="str">
        <x:v>https://avp.fandom.com/wiki/Scar</x:v>
      </x:c>
    </x:row>
    <x:row r="47">
      <x:c r="A47" s="61" t="str">
        <x:v>Scarface</x:v>
      </x:c>
      <x:c r="B47" s="61" t="str">
        <x:v>Individu nommé ou surnommé</x:v>
      </x:c>
      <x:c r="C47" s="61" t="str">
        <x:v>Predator: Concrete Jungle (2005)</x:v>
      </x:c>
      <x:c r="D47" s="61" t="str">
        <x:v>Oui</x:v>
      </x:c>
      <x:c r="E47" s="61" t="str"/>
      <x:c r="F47" s="61" t="str"/>
      <x:c r="G47" s="61" t="str">
        <x:v>https://avp.fandom.com/wiki/Scarface</x:v>
      </x:c>
    </x:row>
    <x:row r="48">
      <x:c r="A48" s="61" t="str">
        <x:v>Spartan</x:v>
      </x:c>
      <x:c r="B48" s="61" t="str">
        <x:v>Individu nommé ou surnommé</x:v>
      </x:c>
      <x:c r="C48" s="61" t="str">
        <x:v>Aliens vs. Predator (2010)</x:v>
      </x:c>
      <x:c r="D48" s="61" t="str">
        <x:v>Oui</x:v>
      </x:c>
      <x:c r="E48" s="61" t="str"/>
      <x:c r="F48" s="61" t="str"/>
      <x:c r="G48" s="61" t="str">
        <x:v>https://avp.fandom.com/wiki/Spartan</x:v>
      </x:c>
    </x:row>
    <x:row r="49">
      <x:c r="A49" s="61" t="str">
        <x:v>Spear Master</x:v>
      </x:c>
      <x:c r="B49" s="61" t="str">
        <x:v>Rang / classe</x:v>
      </x:c>
      <x:c r="C49" s="61" t="str">
        <x:v>Jeux Alien/Predator</x:v>
      </x:c>
      <x:c r="D49" s="61" t="str">
        <x:v>Non (rang)</x:v>
      </x:c>
      <x:c r="E49" s="61" t="str"/>
      <x:c r="F49" s="61" t="str"/>
      <x:c r="G49" s="61" t="str">
        <x:v>https://avp.fandom.com/wiki/Spear_Master</x:v>
      </x:c>
    </x:row>
    <x:row r="50">
      <x:c r="A50" s="61" t="str">
        <x:v>Stalker (Elite Clan)</x:v>
      </x:c>
      <x:c r="B50" s="61" t="str">
        <x:v>Individu / skin de jeu</x:v>
      </x:c>
      <x:c r="C50" s="61" t="str">
        <x:v>Aliens vs. Predator (2010)</x:v>
      </x:c>
      <x:c r="D50" s="61" t="str">
        <x:v>Oui</x:v>
      </x:c>
      <x:c r="E50" s="61" t="str"/>
      <x:c r="F50" s="61" t="str"/>
      <x:c r="G50" s="61" t="str">
        <x:v>https://avp.fandom.com/wiki/Stalker_%28Elite_Clan%29</x:v>
      </x:c>
    </x:row>
    <x:row r="51">
      <x:c r="A51" s="61" t="str">
        <x:v>Stalker (title)</x:v>
      </x:c>
      <x:c r="B51" s="61" t="str">
        <x:v>Rang / classe</x:v>
      </x:c>
      <x:c r="C51" s="61" t="str">
        <x:v>Franchise Predator</x:v>
      </x:c>
      <x:c r="D51" s="61" t="str">
        <x:v>Non (rang)</x:v>
      </x:c>
      <x:c r="E51" s="61" t="str"/>
      <x:c r="F51" s="61" t="str"/>
      <x:c r="G51" s="61" t="str">
        <x:v>https://avp.fandom.com/wiki/Stalker_%28title%29</x:v>
      </x:c>
    </x:row>
    <x:row r="52">
      <x:c r="A52" s="61" t="str">
        <x:v>Stone Heart</x:v>
      </x:c>
      <x:c r="B52" s="61" t="str">
        <x:v>Individu nommé ou surnommé</x:v>
      </x:c>
      <x:c r="C52" s="61" t="str">
        <x:v>Predator: Concrete Jungle (2005)</x:v>
      </x:c>
      <x:c r="D52" s="61" t="str">
        <x:v>Oui</x:v>
      </x:c>
      <x:c r="E52" s="61" t="str"/>
      <x:c r="F52" s="61" t="str"/>
      <x:c r="G52" s="61" t="str">
        <x:v>https://avp.fandom.com/wiki/Stone_Heart</x:v>
      </x:c>
    </x:row>
    <x:row r="53">
      <x:c r="A53" s="61" t="str">
        <x:v>Super Predators</x:v>
      </x:c>
      <x:c r="B53" s="61" t="str">
        <x:v>Groupe / branche</x:v>
      </x:c>
      <x:c r="C53" s="61" t="str">
        <x:v>Predators (2010) et dérivés</x:v>
      </x:c>
      <x:c r="D53" s="61" t="str">
        <x:v>Non (groupe)</x:v>
      </x:c>
      <x:c r="E53" s="61" t="str"/>
      <x:c r="F53" s="61" t="str"/>
      <x:c r="G53" s="61" t="str">
        <x:v>https://avp.fandom.com/wiki/Super_Predators</x:v>
      </x:c>
    </x:row>
    <x:row r="54">
      <x:c r="A54" s="61" t="str">
        <x:v>Swift Knife</x:v>
      </x:c>
      <x:c r="B54" s="61" t="str">
        <x:v>Individu nommé ou surnommé</x:v>
      </x:c>
      <x:c r="C54" s="61" t="str">
        <x:v>Predator: Concrete Jungle (2005)</x:v>
      </x:c>
      <x:c r="D54" s="61" t="str">
        <x:v>Oui</x:v>
      </x:c>
      <x:c r="E54" s="61" t="str"/>
      <x:c r="F54" s="61" t="str"/>
      <x:c r="G54" s="61" t="str">
        <x:v>https://avp.fandom.com/wiki/Swift_Knife</x:v>
      </x:c>
    </x:row>
    <x:row r="55">
      <x:c r="A55" s="61" t="str">
        <x:v>Tracker</x:v>
      </x:c>
      <x:c r="B55" s="61" t="str">
        <x:v>Individu nommé ou surnommé</x:v>
      </x:c>
      <x:c r="C55" s="61" t="str">
        <x:v>Predators (2010)</x:v>
      </x:c>
      <x:c r="D55" s="61" t="str">
        <x:v>Oui</x:v>
      </x:c>
      <x:c r="E55" s="61" t="str"/>
      <x:c r="F55" s="61" t="str"/>
      <x:c r="G55" s="61" t="str">
        <x:v>https://avp.fandom.com/wiki/Tracker</x:v>
      </x:c>
    </x:row>
    <x:row r="56">
      <x:c r="A56" s="61" t="str">
        <x:v>Unnamed Elite Predator (BG-386)</x:v>
      </x:c>
      <x:c r="B56" s="61" t="str">
        <x:v>Individu anonyme désigné</x:v>
      </x:c>
      <x:c r="C56" s="61" t="str">
        <x:v>Aliens vs. Predator (2010)</x:v>
      </x:c>
      <x:c r="D56" s="61" t="str">
        <x:v>Oui</x:v>
      </x:c>
      <x:c r="E56" s="61" t="str"/>
      <x:c r="F56" s="61" t="str"/>
      <x:c r="G56" s="61" t="str">
        <x:v>https://avp.fandom.com/wiki/Unnamed_Elite_Predator_%28BG-386%29</x:v>
      </x:c>
    </x:row>
    <x:row r="57">
      <x:c r="A57" s="61" t="str">
        <x:v>Unnamed First Predator (Odobenus)</x:v>
      </x:c>
      <x:c r="B57" s="61" t="str">
        <x:v>Individu anonyme désigné</x:v>
      </x:c>
      <x:c r="C57" s="61" t="str">
        <x:v>Voir la source individuelle</x:v>
      </x:c>
      <x:c r="D57" s="61" t="str">
        <x:v>Oui</x:v>
      </x:c>
      <x:c r="E57" s="61" t="str"/>
      <x:c r="F57" s="61" t="str"/>
      <x:c r="G57" s="61" t="str">
        <x:v>https://avp.fandom.com/wiki/Unnamed_First_Predator_%28Odobenus%29</x:v>
      </x:c>
    </x:row>
    <x:row r="58">
      <x:c r="A58" s="61" t="str">
        <x:v>Unnamed Gateway Predators</x:v>
      </x:c>
      <x:c r="B58" s="61" t="str">
        <x:v>Groupe / collectif</x:v>
      </x:c>
      <x:c r="C58" s="61" t="str">
        <x:v>Voir la source individuelle</x:v>
      </x:c>
      <x:c r="D58" s="61" t="str">
        <x:v>Non (groupe)</x:v>
      </x:c>
      <x:c r="E58" s="61" t="str"/>
      <x:c r="F58" s="61" t="str"/>
      <x:c r="G58" s="61" t="str">
        <x:v>https://avp.fandom.com/wiki/Unnamed_Gateway_Predators</x:v>
      </x:c>
    </x:row>
    <x:row r="59">
      <x:c r="A59" s="61" t="str">
        <x:v>Unnamed Jungle Hunter Predator (Temple Arena)</x:v>
      </x:c>
      <x:c r="B59" s="61" t="str">
        <x:v>Individu anonyme désigné</x:v>
      </x:c>
      <x:c r="C59" s="61" t="str">
        <x:v>Voir la source individuelle</x:v>
      </x:c>
      <x:c r="D59" s="61" t="str">
        <x:v>Oui</x:v>
      </x:c>
      <x:c r="E59" s="61" t="str"/>
      <x:c r="F59" s="61" t="str"/>
      <x:c r="G59" s="61" t="str">
        <x:v>https://avp.fandom.com/wiki/Unnamed_Jungle_Hunter_Predator_%28Temple_Arena%29</x:v>
      </x:c>
    </x:row>
    <x:row r="60">
      <x:c r="A60" s="61" t="str">
        <x:v>Unnamed Predator (LV-426)</x:v>
      </x:c>
      <x:c r="B60" s="61" t="str">
        <x:v>Individu anonyme désigné</x:v>
      </x:c>
      <x:c r="C60" s="61" t="str">
        <x:v>Voir la source individuelle</x:v>
      </x:c>
      <x:c r="D60" s="61" t="str">
        <x:v>Oui</x:v>
      </x:c>
      <x:c r="E60" s="61" t="str"/>
      <x:c r="F60" s="61" t="str"/>
      <x:c r="G60" s="61" t="str">
        <x:v>https://avp.fandom.com/wiki/Unnamed_Predator_%28LV-426%29</x:v>
      </x:c>
    </x:row>
    <x:row r="61">
      <x:c r="A61" s="61" t="str">
        <x:v>Unnamed Predator (Tyrargo)</x:v>
      </x:c>
      <x:c r="B61" s="61" t="str">
        <x:v>Individu anonyme désigné</x:v>
      </x:c>
      <x:c r="C61" s="61" t="str">
        <x:v>Voir la source individuelle</x:v>
      </x:c>
      <x:c r="D61" s="61" t="str">
        <x:v>Oui</x:v>
      </x:c>
      <x:c r="E61" s="61" t="str"/>
      <x:c r="F61" s="61" t="str"/>
      <x:c r="G61" s="61" t="str">
        <x:v>https://avp.fandom.com/wiki/Unnamed_Predator_%28Tyrargo%29</x:v>
      </x:c>
    </x:row>
    <x:row r="62">
      <x:c r="A62" s="61" t="str">
        <x:v>Unnamed Second Predator (Odobenus)</x:v>
      </x:c>
      <x:c r="B62" s="61" t="str">
        <x:v>Individu anonyme désigné</x:v>
      </x:c>
      <x:c r="C62" s="61" t="str">
        <x:v>Voir la source individuelle</x:v>
      </x:c>
      <x:c r="D62" s="61" t="str">
        <x:v>Oui</x:v>
      </x:c>
      <x:c r="E62" s="61" t="str"/>
      <x:c r="F62" s="61" t="str"/>
      <x:c r="G62" s="61" t="str">
        <x:v>https://avp.fandom.com/wiki/Unnamed_Second_Predator_%28Odobenus%29</x:v>
      </x:c>
    </x:row>
    <x:row r="63">
      <x:c r="A63" s="61" t="str">
        <x:v>Unnamed Third Predator (Odobenus)</x:v>
      </x:c>
      <x:c r="B63" s="61" t="str">
        <x:v>Individu anonyme désigné</x:v>
      </x:c>
      <x:c r="C63" s="61" t="str">
        <x:v>Voir la source individuelle</x:v>
      </x:c>
      <x:c r="D63" s="61" t="str">
        <x:v>Oui</x:v>
      </x:c>
      <x:c r="E63" s="61" t="str"/>
      <x:c r="F63" s="61" t="str"/>
      <x:c r="G63" s="61" t="str">
        <x:v>https://avp.fandom.com/wiki/Unnamed_Third_Predator_%28Odobenus%29</x:v>
      </x:c>
    </x:row>
    <x:row r="64">
      <x:c r="A64" s="61" t="str">
        <x:v>Unnamed Young Blood Predator (BG-386)</x:v>
      </x:c>
      <x:c r="B64" s="61" t="str">
        <x:v>Individu anonyme désigné</x:v>
      </x:c>
      <x:c r="C64" s="61" t="str">
        <x:v>Aliens vs. Predator (2010)</x:v>
      </x:c>
      <x:c r="D64" s="61" t="str">
        <x:v>Oui</x:v>
      </x:c>
      <x:c r="E64" s="61" t="str"/>
      <x:c r="F64" s="61" t="str"/>
      <x:c r="G64" s="61" t="str">
        <x:v>https://avp.fandom.com/wiki/Unnamed_Young_Blood_Predator_%28BG-386%29</x:v>
      </x:c>
    </x:row>
    <x:row r="65">
      <x:c r="A65" s="61" t="str">
        <x:v>Valkyrie Predator</x:v>
      </x:c>
      <x:c r="B65" s="61" t="str">
        <x:v>Individu nommé ou surnommé</x:v>
      </x:c>
      <x:c r="C65" s="61" t="str">
        <x:v>Predator: Hunting Grounds</x:v>
      </x:c>
      <x:c r="D65" s="61" t="str">
        <x:v>Oui</x:v>
      </x:c>
      <x:c r="E65" s="61" t="str"/>
      <x:c r="F65" s="61" t="str"/>
      <x:c r="G65" s="61" t="str">
        <x:v>https://avp.fandom.com/wiki/Valkyrie_Predator</x:v>
      </x:c>
    </x:row>
    <x:row r="66">
      <x:c r="A66" s="61" t="str">
        <x:v>Viking Predator</x:v>
      </x:c>
      <x:c r="B66" s="61" t="str">
        <x:v>Individu nommé ou surnommé</x:v>
      </x:c>
      <x:c r="C66" s="61" t="str">
        <x:v>Predator: Hunting Grounds</x:v>
      </x:c>
      <x:c r="D66" s="61" t="str">
        <x:v>Oui</x:v>
      </x:c>
      <x:c r="E66" s="61" t="str"/>
      <x:c r="F66" s="61" t="str"/>
      <x:c r="G66" s="61" t="str">
        <x:v>https://avp.fandom.com/wiki/Viking_Predator</x:v>
      </x:c>
    </x:row>
    <x:row r="67">
      <x:c r="A67" s="61" t="str">
        <x:v>Warrior Yautja (LV-412)</x:v>
      </x:c>
      <x:c r="B67" s="61" t="str">
        <x:v>Individu nommé ou surnommé</x:v>
      </x:c>
      <x:c r="C67" s="61" t="str">
        <x:v>Aliens vs. Predator: Extinction (2003)</x:v>
      </x:c>
      <x:c r="D67" s="61" t="str">
        <x:v>Oui</x:v>
      </x:c>
      <x:c r="E67" s="61" t="str"/>
      <x:c r="F67" s="61" t="str"/>
      <x:c r="G67" s="61" t="str">
        <x:v>https://avp.fandom.com/wiki/Warrior_Yautja_%28LV-412%29</x:v>
      </x:c>
    </x:row>
    <x:row r="68">
      <x:c r="A68" s="61" t="str">
        <x:v>Witch Predator</x:v>
      </x:c>
      <x:c r="B68" s="61" t="str">
        <x:v>Individu nommé ou surnommé</x:v>
      </x:c>
      <x:c r="C68" s="61" t="str">
        <x:v>Predator: Hunting Grounds</x:v>
      </x:c>
      <x:c r="D68" s="61" t="str">
        <x:v>Oui</x:v>
      </x:c>
      <x:c r="E68" s="61" t="str"/>
      <x:c r="F68" s="61" t="str"/>
      <x:c r="G68" s="61" t="str">
        <x:v>https://avp.fandom.com/wiki/Witch_Predator</x:v>
      </x:c>
    </x:row>
    <x:row r="69">
      <x:c r="A69" s="61" t="str">
        <x:v>Wolf (Earth)</x:v>
      </x:c>
      <x:c r="B69" s="61" t="str">
        <x:v>Individu nommé ou surnommé</x:v>
      </x:c>
      <x:c r="C69" s="61" t="str">
        <x:v>Aliens vs. Predator: Requiem (2007)</x:v>
      </x:c>
      <x:c r="D69" s="61" t="str">
        <x:v>Oui</x:v>
      </x:c>
      <x:c r="E69" s="61" t="str"/>
      <x:c r="F69" s="61" t="str"/>
      <x:c r="G69" s="61" t="str">
        <x:v>https://avp.fandom.com/wiki/Wolf_%28Earth%29</x:v>
      </x:c>
    </x:row>
    <x:row r="70">
      <x:c r="A70" s="61" t="str">
        <x:v>Wolf (Elite Clan)</x:v>
      </x:c>
      <x:c r="B70" s="61" t="str">
        <x:v>Individu nommé ou surnommé</x:v>
      </x:c>
      <x:c r="C70" s="61" t="str">
        <x:v>Aliens vs. Predator (2010)</x:v>
      </x:c>
      <x:c r="D70" s="61" t="str">
        <x:v>Oui</x:v>
      </x:c>
      <x:c r="E70" s="61" t="str"/>
      <x:c r="F70" s="61" t="str">
        <x:v>Individu du jeu AVP (2010), distinct du Wolf d'AVPR malgré le nom et une inspiration visuelle communes.</x:v>
      </x:c>
      <x:c r="G70" s="61" t="str">
        <x:v>https://avp.fandom.com/wiki/Wolf_%28Elite_Clan%29</x:v>
      </x:c>
    </x:row>
  </x:sheetData>
  <x:pageMargins left="0.7" right="0.7" top="0.75" bottom="0.75" header="0.3" footer="0.3"/>
  <x:tableParts count="1">
    <x:tablePart xmlns:r="http://schemas.openxmlformats.org/officeDocument/2006/relationships" r:id="Rc025174a2918444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1" hidden="0" customWidth="1"/>
    <x:col min="3" max="3" width="42" hidden="0" customWidth="1"/>
    <x:col min="4" max="4" width="28" hidden="0" customWidth="1"/>
    <x:col min="5" max="5" width="20" hidden="0" customWidth="1"/>
    <x:col min="6" max="6" width="44" hidden="0" customWidth="1"/>
    <x:col min="7" max="7" width="52" hidden="0" customWidth="1"/>
  </x:cols>
  <x:sheetData>
    <x:row r="1" ht="32" customHeight="1">
      <x:c r="A1" s="53" t="str">
        <x:v>Yautja</x:v>
      </x:c>
      <x:c r="B1" s="53" t="str">
        <x:v>Média(x)</x:v>
      </x:c>
      <x:c r="C1" s="53" t="str">
        <x:v>Œuvre principale connue</x:v>
      </x:c>
      <x:c r="D1" s="53" t="str">
        <x:v>Type</x:v>
      </x:c>
      <x:c r="E1" s="53" t="str">
        <x:v>Identité distincte ?</x:v>
      </x:c>
      <x:c r="F1" s="53" t="str">
        <x:v>Notes</x:v>
      </x:c>
      <x:c r="G1" s="53" t="str">
        <x:v>Source URL</x:v>
      </x:c>
    </x:row>
    <x:row r="2">
      <x:c r="A2" s="61" t="str">
        <x:v>'Aseigan</x:v>
      </x:c>
      <x:c r="B2" s="61" t="str">
        <x:v>Roman / prose</x:v>
      </x:c>
      <x:c r="C2" s="61" t="str">
        <x:v>Aliens vs. Predator: Prey</x:v>
      </x:c>
      <x:c r="D2" s="61" t="str">
        <x:v>Individu nommé ou surnommé</x:v>
      </x:c>
      <x:c r="E2" s="61" t="str">
        <x:v>Oui</x:v>
      </x:c>
      <x:c r="F2" s="61" t="str"/>
      <x:c r="G2" s="61" t="str">
        <x:v>https://avp.fandom.com/wiki/'Aseigan</x:v>
      </x:c>
    </x:row>
    <x:row r="3">
      <x:c r="A3" s="61" t="str">
        <x:v>A'ni-de</x:v>
      </x:c>
      <x:c r="B3" s="61" t="str">
        <x:v>Roman / prose</x:v>
      </x:c>
      <x:c r="C3" s="61" t="str">
        <x:v>Aliens vs. Predator: Prey</x:v>
      </x:c>
      <x:c r="D3" s="61" t="str">
        <x:v>Individu nommé ou surnommé</x:v>
      </x:c>
      <x:c r="E3" s="61" t="str">
        <x:v>Oui</x:v>
      </x:c>
      <x:c r="F3" s="61" t="str"/>
      <x:c r="G3" s="61" t="str">
        <x:v>https://avp.fandom.com/wiki/A'ni-de</x:v>
      </x:c>
    </x:row>
    <x:row r="4">
      <x:c r="A4" s="61" t="str">
        <x:v>Adilgashii</x:v>
      </x:c>
      <x:c r="B4" s="61" t="str">
        <x:v>Comics</x:v>
      </x:c>
      <x:c r="C4" s="61" t="str">
        <x:v>Voir la source individuelle</x:v>
      </x:c>
      <x:c r="D4" s="61" t="str">
        <x:v>Individu nommé ou surnommé</x:v>
      </x:c>
      <x:c r="E4" s="61" t="str">
        <x:v>Oui</x:v>
      </x:c>
      <x:c r="F4" s="61" t="str"/>
      <x:c r="G4" s="61" t="str">
        <x:v>https://avp.fandom.com/wiki/Adilgashii</x:v>
      </x:c>
    </x:row>
    <x:row r="5">
      <x:c r="A5" s="61" t="str">
        <x:v>Ahab</x:v>
      </x:c>
      <x:c r="B5" s="61" t="str">
        <x:v>Comics</x:v>
      </x:c>
      <x:c r="C5" s="61" t="str">
        <x:v>Fire and Stone / Life and Death</x:v>
      </x:c>
      <x:c r="D5" s="61" t="str">
        <x:v>Individu nommé ou surnommé</x:v>
      </x:c>
      <x:c r="E5" s="61" t="str">
        <x:v>Oui</x:v>
      </x:c>
      <x:c r="F5" s="61" t="str"/>
      <x:c r="G5" s="61" t="str">
        <x:v>https://avp.fandom.com/wiki/Ahab</x:v>
      </x:c>
    </x:row>
    <x:row r="6">
      <x:c r="A6" s="61" t="str">
        <x:v>Ar'Wen</x:v>
      </x:c>
      <x:c r="B6" s="61" t="str">
        <x:v>Roman / prose</x:v>
      </x:c>
      <x:c r="C6" s="61" t="str">
        <x:v>Aliens vs. Predators: Rift War</x:v>
      </x:c>
      <x:c r="D6" s="61" t="str">
        <x:v>Individu nommé ou surnommé</x:v>
      </x:c>
      <x:c r="E6" s="61" t="str">
        <x:v>Oui</x:v>
      </x:c>
      <x:c r="F6" s="61" t="str"/>
      <x:c r="G6" s="61" t="str">
        <x:v>https://avp.fandom.com/wiki/Ar'Wen</x:v>
      </x:c>
    </x:row>
    <x:row r="7">
      <x:c r="A7" s="61" t="str">
        <x:v>Assault Predator</x:v>
      </x:c>
      <x:c r="B7" s="61" t="str">
        <x:v>Univers étendu (comic/roman/audio/jeu)</x:v>
      </x:c>
      <x:c r="C7" s="61" t="str">
        <x:v>Voir la source individuelle</x:v>
      </x:c>
      <x:c r="D7" s="61" t="str">
        <x:v>Individu nommé ou surnommé</x:v>
      </x:c>
      <x:c r="E7" s="61" t="str">
        <x:v>Oui</x:v>
      </x:c>
      <x:c r="F7" s="61" t="str"/>
      <x:c r="G7" s="61" t="str">
        <x:v>https://avp.fandom.com/wiki/Assault_Predator</x:v>
      </x:c>
    </x:row>
    <x:row r="8">
      <x:c r="A8" s="61" t="str">
        <x:v>Bad Blood (Gotham City)</x:v>
      </x:c>
      <x:c r="B8" s="61" t="str">
        <x:v>Comics</x:v>
      </x:c>
      <x:c r="C8" s="61" t="str">
        <x:v>Batman versus Predator II: Bloodmatch</x:v>
      </x:c>
      <x:c r="D8" s="61" t="str">
        <x:v>Individu nommé ou surnommé</x:v>
      </x:c>
      <x:c r="E8" s="61" t="str">
        <x:v>Oui</x:v>
      </x:c>
      <x:c r="F8" s="61" t="str"/>
      <x:c r="G8" s="61" t="str">
        <x:v>https://avp.fandom.com/wiki/Bad_Blood_%28Gotham_City%29</x:v>
      </x:c>
    </x:row>
    <x:row r="9">
      <x:c r="A9" s="61" t="str">
        <x:v>Bad Blood (Yautja)</x:v>
      </x:c>
      <x:c r="B9" s="61" t="str">
        <x:v>Comics • Roman / prose • Jeu vidéo</x:v>
      </x:c>
      <x:c r="C9" s="61" t="str">
        <x:v>Concept récurrent de la franchise</x:v>
      </x:c>
      <x:c r="D9" s="61" t="str">
        <x:v>Rang / catégorie culturelle</x:v>
      </x:c>
      <x:c r="E9" s="61" t="str">
        <x:v>Non (rang)</x:v>
      </x:c>
      <x:c r="F9" s="61" t="str">
        <x:v>Titre/catégorie culturelle, pas un individu.</x:v>
      </x:c>
      <x:c r="G9" s="61" t="str">
        <x:v>https://avp.fandom.com/wiki/Bad_Blood_%28Yautja%29</x:v>
      </x:c>
    </x:row>
    <x:row r="10">
      <x:c r="A10" s="61" t="str">
        <x:v>Bad Blood Predator</x:v>
      </x:c>
      <x:c r="B10" s="61" t="str">
        <x:v>Comics</x:v>
      </x:c>
      <x:c r="C10" s="61" t="str">
        <x:v>Predator: Bad Blood</x:v>
      </x:c>
      <x:c r="D10" s="61" t="str">
        <x:v>Individu nommé ou surnommé</x:v>
      </x:c>
      <x:c r="E10" s="61" t="str">
        <x:v>Oui</x:v>
      </x:c>
      <x:c r="F10" s="61" t="str"/>
      <x:c r="G10" s="61" t="str">
        <x:v>https://avp.fandom.com/wiki/Bad_Blood_Predator</x:v>
      </x:c>
    </x:row>
    <x:row r="11">
      <x:c r="A11" s="61" t="str">
        <x:v>Bakuub</x:v>
      </x:c>
      <x:c r="B11" s="61" t="str">
        <x:v>Roman / prose</x:v>
      </x:c>
      <x:c r="C11" s="61" t="str">
        <x:v>Voir la source individuelle</x:v>
      </x:c>
      <x:c r="D11" s="61" t="str">
        <x:v>Individu nommé ou surnommé</x:v>
      </x:c>
      <x:c r="E11" s="61" t="str">
        <x:v>Oui</x:v>
      </x:c>
      <x:c r="F11" s="61" t="str"/>
      <x:c r="G11" s="61" t="str">
        <x:v>https://avp.fandom.com/wiki/Bakuub</x:v>
      </x:c>
    </x:row>
    <x:row r="12">
      <x:c r="A12" s="61" t="str">
        <x:v>Beads</x:v>
      </x:c>
      <x:c r="B12" s="61" t="str">
        <x:v>Univers étendu (comic/roman/audio/jeu)</x:v>
      </x:c>
      <x:c r="C12" s="61" t="str">
        <x:v>Voir la source individuelle</x:v>
      </x:c>
      <x:c r="D12" s="61" t="str">
        <x:v>Individu nommé ou surnommé</x:v>
      </x:c>
      <x:c r="E12" s="61" t="str">
        <x:v>Oui</x:v>
      </x:c>
      <x:c r="F12" s="61" t="str"/>
      <x:c r="G12" s="61" t="str">
        <x:v>https://avp.fandom.com/wiki/Beads</x:v>
      </x:c>
    </x:row>
    <x:row r="13">
      <x:c r="A13" s="61" t="str">
        <x:v>Bet-Karh</x:v>
      </x:c>
      <x:c r="B13" s="61" t="str">
        <x:v>Comics • Roman / prose</x:v>
      </x:c>
      <x:c r="C13" s="61" t="str">
        <x:v>Voir la source individuelle</x:v>
      </x:c>
      <x:c r="D13" s="61" t="str">
        <x:v>Individu nommé ou surnommé</x:v>
      </x:c>
      <x:c r="E13" s="61" t="str">
        <x:v>Oui</x:v>
      </x:c>
      <x:c r="F13" s="61" t="str"/>
      <x:c r="G13" s="61" t="str">
        <x:v>https://avp.fandom.com/wiki/Bet-Karh</x:v>
      </x:c>
    </x:row>
    <x:row r="14">
      <x:c r="A14" s="61" t="str">
        <x:v>Big Mama</x:v>
      </x:c>
      <x:c r="B14" s="61" t="str">
        <x:v>Comics</x:v>
      </x:c>
      <x:c r="C14" s="61" t="str">
        <x:v>Aliens vs. Predator: Deadliest of the Species</x:v>
      </x:c>
      <x:c r="D14" s="61" t="str">
        <x:v>Individu nommé ou surnommé</x:v>
      </x:c>
      <x:c r="E14" s="61" t="str">
        <x:v>Oui</x:v>
      </x:c>
      <x:c r="F14" s="61" t="str"/>
      <x:c r="G14" s="61" t="str">
        <x:v>https://avp.fandom.com/wiki/Big_Mama</x:v>
      </x:c>
    </x:row>
    <x:row r="15">
      <x:c r="A15" s="61" t="str">
        <x:v>Boar</x:v>
      </x:c>
      <x:c r="B15" s="61" t="str">
        <x:v>Film / animation • Comics • Roman / prose</x:v>
      </x:c>
      <x:c r="C15" s="61" t="str">
        <x:v>Predator 2 (1990)</x:v>
      </x:c>
      <x:c r="D15" s="61" t="str">
        <x:v>Individu nommé ou surnommé</x:v>
      </x:c>
      <x:c r="E15" s="61" t="str">
        <x:v>Oui</x:v>
      </x:c>
      <x:c r="F15" s="61" t="str"/>
      <x:c r="G15" s="61" t="str">
        <x:v>https://avp.fandom.com/wiki/Boar</x:v>
      </x:c>
    </x:row>
    <x:row r="16">
      <x:c r="A16" s="61" t="str">
        <x:v>Bogey (Predator)</x:v>
      </x:c>
      <x:c r="B16" s="61" t="str">
        <x:v>Univers étendu (comic/roman/audio/jeu)</x:v>
      </x:c>
      <x:c r="C16" s="61" t="str">
        <x:v>Voir la source individuelle</x:v>
      </x:c>
      <x:c r="D16" s="61" t="str">
        <x:v>Individu nommé ou surnommé</x:v>
      </x:c>
      <x:c r="E16" s="61" t="str">
        <x:v>Oui</x:v>
      </x:c>
      <x:c r="F16" s="61" t="str"/>
      <x:c r="G16" s="61" t="str">
        <x:v>https://avp.fandom.com/wiki/Bogey_%28Predator%29</x:v>
      </x:c>
    </x:row>
    <x:row r="17">
      <x:c r="A17" s="61" t="str">
        <x:v>Bosu</x:v>
      </x:c>
      <x:c r="B17" s="61" t="str">
        <x:v>Comics</x:v>
      </x:c>
      <x:c r="C17" s="61" t="str">
        <x:v>Voir la source individuelle</x:v>
      </x:c>
      <x:c r="D17" s="61" t="str">
        <x:v>Individu nommé ou surnommé</x:v>
      </x:c>
      <x:c r="E17" s="61" t="str">
        <x:v>Oui</x:v>
      </x:c>
      <x:c r="F17" s="61" t="str"/>
      <x:c r="G17" s="61" t="str">
        <x:v>https://avp.fandom.com/wiki/Bosu</x:v>
      </x:c>
    </x:row>
    <x:row r="18">
      <x:c r="A18" s="61" t="str">
        <x:v>Broken Tusk Predator</x:v>
      </x:c>
      <x:c r="B18" s="61" t="str">
        <x:v>Comics • Roman / prose • Figurine / jouet</x:v>
      </x:c>
      <x:c r="C18" s="61" t="str">
        <x:v>Aliens vs. Predator / Aliens vs. Predator: Prey</x:v>
      </x:c>
      <x:c r="D18" s="61" t="str">
        <x:v>Alias / désignation</x:v>
      </x:c>
      <x:c r="E18" s="61" t="str">
        <x:v>Alias</x:v>
      </x:c>
      <x:c r="F18" s="61" t="str"/>
      <x:c r="G18" s="61" t="str">
        <x:v>https://avp.fandom.com/wiki/Broken_Tusk_Predator</x:v>
      </x:c>
    </x:row>
    <x:row r="19">
      <x:c r="A19" s="61" t="str">
        <x:v>Captive Predator</x:v>
      </x:c>
      <x:c r="B19" s="61" t="str">
        <x:v>Comics</x:v>
      </x:c>
      <x:c r="C19" s="61" t="str">
        <x:v>Voir la source individuelle</x:v>
      </x:c>
      <x:c r="D19" s="61" t="str">
        <x:v>Individu nommé ou surnommé</x:v>
      </x:c>
      <x:c r="E19" s="61" t="str">
        <x:v>Oui</x:v>
      </x:c>
      <x:c r="F19" s="61" t="str"/>
      <x:c r="G19" s="61" t="str">
        <x:v>https://avp.fandom.com/wiki/Captive_Predator</x:v>
      </x:c>
    </x:row>
    <x:row r="20">
      <x:c r="A20" s="61" t="str">
        <x:v>Chulonte</x:v>
      </x:c>
      <x:c r="B20" s="61" t="str">
        <x:v>Roman / prose</x:v>
      </x:c>
      <x:c r="C20" s="61" t="str">
        <x:v>Aliens vs. Predator: Prey</x:v>
      </x:c>
      <x:c r="D20" s="61" t="str">
        <x:v>Individu nommé ou surnommé</x:v>
      </x:c>
      <x:c r="E20" s="61" t="str">
        <x:v>Oui</x:v>
      </x:c>
      <x:c r="F20" s="61" t="str"/>
      <x:c r="G20" s="61" t="str">
        <x:v>https://avp.fandom.com/wiki/Chulonte</x:v>
      </x:c>
    </x:row>
    <x:row r="21">
      <x:c r="A21" s="61" t="str">
        <x:v>Ci'tde</x:v>
      </x:c>
      <x:c r="B21" s="61" t="str">
        <x:v>Roman / prose</x:v>
      </x:c>
      <x:c r="C21" s="61" t="str">
        <x:v>Aliens vs. Predator: Prey</x:v>
      </x:c>
      <x:c r="D21" s="61" t="str">
        <x:v>Individu nommé ou surnommé</x:v>
      </x:c>
      <x:c r="E21" s="61" t="str">
        <x:v>Oui</x:v>
      </x:c>
      <x:c r="F21" s="61" t="str"/>
      <x:c r="G21" s="61" t="str">
        <x:v>https://avp.fandom.com/wiki/Ci'tde</x:v>
      </x:c>
    </x:row>
    <x:row r="22">
      <x:c r="A22" s="61" t="str">
        <x:v>Clan Leader (LV-797)</x:v>
      </x:c>
      <x:c r="B22" s="61" t="str">
        <x:v>Comics</x:v>
      </x:c>
      <x:c r="C22" s="61" t="str">
        <x:v>Voir la source individuelle</x:v>
      </x:c>
      <x:c r="D22" s="61" t="str">
        <x:v>Individu nommé ou surnommé</x:v>
      </x:c>
      <x:c r="E22" s="61" t="str">
        <x:v>Oui</x:v>
      </x:c>
      <x:c r="F22" s="61" t="str"/>
      <x:c r="G22" s="61" t="str">
        <x:v>https://avp.fandom.com/wiki/Clan_Leader_%28LV-797%29</x:v>
      </x:c>
    </x:row>
    <x:row r="23">
      <x:c r="A23" s="61" t="str">
        <x:v>Comrade</x:v>
      </x:c>
      <x:c r="B23" s="61" t="str">
        <x:v>Univers étendu (comic/roman/audio/jeu)</x:v>
      </x:c>
      <x:c r="C23" s="61" t="str">
        <x:v>Voir la source individuelle</x:v>
      </x:c>
      <x:c r="D23" s="61" t="str">
        <x:v>Individu nommé ou surnommé</x:v>
      </x:c>
      <x:c r="E23" s="61" t="str">
        <x:v>Oui</x:v>
      </x:c>
      <x:c r="F23" s="61" t="str"/>
      <x:c r="G23" s="61" t="str">
        <x:v>https://avp.fandom.com/wiki/Comrade</x:v>
      </x:c>
    </x:row>
    <x:row r="24">
      <x:c r="A24" s="61" t="str">
        <x:v>Cracked Tusk Predator</x:v>
      </x:c>
      <x:c r="B24" s="61" t="str">
        <x:v>Comics • Figurine / jouet</x:v>
      </x:c>
      <x:c r="C24" s="61" t="str">
        <x:v>Voir la source individuelle</x:v>
      </x:c>
      <x:c r="D24" s="61" t="str">
        <x:v>Individu nommé ou surnommé</x:v>
      </x:c>
      <x:c r="E24" s="61" t="str">
        <x:v>Oui</x:v>
      </x:c>
      <x:c r="F24" s="61" t="str">
        <x:v>Identité Kenner/NECA souvent rapprochée de Broken Tusk, mais conservée séparément car les gammes de jouets l'ont traitée comme un personnage propre.</x:v>
      </x:c>
      <x:c r="G24" s="61" t="str">
        <x:v>https://avp.fandom.com/wiki/Cracked_Tusk_Predator</x:v>
      </x:c>
    </x:row>
    <x:row r="25">
      <x:c r="A25" s="61" t="str">
        <x:v>Crucified Predator</x:v>
      </x:c>
      <x:c r="B25" s="61" t="str">
        <x:v>Film / animation • Comics</x:v>
      </x:c>
      <x:c r="C25" s="61" t="str">
        <x:v>Predators (2010)</x:v>
      </x:c>
      <x:c r="D25" s="61" t="str">
        <x:v>Individu nommé ou surnommé</x:v>
      </x:c>
      <x:c r="E25" s="61" t="str">
        <x:v>Oui</x:v>
      </x:c>
      <x:c r="F25" s="61" t="str"/>
      <x:c r="G25" s="61" t="str">
        <x:v>https://avp.fandom.com/wiki/Crucified_Predator</x:v>
      </x:c>
    </x:row>
    <x:row r="26">
      <x:c r="A26" s="61" t="str">
        <x:v>Da-ec'te</x:v>
      </x:c>
      <x:c r="B26" s="61" t="str">
        <x:v>Roman / prose</x:v>
      </x:c>
      <x:c r="C26" s="61" t="str">
        <x:v>Aliens vs. Predator: Prey</x:v>
      </x:c>
      <x:c r="D26" s="61" t="str">
        <x:v>Individu nommé ou surnommé</x:v>
      </x:c>
      <x:c r="E26" s="61" t="str">
        <x:v>Oui</x:v>
      </x:c>
      <x:c r="F26" s="61" t="str"/>
      <x:c r="G26" s="61" t="str">
        <x:v>https://avp.fandom.com/wiki/Da-ec'te</x:v>
      </x:c>
    </x:row>
    <x:row r="27">
      <x:c r="A27" s="61" t="str">
        <x:v>Dachande</x:v>
      </x:c>
      <x:c r="B27" s="61" t="str">
        <x:v>Comics • Roman / prose</x:v>
      </x:c>
      <x:c r="C27" s="61" t="str">
        <x:v>Aliens vs. Predator / Aliens vs. Predator: Prey</x:v>
      </x:c>
      <x:c r="D27" s="61" t="str">
        <x:v>Individu nommé</x:v>
      </x:c>
      <x:c r="E27" s="61" t="str">
        <x:v>Oui</x:v>
      </x:c>
      <x:c r="F27" s="61" t="str"/>
      <x:c r="G27" s="61" t="str">
        <x:v>https://avp.fandom.com/wiki/Dachande</x:v>
      </x:c>
    </x:row>
    <x:row r="28">
      <x:c r="A28" s="61" t="str">
        <x:v>Dachande's Clan</x:v>
      </x:c>
      <x:c r="B28" s="61" t="str">
        <x:v>Comics • Roman / prose</x:v>
      </x:c>
      <x:c r="C28" s="61" t="str">
        <x:v>Aliens vs. Predator / Prey</x:v>
      </x:c>
      <x:c r="D28" s="61" t="str">
        <x:v>Groupe / clan</x:v>
      </x:c>
      <x:c r="E28" s="61" t="str">
        <x:v>Non (groupe)</x:v>
      </x:c>
      <x:c r="F28" s="61" t="str"/>
      <x:c r="G28" s="61" t="str">
        <x:v>https://avp.fandom.com/wiki/Dachande's_Clan</x:v>
      </x:c>
    </x:row>
    <x:row r="29">
      <x:c r="A29" s="61" t="str">
        <x:v>Devil</x:v>
      </x:c>
      <x:c r="B29" s="61" t="str">
        <x:v>Comics</x:v>
      </x:c>
      <x:c r="C29" s="61" t="str">
        <x:v>Voir la source individuelle</x:v>
      </x:c>
      <x:c r="D29" s="61" t="str">
        <x:v>Individu nommé ou surnommé</x:v>
      </x:c>
      <x:c r="E29" s="61" t="str">
        <x:v>Oui</x:v>
      </x:c>
      <x:c r="F29" s="61" t="str"/>
      <x:c r="G29" s="61" t="str">
        <x:v>https://avp.fandom.com/wiki/Devil</x:v>
      </x:c>
    </x:row>
    <x:row r="30">
      <x:c r="A30" s="61" t="str">
        <x:v>Disgraced Predator</x:v>
      </x:c>
      <x:c r="B30" s="61" t="str">
        <x:v>Univers étendu (comic/roman/audio/jeu)</x:v>
      </x:c>
      <x:c r="C30" s="61" t="str">
        <x:v>Voir la source individuelle</x:v>
      </x:c>
      <x:c r="D30" s="61" t="str">
        <x:v>Individu nommé ou surnommé</x:v>
      </x:c>
      <x:c r="E30" s="61" t="str">
        <x:v>Oui</x:v>
      </x:c>
      <x:c r="F30" s="61" t="str"/>
      <x:c r="G30" s="61" t="str">
        <x:v>https://avp.fandom.com/wiki/Disgraced_Predator</x:v>
      </x:c>
    </x:row>
    <x:row r="31">
      <x:c r="A31" s="61" t="str">
        <x:v>Djinn</x:v>
      </x:c>
      <x:c r="B31" s="61" t="str">
        <x:v>Comics</x:v>
      </x:c>
      <x:c r="C31" s="61" t="str">
        <x:v>Voir la source individuelle</x:v>
      </x:c>
      <x:c r="D31" s="61" t="str">
        <x:v>Individu nommé ou surnommé</x:v>
      </x:c>
      <x:c r="E31" s="61" t="str">
        <x:v>Oui</x:v>
      </x:c>
      <x:c r="F31" s="61" t="str"/>
      <x:c r="G31" s="61" t="str">
        <x:v>https://avp.fandom.com/wiki/Djinn</x:v>
      </x:c>
    </x:row>
    <x:row r="32">
      <x:c r="A32" s="61" t="str">
        <x:v>Dominator Predators</x:v>
      </x:c>
      <x:c r="B32" s="61" t="str">
        <x:v>Univers étendu (comic/roman/audio/jeu)</x:v>
      </x:c>
      <x:c r="C32" s="61" t="str">
        <x:v>Voir la source individuelle</x:v>
      </x:c>
      <x:c r="D32" s="61" t="str">
        <x:v>Groupe / collectif</x:v>
      </x:c>
      <x:c r="E32" s="61" t="str">
        <x:v>Non (groupe)</x:v>
      </x:c>
      <x:c r="F32" s="61" t="str"/>
      <x:c r="G32" s="61" t="str">
        <x:v>https://avp.fandom.com/wiki/Dominator_Predators</x:v>
      </x:c>
    </x:row>
    <x:row r="33">
      <x:c r="A33" s="61" t="str">
        <x:v>Dragon (Yautja)</x:v>
      </x:c>
      <x:c r="B33" s="61" t="str">
        <x:v>Comics</x:v>
      </x:c>
      <x:c r="C33" s="61" t="str">
        <x:v>Voir la source individuelle</x:v>
      </x:c>
      <x:c r="D33" s="61" t="str">
        <x:v>Individu nommé ou surnommé</x:v>
      </x:c>
      <x:c r="E33" s="61" t="str">
        <x:v>Oui</x:v>
      </x:c>
      <x:c r="F33" s="61" t="str"/>
      <x:c r="G33" s="61" t="str">
        <x:v>https://avp.fandom.com/wiki/Dragon_%28Yautja%29</x:v>
      </x:c>
    </x:row>
    <x:row r="34">
      <x:c r="A34" s="61" t="str">
        <x:v>Enforcer Predator</x:v>
      </x:c>
      <x:c r="B34" s="61" t="str">
        <x:v>Comics</x:v>
      </x:c>
      <x:c r="C34" s="61" t="str">
        <x:v>Predator: Bad Blood</x:v>
      </x:c>
      <x:c r="D34" s="61" t="str">
        <x:v>Individu nommé ou surnommé</x:v>
      </x:c>
      <x:c r="E34" s="61" t="str">
        <x:v>Oui</x:v>
      </x:c>
      <x:c r="F34" s="61" t="str"/>
      <x:c r="G34" s="61" t="str">
        <x:v>https://avp.fandom.com/wiki/Enforcer_Predator</x:v>
      </x:c>
    </x:row>
    <x:row r="35">
      <x:c r="A35" s="61" t="str">
        <x:v>Esch'ande</x:v>
      </x:c>
      <x:c r="B35" s="61" t="str">
        <x:v>Univers étendu (comic/roman/audio/jeu)</x:v>
      </x:c>
      <x:c r="C35" s="61" t="str">
        <x:v>Voir la source individuelle</x:v>
      </x:c>
      <x:c r="D35" s="61" t="str">
        <x:v>Individu nommé ou surnommé</x:v>
      </x:c>
      <x:c r="E35" s="61" t="str">
        <x:v>Oui</x:v>
      </x:c>
      <x:c r="F35" s="61" t="str"/>
      <x:c r="G35" s="61" t="str">
        <x:v>https://avp.fandom.com/wiki/Esch'ande</x:v>
      </x:c>
    </x:row>
    <x:row r="36">
      <x:c r="A36" s="61" t="str">
        <x:v>Etah'-dte</x:v>
      </x:c>
      <x:c r="B36" s="61" t="str">
        <x:v>Roman / prose</x:v>
      </x:c>
      <x:c r="C36" s="61" t="str">
        <x:v>Aliens vs. Predator: Prey</x:v>
      </x:c>
      <x:c r="D36" s="61" t="str">
        <x:v>Individu nommé ou surnommé</x:v>
      </x:c>
      <x:c r="E36" s="61" t="str">
        <x:v>Oui</x:v>
      </x:c>
      <x:c r="F36" s="61" t="str"/>
      <x:c r="G36" s="61" t="str">
        <x:v>https://avp.fandom.com/wiki/Etah'-dte</x:v>
      </x:c>
    </x:row>
    <x:row r="37">
      <x:c r="A37" s="61" t="str">
        <x:v>Exiles</x:v>
      </x:c>
      <x:c r="B37" s="61" t="str">
        <x:v>Comics</x:v>
      </x:c>
      <x:c r="C37" s="61" t="str">
        <x:v>Univers étendu</x:v>
      </x:c>
      <x:c r="D37" s="61" t="str">
        <x:v>Groupe / clan</x:v>
      </x:c>
      <x:c r="E37" s="61" t="str">
        <x:v>Non (groupe)</x:v>
      </x:c>
      <x:c r="F37" s="61" t="str"/>
      <x:c r="G37" s="61" t="str">
        <x:v>https://avp.fandom.com/wiki/Exiles</x:v>
      </x:c>
    </x:row>
    <x:row r="38">
      <x:c r="A38" s="61" t="str">
        <x:v>First Heavy Predator</x:v>
      </x:c>
      <x:c r="B38" s="61" t="str">
        <x:v>Univers étendu (comic/roman/audio/jeu)</x:v>
      </x:c>
      <x:c r="C38" s="61" t="str">
        <x:v>Voir la source individuelle</x:v>
      </x:c>
      <x:c r="D38" s="61" t="str">
        <x:v>Individu anonyme désigné</x:v>
      </x:c>
      <x:c r="E38" s="61" t="str">
        <x:v>Oui</x:v>
      </x:c>
      <x:c r="F38" s="61" t="str"/>
      <x:c r="G38" s="61" t="str">
        <x:v>https://avp.fandom.com/wiki/First_Heavy_Predator</x:v>
      </x:c>
    </x:row>
    <x:row r="39">
      <x:c r="A39" s="61" t="str">
        <x:v>First Light Predator</x:v>
      </x:c>
      <x:c r="B39" s="61" t="str">
        <x:v>Univers étendu (comic/roman/audio/jeu)</x:v>
      </x:c>
      <x:c r="C39" s="61" t="str">
        <x:v>Voir la source individuelle</x:v>
      </x:c>
      <x:c r="D39" s="61" t="str">
        <x:v>Individu anonyme désigné</x:v>
      </x:c>
      <x:c r="E39" s="61" t="str">
        <x:v>Oui</x:v>
      </x:c>
      <x:c r="F39" s="61" t="str"/>
      <x:c r="G39" s="61" t="str">
        <x:v>https://avp.fandom.com/wiki/First_Light_Predator</x:v>
      </x:c>
    </x:row>
    <x:row r="40">
      <x:c r="A40" s="61" t="str">
        <x:v>First POC Predator</x:v>
      </x:c>
      <x:c r="B40" s="61" t="str">
        <x:v>Univers étendu (comic/roman/audio/jeu)</x:v>
      </x:c>
      <x:c r="C40" s="61" t="str">
        <x:v>Voir la source individuelle</x:v>
      </x:c>
      <x:c r="D40" s="61" t="str">
        <x:v>Individu anonyme désigné</x:v>
      </x:c>
      <x:c r="E40" s="61" t="str">
        <x:v>Oui</x:v>
      </x:c>
      <x:c r="F40" s="61" t="str"/>
      <x:c r="G40" s="61" t="str">
        <x:v>https://avp.fandom.com/wiki/First_POC_Predator</x:v>
      </x:c>
    </x:row>
    <x:row r="41">
      <x:c r="A41" s="61" t="str">
        <x:v>Forest Devil</x:v>
      </x:c>
      <x:c r="B41" s="61" t="str">
        <x:v>Comics</x:v>
      </x:c>
      <x:c r="C41" s="61" t="str">
        <x:v>Voir la source individuelle</x:v>
      </x:c>
      <x:c r="D41" s="61" t="str">
        <x:v>Individu nommé ou surnommé</x:v>
      </x:c>
      <x:c r="E41" s="61" t="str">
        <x:v>Oui</x:v>
      </x:c>
      <x:c r="F41" s="61" t="str"/>
      <x:c r="G41" s="61" t="str">
        <x:v>https://avp.fandom.com/wiki/Forest_Devil</x:v>
      </x:c>
    </x:row>
    <x:row r="42">
      <x:c r="A42" s="61" t="str">
        <x:v>Four-armed Predator</x:v>
      </x:c>
      <x:c r="B42" s="61" t="str">
        <x:v>Comics</x:v>
      </x:c>
      <x:c r="C42" s="61" t="str">
        <x:v>Voir la source individuelle</x:v>
      </x:c>
      <x:c r="D42" s="61" t="str">
        <x:v>Individu / hybride ou mutation</x:v>
      </x:c>
      <x:c r="E42" s="61" t="str">
        <x:v>Oui</x:v>
      </x:c>
      <x:c r="F42" s="61" t="str"/>
      <x:c r="G42" s="61" t="str">
        <x:v>https://avp.fandom.com/wiki/Four-armed_Predator</x:v>
      </x:c>
    </x:row>
    <x:row r="43">
      <x:c r="A43" s="61" t="str">
        <x:v>Freckles</x:v>
      </x:c>
      <x:c r="B43" s="61" t="str">
        <x:v>Univers étendu (comic/roman/audio/jeu)</x:v>
      </x:c>
      <x:c r="C43" s="61" t="str">
        <x:v>Voir la source individuelle</x:v>
      </x:c>
      <x:c r="D43" s="61" t="str">
        <x:v>Individu nommé ou surnommé</x:v>
      </x:c>
      <x:c r="E43" s="61" t="str">
        <x:v>Oui</x:v>
      </x:c>
      <x:c r="F43" s="61" t="str"/>
      <x:c r="G43" s="61" t="str">
        <x:v>https://avp.fandom.com/wiki/Freckles</x:v>
      </x:c>
    </x:row>
    <x:row r="44">
      <x:c r="A44" s="61" t="str">
        <x:v>Ghardeh</x:v>
      </x:c>
      <x:c r="B44" s="61" t="str">
        <x:v>Univers étendu (comic/roman/audio/jeu)</x:v>
      </x:c>
      <x:c r="C44" s="61" t="str">
        <x:v>Voir la source individuelle</x:v>
      </x:c>
      <x:c r="D44" s="61" t="str">
        <x:v>Individu nommé ou surnommé</x:v>
      </x:c>
      <x:c r="E44" s="61" t="str">
        <x:v>Oui</x:v>
      </x:c>
      <x:c r="F44" s="61" t="str"/>
      <x:c r="G44" s="61" t="str">
        <x:v>https://avp.fandom.com/wiki/Ghardeh</x:v>
      </x:c>
    </x:row>
    <x:row r="45">
      <x:c r="A45" s="61" t="str">
        <x:v>Gkyaun</x:v>
      </x:c>
      <x:c r="B45" s="61" t="str">
        <x:v>Univers étendu (comic/roman/audio/jeu)</x:v>
      </x:c>
      <x:c r="C45" s="61" t="str">
        <x:v>Voir la source individuelle</x:v>
      </x:c>
      <x:c r="D45" s="61" t="str">
        <x:v>Individu nommé ou surnommé</x:v>
      </x:c>
      <x:c r="E45" s="61" t="str">
        <x:v>Oui</x:v>
      </x:c>
      <x:c r="F45" s="61" t="str"/>
      <x:c r="G45" s="61" t="str">
        <x:v>https://avp.fandom.com/wiki/Gkyaun</x:v>
      </x:c>
    </x:row>
    <x:row r="46">
      <x:c r="A46" s="61" t="str">
        <x:v>Golden Angel Predator</x:v>
      </x:c>
      <x:c r="B46" s="61" t="str">
        <x:v>Comics • Figurine / jouet</x:v>
      </x:c>
      <x:c r="C46" s="61" t="str">
        <x:v>Predator 1718 / NECA</x:v>
      </x:c>
      <x:c r="D46" s="61" t="str">
        <x:v>Alias / version plus jeune</x:v>
      </x:c>
      <x:c r="E46" s="61" t="str">
        <x:v>Alias</x:v>
      </x:c>
      <x:c r="F46" s="61" t="str"/>
      <x:c r="G46" s="61" t="str">
        <x:v>https://avp.fandom.com/wiki/Golden_Angel_Predator</x:v>
      </x:c>
    </x:row>
    <x:row r="47">
      <x:c r="A47" s="61" t="str">
        <x:v>Gollywomp</x:v>
      </x:c>
      <x:c r="B47" s="61" t="str">
        <x:v>Comics</x:v>
      </x:c>
      <x:c r="C47" s="61" t="str">
        <x:v>Voir la source individuelle</x:v>
      </x:c>
      <x:c r="D47" s="61" t="str">
        <x:v>Individu nommé ou surnommé</x:v>
      </x:c>
      <x:c r="E47" s="61" t="str">
        <x:v>Oui</x:v>
      </x:c>
      <x:c r="F47" s="61" t="str"/>
      <x:c r="G47" s="61" t="str">
        <x:v>https://avp.fandom.com/wiki/Gollywomp</x:v>
      </x:c>
    </x:row>
    <x:row r="48">
      <x:c r="A48" s="61" t="str">
        <x:v>Goreph</x:v>
      </x:c>
      <x:c r="B48" s="61" t="str">
        <x:v>Univers étendu (comic/roman/audio/jeu)</x:v>
      </x:c>
      <x:c r="C48" s="61" t="str">
        <x:v>Voir la source individuelle</x:v>
      </x:c>
      <x:c r="D48" s="61" t="str">
        <x:v>Individu nommé ou surnommé</x:v>
      </x:c>
      <x:c r="E48" s="61" t="str">
        <x:v>Oui</x:v>
      </x:c>
      <x:c r="F48" s="61" t="str"/>
      <x:c r="G48" s="61" t="str">
        <x:v>https://avp.fandom.com/wiki/Goreph</x:v>
      </x:c>
    </x:row>
    <x:row r="49">
      <x:c r="A49" s="61" t="str">
        <x:v>Guardian</x:v>
      </x:c>
      <x:c r="B49" s="61" t="str">
        <x:v>Film / animation • Comics • Roman / prose</x:v>
      </x:c>
      <x:c r="C49" s="61" t="str">
        <x:v>Predator 2 (1990)</x:v>
      </x:c>
      <x:c r="D49" s="61" t="str">
        <x:v>Individu nommé ou surnommé</x:v>
      </x:c>
      <x:c r="E49" s="61" t="str">
        <x:v>Oui</x:v>
      </x:c>
      <x:c r="F49" s="61" t="str"/>
      <x:c r="G49" s="61" t="str">
        <x:v>https://avp.fandom.com/wiki/Guardian</x:v>
      </x:c>
    </x:row>
    <x:row r="50">
      <x:c r="A50" s="61" t="str">
        <x:v>H'chak</x:v>
      </x:c>
      <x:c r="B50" s="61" t="str">
        <x:v>Univers étendu (comic/roman/audio/jeu)</x:v>
      </x:c>
      <x:c r="C50" s="61" t="str">
        <x:v>Voir la source individuelle</x:v>
      </x:c>
      <x:c r="D50" s="61" t="str">
        <x:v>Individu nommé ou surnommé</x:v>
      </x:c>
      <x:c r="E50" s="61" t="str">
        <x:v>Oui</x:v>
      </x:c>
      <x:c r="F50" s="61" t="str"/>
      <x:c r="G50" s="61" t="str">
        <x:v>https://avp.fandom.com/wiki/H'chak</x:v>
      </x:c>
    </x:row>
    <x:row r="51">
      <x:c r="A51" s="61" t="str">
        <x:v>Hashori</x:v>
      </x:c>
      <x:c r="B51" s="61" t="str">
        <x:v>Univers étendu (comic/roman/audio/jeu)</x:v>
      </x:c>
      <x:c r="C51" s="61" t="str">
        <x:v>Voir la source individuelle</x:v>
      </x:c>
      <x:c r="D51" s="61" t="str">
        <x:v>Individu nommé ou surnommé</x:v>
      </x:c>
      <x:c r="E51" s="61" t="str">
        <x:v>Oui</x:v>
      </x:c>
      <x:c r="F51" s="61" t="str"/>
      <x:c r="G51" s="61" t="str">
        <x:v>https://avp.fandom.com/wiki/Hashori</x:v>
      </x:c>
    </x:row>
    <x:row r="52">
      <x:c r="A52" s="61" t="str">
        <x:v>Hive Wars Predator</x:v>
      </x:c>
      <x:c r="B52" s="61" t="str">
        <x:v>Comics • Figurine / jouet</x:v>
      </x:c>
      <x:c r="C52" s="61" t="str">
        <x:v>Voir la source individuelle</x:v>
      </x:c>
      <x:c r="D52" s="61" t="str">
        <x:v>Individu nommé ou surnommé</x:v>
      </x:c>
      <x:c r="E52" s="61" t="str">
        <x:v>Oui</x:v>
      </x:c>
      <x:c r="F52" s="61" t="str"/>
      <x:c r="G52" s="61" t="str">
        <x:v>https://avp.fandom.com/wiki/Hive_Wars_Predator</x:v>
      </x:c>
    </x:row>
    <x:row r="53">
      <x:c r="A53" s="61" t="str">
        <x:v>Hook</x:v>
      </x:c>
      <x:c r="B53" s="61" t="str">
        <x:v>Comics</x:v>
      </x:c>
      <x:c r="C53" s="61" t="str">
        <x:v>Voir la source individuelle</x:v>
      </x:c>
      <x:c r="D53" s="61" t="str">
        <x:v>Individu nommé ou surnommé</x:v>
      </x:c>
      <x:c r="E53" s="61" t="str">
        <x:v>Oui</x:v>
      </x:c>
      <x:c r="F53" s="61" t="str"/>
      <x:c r="G53" s="61" t="str">
        <x:v>https://avp.fandom.com/wiki/Hook</x:v>
      </x:c>
    </x:row>
    <x:row r="54">
      <x:c r="A54" s="61" t="str">
        <x:v>Hornhead</x:v>
      </x:c>
      <x:c r="B54" s="61" t="str">
        <x:v>Comics</x:v>
      </x:c>
      <x:c r="C54" s="61" t="str">
        <x:v>Voir la source individuelle</x:v>
      </x:c>
      <x:c r="D54" s="61" t="str">
        <x:v>Individu nommé ou surnommé</x:v>
      </x:c>
      <x:c r="E54" s="61" t="str">
        <x:v>Oui</x:v>
      </x:c>
      <x:c r="F54" s="61" t="str"/>
      <x:c r="G54" s="61" t="str">
        <x:v>https://avp.fandom.com/wiki/Hornhead</x:v>
      </x:c>
    </x:row>
    <x:row r="55">
      <x:c r="A55" s="61" t="str">
        <x:v>Hunter Captain</x:v>
      </x:c>
      <x:c r="B55" s="61" t="str">
        <x:v>Univers étendu (comic/roman/audio/jeu)</x:v>
      </x:c>
      <x:c r="C55" s="61" t="str">
        <x:v>Predator: Concrete Jungle (2005)</x:v>
      </x:c>
      <x:c r="D55" s="61" t="str">
        <x:v>Individu nommé ou surnommé</x:v>
      </x:c>
      <x:c r="E55" s="61" t="str">
        <x:v>Oui</x:v>
      </x:c>
      <x:c r="F55" s="61" t="str"/>
      <x:c r="G55" s="61" t="str">
        <x:v>https://avp.fandom.com/wiki/Hunter_Captain</x:v>
      </x:c>
    </x:row>
    <x:row r="56">
      <x:c r="A56" s="61" t="str">
        <x:v>Inu</x:v>
      </x:c>
      <x:c r="B56" s="61" t="str">
        <x:v>Univers étendu (comic/roman/audio/jeu)</x:v>
      </x:c>
      <x:c r="C56" s="61" t="str">
        <x:v>Voir la source individuelle</x:v>
      </x:c>
      <x:c r="D56" s="61" t="str">
        <x:v>Individu nommé ou surnommé</x:v>
      </x:c>
      <x:c r="E56" s="61" t="str">
        <x:v>Oui</x:v>
      </x:c>
      <x:c r="F56" s="61" t="str"/>
      <x:c r="G56" s="61" t="str">
        <x:v>https://avp.fandom.com/wiki/Inu</x:v>
      </x:c>
    </x:row>
    <x:row r="57">
      <x:c r="A57" s="61" t="str">
        <x:v>Ka'Torag</x:v>
      </x:c>
      <x:c r="B57" s="61" t="str">
        <x:v>Univers étendu (comic/roman/audio/jeu)</x:v>
      </x:c>
      <x:c r="C57" s="61" t="str">
        <x:v>Voir la source individuelle</x:v>
      </x:c>
      <x:c r="D57" s="61" t="str">
        <x:v>Individu nommé ou surnommé</x:v>
      </x:c>
      <x:c r="E57" s="61" t="str">
        <x:v>Oui</x:v>
      </x:c>
      <x:c r="F57" s="61" t="str"/>
      <x:c r="G57" s="61" t="str">
        <x:v>https://avp.fandom.com/wiki/Ka'Torag</x:v>
      </x:c>
    </x:row>
    <x:row r="58">
      <x:c r="A58" s="61" t="str">
        <x:v>Kalakta</x:v>
      </x:c>
      <x:c r="B58" s="61" t="str">
        <x:v>Univers étendu (comic/roman/audio/jeu)</x:v>
      </x:c>
      <x:c r="C58" s="61" t="str">
        <x:v>Voir la source individuelle</x:v>
      </x:c>
      <x:c r="D58" s="61" t="str">
        <x:v>Individu nommé ou surnommé</x:v>
      </x:c>
      <x:c r="E58" s="61" t="str">
        <x:v>Oui</x:v>
      </x:c>
      <x:c r="F58" s="61" t="str"/>
      <x:c r="G58" s="61" t="str">
        <x:v>https://avp.fandom.com/wiki/Kalakta</x:v>
      </x:c>
    </x:row>
    <x:row r="59">
      <x:c r="A59" s="61" t="str">
        <x:v>Kata'nu</x:v>
      </x:c>
      <x:c r="B59" s="61" t="str">
        <x:v>Univers étendu (comic/roman/audio/jeu)</x:v>
      </x:c>
      <x:c r="C59" s="61" t="str">
        <x:v>Voir la source individuelle</x:v>
      </x:c>
      <x:c r="D59" s="61" t="str">
        <x:v>Individu nommé ou surnommé</x:v>
      </x:c>
      <x:c r="E59" s="61" t="str">
        <x:v>Oui</x:v>
      </x:c>
      <x:c r="F59" s="61" t="str"/>
      <x:c r="G59" s="61" t="str">
        <x:v>https://avp.fandom.com/wiki/Kata'nu</x:v>
      </x:c>
    </x:row>
    <x:row r="60">
      <x:c r="A60" s="61" t="str">
        <x:v>Ki'vik'non</x:v>
      </x:c>
      <x:c r="B60" s="61" t="str">
        <x:v>Univers étendu (comic/roman/audio/jeu)</x:v>
      </x:c>
      <x:c r="C60" s="61" t="str">
        <x:v>Voir la source individuelle</x:v>
      </x:c>
      <x:c r="D60" s="61" t="str">
        <x:v>Individu nommé ou surnommé</x:v>
      </x:c>
      <x:c r="E60" s="61" t="str">
        <x:v>Oui</x:v>
      </x:c>
      <x:c r="F60" s="61" t="str"/>
      <x:c r="G60" s="61" t="str">
        <x:v>https://avp.fandom.com/wiki/Ki'vik'non</x:v>
      </x:c>
    </x:row>
    <x:row r="61">
      <x:c r="A61" s="61" t="str">
        <x:v>Killers Clan</x:v>
      </x:c>
      <x:c r="B61" s="61" t="str">
        <x:v>Comics</x:v>
      </x:c>
      <x:c r="C61" s="61" t="str">
        <x:v>Aliens vs. Predator: Three World War</x:v>
      </x:c>
      <x:c r="D61" s="61" t="str">
        <x:v>Groupe / clan</x:v>
      </x:c>
      <x:c r="E61" s="61" t="str">
        <x:v>Non (groupe)</x:v>
      </x:c>
      <x:c r="F61" s="61" t="str"/>
      <x:c r="G61" s="61" t="str">
        <x:v>https://avp.fandom.com/wiki/Killers_Clan</x:v>
      </x:c>
    </x:row>
    <x:row r="62">
      <x:c r="A62" s="61" t="str">
        <x:v>Ku'dlak</x:v>
      </x:c>
      <x:c r="B62" s="61" t="str">
        <x:v>Univers étendu (comic/roman/audio/jeu)</x:v>
      </x:c>
      <x:c r="C62" s="61" t="str">
        <x:v>Voir la source individuelle</x:v>
      </x:c>
      <x:c r="D62" s="61" t="str">
        <x:v>Individu nommé ou surnommé</x:v>
      </x:c>
      <x:c r="E62" s="61" t="str">
        <x:v>Oui</x:v>
      </x:c>
      <x:c r="F62" s="61" t="str"/>
      <x:c r="G62" s="61" t="str">
        <x:v>https://avp.fandom.com/wiki/Ku'dlak</x:v>
      </x:c>
    </x:row>
    <x:row r="63">
      <x:c r="A63" s="61" t="str">
        <x:v>Lefty</x:v>
      </x:c>
      <x:c r="B63" s="61" t="str">
        <x:v>Univers étendu (comic/roman/audio/jeu)</x:v>
      </x:c>
      <x:c r="C63" s="61" t="str">
        <x:v>Voir la source individuelle</x:v>
      </x:c>
      <x:c r="D63" s="61" t="str">
        <x:v>Individu nommé ou surnommé</x:v>
      </x:c>
      <x:c r="E63" s="61" t="str">
        <x:v>Oui</x:v>
      </x:c>
      <x:c r="F63" s="61" t="str"/>
      <x:c r="G63" s="61" t="str">
        <x:v>https://avp.fandom.com/wiki/Lefty</x:v>
      </x:c>
    </x:row>
    <x:row r="64">
      <x:c r="A64" s="61" t="str">
        <x:v>Light-Stepper</x:v>
      </x:c>
      <x:c r="B64" s="61" t="str">
        <x:v>Comics</x:v>
      </x:c>
      <x:c r="C64" s="61" t="str">
        <x:v>Voir la source individuelle</x:v>
      </x:c>
      <x:c r="D64" s="61" t="str">
        <x:v>Individu nommé ou surnommé</x:v>
      </x:c>
      <x:c r="E64" s="61" t="str">
        <x:v>Oui</x:v>
      </x:c>
      <x:c r="F64" s="61" t="str"/>
      <x:c r="G64" s="61" t="str">
        <x:v>https://avp.fandom.com/wiki/Light-Stepper</x:v>
      </x:c>
    </x:row>
    <x:row r="65">
      <x:c r="A65" s="61" t="str">
        <x:v>M'icli-de</x:v>
      </x:c>
      <x:c r="B65" s="61" t="str">
        <x:v>Univers étendu (comic/roman/audio/jeu)</x:v>
      </x:c>
      <x:c r="C65" s="61" t="str">
        <x:v>Voir la source individuelle</x:v>
      </x:c>
      <x:c r="D65" s="61" t="str">
        <x:v>Individu nommé ou surnommé</x:v>
      </x:c>
      <x:c r="E65" s="61" t="str">
        <x:v>Oui</x:v>
      </x:c>
      <x:c r="F65" s="61" t="str"/>
      <x:c r="G65" s="61" t="str">
        <x:v>https://avp.fandom.com/wiki/M'icli-de</x:v>
      </x:c>
    </x:row>
    <x:row r="66">
      <x:c r="A66" s="61" t="str">
        <x:v>Mahnde</x:v>
      </x:c>
      <x:c r="B66" s="61" t="str">
        <x:v>Univers étendu (comic/roman/audio/jeu)</x:v>
      </x:c>
      <x:c r="C66" s="61" t="str">
        <x:v>Voir la source individuelle</x:v>
      </x:c>
      <x:c r="D66" s="61" t="str">
        <x:v>Individu nommé ou surnommé</x:v>
      </x:c>
      <x:c r="E66" s="61" t="str">
        <x:v>Oui</x:v>
      </x:c>
      <x:c r="F66" s="61" t="str"/>
      <x:c r="G66" s="61" t="str">
        <x:v>https://avp.fandom.com/wiki/Mahnde</x:v>
      </x:c>
    </x:row>
    <x:row r="67">
      <x:c r="A67" s="61" t="str">
        <x:v>Mersh-Trep</x:v>
      </x:c>
      <x:c r="B67" s="61" t="str">
        <x:v>Univers étendu (comic/roman/audio/jeu)</x:v>
      </x:c>
      <x:c r="C67" s="61" t="str">
        <x:v>Voir la source individuelle</x:v>
      </x:c>
      <x:c r="D67" s="61" t="str">
        <x:v>Individu nommé ou surnommé</x:v>
      </x:c>
      <x:c r="E67" s="61" t="str">
        <x:v>Oui</x:v>
      </x:c>
      <x:c r="F67" s="61" t="str"/>
      <x:c r="G67" s="61" t="str">
        <x:v>https://avp.fandom.com/wiki/Mersh-Trep</x:v>
      </x:c>
    </x:row>
    <x:row r="68">
      <x:c r="A68" s="61" t="str">
        <x:v>Minikui</x:v>
      </x:c>
      <x:c r="B68" s="61" t="str">
        <x:v>Univers étendu (comic/roman/audio/jeu)</x:v>
      </x:c>
      <x:c r="C68" s="61" t="str">
        <x:v>Voir la source individuelle</x:v>
      </x:c>
      <x:c r="D68" s="61" t="str">
        <x:v>Individu nommé ou surnommé</x:v>
      </x:c>
      <x:c r="E68" s="61" t="str">
        <x:v>Oui</x:v>
      </x:c>
      <x:c r="F68" s="61" t="str"/>
      <x:c r="G68" s="61" t="str">
        <x:v>https://avp.fandom.com/wiki/Minikui</x:v>
      </x:c>
    </x:row>
    <x:row r="69">
      <x:c r="A69" s="61" t="str">
        <x:v>Mutated Yautja</x:v>
      </x:c>
      <x:c r="B69" s="61" t="str">
        <x:v>Univers étendu (comic/roman/audio/jeu)</x:v>
      </x:c>
      <x:c r="C69" s="61" t="str">
        <x:v>Voir la source individuelle</x:v>
      </x:c>
      <x:c r="D69" s="61" t="str">
        <x:v>Individu / hybride ou mutation</x:v>
      </x:c>
      <x:c r="E69" s="61" t="str">
        <x:v>Oui</x:v>
      </x:c>
      <x:c r="F69" s="61" t="str"/>
      <x:c r="G69" s="61" t="str">
        <x:v>https://avp.fandom.com/wiki/Mutated_Yautja</x:v>
      </x:c>
    </x:row>
    <x:row r="70">
      <x:c r="A70" s="61" t="str">
        <x:v>Mystery Competitor</x:v>
      </x:c>
      <x:c r="B70" s="61" t="str">
        <x:v>Comics</x:v>
      </x:c>
      <x:c r="C70" s="61" t="str">
        <x:v>Voir la source individuelle</x:v>
      </x:c>
      <x:c r="D70" s="61" t="str">
        <x:v>Individu nommé ou surnommé</x:v>
      </x:c>
      <x:c r="E70" s="61" t="str">
        <x:v>Oui</x:v>
      </x:c>
      <x:c r="F70" s="61" t="str"/>
      <x:c r="G70" s="61" t="str">
        <x:v>https://avp.fandom.com/wiki/Mystery_Competitor</x:v>
      </x:c>
    </x:row>
    <x:row r="71">
      <x:c r="A71" s="61" t="str">
        <x:v>Nakande</x:v>
      </x:c>
      <x:c r="B71" s="61" t="str">
        <x:v>Univers étendu (comic/roman/audio/jeu)</x:v>
      </x:c>
      <x:c r="C71" s="61" t="str">
        <x:v>Voir la source individuelle</x:v>
      </x:c>
      <x:c r="D71" s="61" t="str">
        <x:v>Individu nommé ou surnommé</x:v>
      </x:c>
      <x:c r="E71" s="61" t="str">
        <x:v>Oui</x:v>
      </x:c>
      <x:c r="F71" s="61" t="str"/>
      <x:c r="G71" s="61" t="str">
        <x:v>https://avp.fandom.com/wiki/Nakande</x:v>
      </x:c>
    </x:row>
    <x:row r="72">
      <x:c r="A72" s="61" t="str">
        <x:v>Nat'ka'pu</x:v>
      </x:c>
      <x:c r="B72" s="61" t="str">
        <x:v>Univers étendu (comic/roman/audio/jeu)</x:v>
      </x:c>
      <x:c r="C72" s="61" t="str">
        <x:v>Voir la source individuelle</x:v>
      </x:c>
      <x:c r="D72" s="61" t="str">
        <x:v>Individu nommé ou surnommé</x:v>
      </x:c>
      <x:c r="E72" s="61" t="str">
        <x:v>Oui</x:v>
      </x:c>
      <x:c r="F72" s="61" t="str"/>
      <x:c r="G72" s="61" t="str">
        <x:v>https://avp.fandom.com/wiki/Nat'ka'pu</x:v>
      </x:c>
    </x:row>
    <x:row r="73">
      <x:c r="A73" s="61" t="str">
        <x:v>Nei'hman-de</x:v>
      </x:c>
      <x:c r="B73" s="61" t="str">
        <x:v>Univers étendu (comic/roman/audio/jeu)</x:v>
      </x:c>
      <x:c r="C73" s="61" t="str">
        <x:v>Voir la source individuelle</x:v>
      </x:c>
      <x:c r="D73" s="61" t="str">
        <x:v>Individu nommé ou surnommé</x:v>
      </x:c>
      <x:c r="E73" s="61" t="str">
        <x:v>Oui</x:v>
      </x:c>
      <x:c r="F73" s="61" t="str"/>
      <x:c r="G73" s="61" t="str">
        <x:v>https://avp.fandom.com/wiki/Nei'hman-de</x:v>
      </x:c>
    </x:row>
    <x:row r="74">
      <x:c r="A74" s="61" t="str">
        <x:v>Nightmare Kid</x:v>
      </x:c>
      <x:c r="B74" s="61" t="str">
        <x:v>Univers étendu (comic/roman/audio/jeu)</x:v>
      </x:c>
      <x:c r="C74" s="61" t="str">
        <x:v>Voir la source individuelle</x:v>
      </x:c>
      <x:c r="D74" s="61" t="str">
        <x:v>Individu nommé ou surnommé</x:v>
      </x:c>
      <x:c r="E74" s="61" t="str">
        <x:v>Oui</x:v>
      </x:c>
      <x:c r="F74" s="61" t="str"/>
      <x:c r="G74" s="61" t="str">
        <x:v>https://avp.fandom.com/wiki/Nightmare_Kid</x:v>
      </x:c>
    </x:row>
    <x:row r="75">
      <x:c r="A75" s="61" t="str">
        <x:v>Nk'mecci</x:v>
      </x:c>
      <x:c r="B75" s="61" t="str">
        <x:v>Univers étendu (comic/roman/audio/jeu)</x:v>
      </x:c>
      <x:c r="C75" s="61" t="str">
        <x:v>Voir la source individuelle</x:v>
      </x:c>
      <x:c r="D75" s="61" t="str">
        <x:v>Individu nommé ou surnommé</x:v>
      </x:c>
      <x:c r="E75" s="61" t="str">
        <x:v>Oui</x:v>
      </x:c>
      <x:c r="F75" s="61" t="str"/>
      <x:c r="G75" s="61" t="str">
        <x:v>https://avp.fandom.com/wiki/Nk'mecci</x:v>
      </x:c>
    </x:row>
    <x:row r="76">
      <x:c r="A76" s="61" t="str">
        <x:v>Oc'djy</x:v>
      </x:c>
      <x:c r="B76" s="61" t="str">
        <x:v>Univers étendu (comic/roman/audio/jeu)</x:v>
      </x:c>
      <x:c r="C76" s="61" t="str">
        <x:v>Voir la source individuelle</x:v>
      </x:c>
      <x:c r="D76" s="61" t="str">
        <x:v>Individu nommé ou surnommé</x:v>
      </x:c>
      <x:c r="E76" s="61" t="str">
        <x:v>Oui</x:v>
      </x:c>
      <x:c r="F76" s="61" t="str"/>
      <x:c r="G76" s="61" t="str">
        <x:v>https://avp.fandom.com/wiki/Oc'djy</x:v>
      </x:c>
    </x:row>
    <x:row r="77">
      <x:c r="A77" s="61" t="str">
        <x:v>Ozarks Hunter</x:v>
      </x:c>
      <x:c r="B77" s="61" t="str">
        <x:v>Comics</x:v>
      </x:c>
      <x:c r="C77" s="61" t="str">
        <x:v>Voir la source individuelle</x:v>
      </x:c>
      <x:c r="D77" s="61" t="str">
        <x:v>Individu nommé ou surnommé</x:v>
      </x:c>
      <x:c r="E77" s="61" t="str">
        <x:v>Oui</x:v>
      </x:c>
      <x:c r="F77" s="61" t="str"/>
      <x:c r="G77" s="61" t="str">
        <x:v>https://avp.fandom.com/wiki/Ozarks_Hunter</x:v>
      </x:c>
    </x:row>
    <x:row r="78">
      <x:c r="A78" s="61" t="str">
        <x:v>Pig Iron</x:v>
      </x:c>
      <x:c r="B78" s="61" t="str">
        <x:v>Comics</x:v>
      </x:c>
      <x:c r="C78" s="61" t="str">
        <x:v>Voir la source individuelle</x:v>
      </x:c>
      <x:c r="D78" s="61" t="str">
        <x:v>Individu nommé ou surnommé</x:v>
      </x:c>
      <x:c r="E78" s="61" t="str">
        <x:v>Oui</x:v>
      </x:c>
      <x:c r="F78" s="61" t="str"/>
      <x:c r="G78" s="61" t="str">
        <x:v>https://avp.fandom.com/wiki/Pig_Iron</x:v>
      </x:c>
    </x:row>
    <x:row r="79">
      <x:c r="A79" s="61" t="str">
        <x:v>Predator (Mega-City One)</x:v>
      </x:c>
      <x:c r="B79" s="61" t="str">
        <x:v>Comics</x:v>
      </x:c>
      <x:c r="C79" s="61" t="str">
        <x:v>Predator vs. Judge Dredd</x:v>
      </x:c>
      <x:c r="D79" s="61" t="str">
        <x:v>Individu nommé ou surnommé</x:v>
      </x:c>
      <x:c r="E79" s="61" t="str">
        <x:v>Oui</x:v>
      </x:c>
      <x:c r="F79" s="61" t="str"/>
      <x:c r="G79" s="61" t="str">
        <x:v>https://avp.fandom.com/wiki/Predator_%28Mega-City_One%29</x:v>
      </x:c>
    </x:row>
    <x:row r="80">
      <x:c r="A80" s="61" t="str">
        <x:v>Predator (Rite of Passage)</x:v>
      </x:c>
      <x:c r="B80" s="61" t="str">
        <x:v>Comics</x:v>
      </x:c>
      <x:c r="C80" s="61" t="str">
        <x:v>Voir la source individuelle</x:v>
      </x:c>
      <x:c r="D80" s="61" t="str">
        <x:v>Individu nommé ou surnommé</x:v>
      </x:c>
      <x:c r="E80" s="61" t="str">
        <x:v>Oui</x:v>
      </x:c>
      <x:c r="F80" s="61" t="str"/>
      <x:c r="G80" s="61" t="str">
        <x:v>https://avp.fandom.com/wiki/Predator_%28Rite_of_Passage%29</x:v>
      </x:c>
    </x:row>
    <x:row r="81">
      <x:c r="A81" s="61" t="str">
        <x:v>Predator A6718</x:v>
      </x:c>
      <x:c r="B81" s="61" t="str">
        <x:v>Univers étendu (comic/roman/audio/jeu)</x:v>
      </x:c>
      <x:c r="C81" s="61" t="str">
        <x:v>Alien vs. Predator (arcade, 1994)</x:v>
      </x:c>
      <x:c r="D81" s="61" t="str">
        <x:v>Individu nommé ou surnommé</x:v>
      </x:c>
      <x:c r="E81" s="61" t="str">
        <x:v>Oui</x:v>
      </x:c>
      <x:c r="F81" s="61" t="str"/>
      <x:c r="G81" s="61" t="str">
        <x:v>https://avp.fandom.com/wiki/Predator_A6718</x:v>
      </x:c>
    </x:row>
    <x:row r="82">
      <x:c r="A82" s="61" t="str">
        <x:v>Prient'de</x:v>
      </x:c>
      <x:c r="B82" s="61" t="str">
        <x:v>Comics</x:v>
      </x:c>
      <x:c r="C82" s="61" t="str">
        <x:v>Voir la source individuelle</x:v>
      </x:c>
      <x:c r="D82" s="61" t="str">
        <x:v>Individu nommé ou surnommé</x:v>
      </x:c>
      <x:c r="E82" s="61" t="str">
        <x:v>Oui</x:v>
      </x:c>
      <x:c r="F82" s="61" t="str"/>
      <x:c r="G82" s="61" t="str">
        <x:v>https://avp.fandom.com/wiki/Prient'de</x:v>
      </x:c>
    </x:row>
    <x:row r="83">
      <x:c r="A83" s="61" t="str">
        <x:v>R'ka</x:v>
      </x:c>
      <x:c r="B83" s="61" t="str">
        <x:v>Univers étendu (comic/roman/audio/jeu)</x:v>
      </x:c>
      <x:c r="C83" s="61" t="str">
        <x:v>Voir la source individuelle</x:v>
      </x:c>
      <x:c r="D83" s="61" t="str">
        <x:v>Individu nommé ou surnommé</x:v>
      </x:c>
      <x:c r="E83" s="61" t="str">
        <x:v>Oui</x:v>
      </x:c>
      <x:c r="F83" s="61" t="str"/>
      <x:c r="G83" s="61" t="str">
        <x:v>https://avp.fandom.com/wiki/R'ka</x:v>
      </x:c>
    </x:row>
    <x:row r="84">
      <x:c r="A84" s="61" t="str">
        <x:v>Rakshasa</x:v>
      </x:c>
      <x:c r="B84" s="61" t="str">
        <x:v>Comics</x:v>
      </x:c>
      <x:c r="C84" s="61" t="str">
        <x:v>Voir la source individuelle</x:v>
      </x:c>
      <x:c r="D84" s="61" t="str">
        <x:v>Individu nommé ou surnommé</x:v>
      </x:c>
      <x:c r="E84" s="61" t="str">
        <x:v>Oui</x:v>
      </x:c>
      <x:c r="F84" s="61" t="str"/>
      <x:c r="G84" s="61" t="str">
        <x:v>https://avp.fandom.com/wiki/Rakshasa</x:v>
      </x:c>
    </x:row>
    <x:row r="85">
      <x:c r="A85" s="61" t="str">
        <x:v>Sakana</x:v>
      </x:c>
      <x:c r="B85" s="61" t="str">
        <x:v>Univers étendu (comic/roman/audio/jeu)</x:v>
      </x:c>
      <x:c r="C85" s="61" t="str">
        <x:v>Voir la source individuelle</x:v>
      </x:c>
      <x:c r="D85" s="61" t="str">
        <x:v>Individu nommé ou surnommé</x:v>
      </x:c>
      <x:c r="E85" s="61" t="str">
        <x:v>Oui</x:v>
      </x:c>
      <x:c r="F85" s="61" t="str"/>
      <x:c r="G85" s="61" t="str">
        <x:v>https://avp.fandom.com/wiki/Sakana</x:v>
      </x:c>
    </x:row>
    <x:row r="86">
      <x:c r="A86" s="61" t="str">
        <x:v>Scar (Shell)</x:v>
      </x:c>
      <x:c r="B86" s="61" t="str">
        <x:v>Univers étendu (comic/roman/audio/jeu)</x:v>
      </x:c>
      <x:c r="C86" s="61" t="str">
        <x:v>Voir la source individuelle</x:v>
      </x:c>
      <x:c r="D86" s="61" t="str">
        <x:v>Individu nommé ou surnommé</x:v>
      </x:c>
      <x:c r="E86" s="61" t="str">
        <x:v>Oui</x:v>
      </x:c>
      <x:c r="F86" s="61" t="str"/>
      <x:c r="G86" s="61" t="str">
        <x:v>https://avp.fandom.com/wiki/Scar_%28Shell%29</x:v>
      </x:c>
    </x:row>
    <x:row r="87">
      <x:c r="A87" s="61" t="str">
        <x:v>Scout</x:v>
      </x:c>
      <x:c r="B87" s="61" t="str">
        <x:v>Film / animation • Comics • Roman / prose</x:v>
      </x:c>
      <x:c r="C87" s="61" t="str">
        <x:v>Predator 2 (1990)</x:v>
      </x:c>
      <x:c r="D87" s="61" t="str">
        <x:v>Individu nommé ou surnommé</x:v>
      </x:c>
      <x:c r="E87" s="61" t="str">
        <x:v>Oui</x:v>
      </x:c>
      <x:c r="F87" s="61" t="str"/>
      <x:c r="G87" s="61" t="str">
        <x:v>https://avp.fandom.com/wiki/Scout</x:v>
      </x:c>
    </x:row>
    <x:row r="88">
      <x:c r="A88" s="61" t="str">
        <x:v>Second Heavy Predator</x:v>
      </x:c>
      <x:c r="B88" s="61" t="str">
        <x:v>Univers étendu (comic/roman/audio/jeu)</x:v>
      </x:c>
      <x:c r="C88" s="61" t="str">
        <x:v>Voir la source individuelle</x:v>
      </x:c>
      <x:c r="D88" s="61" t="str">
        <x:v>Individu anonyme désigné</x:v>
      </x:c>
      <x:c r="E88" s="61" t="str">
        <x:v>Oui</x:v>
      </x:c>
      <x:c r="F88" s="61" t="str"/>
      <x:c r="G88" s="61" t="str">
        <x:v>https://avp.fandom.com/wiki/Second_Heavy_Predator</x:v>
      </x:c>
    </x:row>
    <x:row r="89">
      <x:c r="A89" s="61" t="str">
        <x:v>Second Light Predator</x:v>
      </x:c>
      <x:c r="B89" s="61" t="str">
        <x:v>Univers étendu (comic/roman/audio/jeu)</x:v>
      </x:c>
      <x:c r="C89" s="61" t="str">
        <x:v>Voir la source individuelle</x:v>
      </x:c>
      <x:c r="D89" s="61" t="str">
        <x:v>Individu anonyme désigné</x:v>
      </x:c>
      <x:c r="E89" s="61" t="str">
        <x:v>Oui</x:v>
      </x:c>
      <x:c r="F89" s="61" t="str"/>
      <x:c r="G89" s="61" t="str">
        <x:v>https://avp.fandom.com/wiki/Second_Light_Predator</x:v>
      </x:c>
    </x:row>
    <x:row r="90">
      <x:c r="A90" s="61" t="str">
        <x:v>Second POC Predator</x:v>
      </x:c>
      <x:c r="B90" s="61" t="str">
        <x:v>Univers étendu (comic/roman/audio/jeu)</x:v>
      </x:c>
      <x:c r="C90" s="61" t="str">
        <x:v>Voir la source individuelle</x:v>
      </x:c>
      <x:c r="D90" s="61" t="str">
        <x:v>Individu anonyme désigné</x:v>
      </x:c>
      <x:c r="E90" s="61" t="str">
        <x:v>Oui</x:v>
      </x:c>
      <x:c r="F90" s="61" t="str"/>
      <x:c r="G90" s="61" t="str">
        <x:v>https://avp.fandom.com/wiki/Second_POC_Predator</x:v>
      </x:c>
    </x:row>
    <x:row r="91">
      <x:c r="A91" s="61" t="str">
        <x:v>See-through Slasher</x:v>
      </x:c>
      <x:c r="B91" s="61" t="str">
        <x:v>Comics</x:v>
      </x:c>
      <x:c r="C91" s="61" t="str">
        <x:v>Batman versus Predator</x:v>
      </x:c>
      <x:c r="D91" s="61" t="str">
        <x:v>Individu nommé ou surnommé</x:v>
      </x:c>
      <x:c r="E91" s="61" t="str">
        <x:v>Oui</x:v>
      </x:c>
      <x:c r="F91" s="61" t="str"/>
      <x:c r="G91" s="61" t="str">
        <x:v>https://avp.fandom.com/wiki/See-through_Slasher</x:v>
      </x:c>
    </x:row>
    <x:row r="92">
      <x:c r="A92" s="61" t="str">
        <x:v>Set-Thwei</x:v>
      </x:c>
      <x:c r="B92" s="61" t="str">
        <x:v>Univers étendu (comic/roman/audio/jeu)</x:v>
      </x:c>
      <x:c r="C92" s="61" t="str">
        <x:v>Voir la source individuelle</x:v>
      </x:c>
      <x:c r="D92" s="61" t="str">
        <x:v>Individu nommé ou surnommé</x:v>
      </x:c>
      <x:c r="E92" s="61" t="str">
        <x:v>Oui</x:v>
      </x:c>
      <x:c r="F92" s="61" t="str"/>
      <x:c r="G92" s="61" t="str">
        <x:v>https://avp.fandom.com/wiki/Set-Thwei</x:v>
      </x:c>
    </x:row>
    <x:row r="93">
      <x:c r="A93" s="61" t="str">
        <x:v>Shamana</x:v>
      </x:c>
      <x:c r="B93" s="61" t="str">
        <x:v>Roman / prose</x:v>
      </x:c>
      <x:c r="C93" s="61" t="str">
        <x:v>Voir la source individuelle</x:v>
      </x:c>
      <x:c r="D93" s="61" t="str">
        <x:v>Individu nommé ou surnommé</x:v>
      </x:c>
      <x:c r="E93" s="61" t="str">
        <x:v>Oui</x:v>
      </x:c>
      <x:c r="F93" s="61" t="str"/>
      <x:c r="G93" s="61" t="str">
        <x:v>https://avp.fandom.com/wiki/Shamana</x:v>
      </x:c>
    </x:row>
    <x:row r="94">
      <x:c r="A94" s="61" t="str">
        <x:v>Shesh-Kuk</x:v>
      </x:c>
      <x:c r="B94" s="61" t="str">
        <x:v>Roman / prose</x:v>
      </x:c>
      <x:c r="C94" s="61" t="str">
        <x:v>Voir la source individuelle</x:v>
      </x:c>
      <x:c r="D94" s="61" t="str">
        <x:v>Individu nommé ou surnommé</x:v>
      </x:c>
      <x:c r="E94" s="61" t="str">
        <x:v>Oui</x:v>
      </x:c>
      <x:c r="F94" s="61" t="str"/>
      <x:c r="G94" s="61" t="str">
        <x:v>https://avp.fandom.com/wiki/Shesh-Kuk</x:v>
      </x:c>
    </x:row>
    <x:row r="95">
      <x:c r="A95" s="61" t="str">
        <x:v>Shorty</x:v>
      </x:c>
      <x:c r="B95" s="61" t="str">
        <x:v>Comics</x:v>
      </x:c>
      <x:c r="C95" s="61" t="str">
        <x:v>Voir la source individuelle</x:v>
      </x:c>
      <x:c r="D95" s="61" t="str">
        <x:v>Individu nommé ou surnommé</x:v>
      </x:c>
      <x:c r="E95" s="61" t="str">
        <x:v>Oui</x:v>
      </x:c>
      <x:c r="F95" s="61" t="str"/>
      <x:c r="G95" s="61" t="str">
        <x:v>https://avp.fandom.com/wiki/Shorty</x:v>
      </x:c>
    </x:row>
    <x:row r="96">
      <x:c r="A96" s="61" t="str">
        <x:v>Shriek</x:v>
      </x:c>
      <x:c r="B96" s="61" t="str">
        <x:v>Univers étendu (comic/roman/audio/jeu)</x:v>
      </x:c>
      <x:c r="C96" s="61" t="str">
        <x:v>Voir la source individuelle</x:v>
      </x:c>
      <x:c r="D96" s="61" t="str">
        <x:v>Individu nommé ou surnommé</x:v>
      </x:c>
      <x:c r="E96" s="61" t="str">
        <x:v>Oui</x:v>
      </x:c>
      <x:c r="F96" s="61" t="str"/>
      <x:c r="G96" s="61" t="str">
        <x:v>https://avp.fandom.com/wiki/Shriek</x:v>
      </x:c>
    </x:row>
    <x:row r="97">
      <x:c r="A97" s="61" t="str">
        <x:v>Sister Midnight</x:v>
      </x:c>
      <x:c r="B97" s="61" t="str">
        <x:v>Univers étendu (comic/roman/audio/jeu)</x:v>
      </x:c>
      <x:c r="C97" s="61" t="str">
        <x:v>Voir la source individuelle</x:v>
      </x:c>
      <x:c r="D97" s="61" t="str">
        <x:v>Individu nommé ou surnommé</x:v>
      </x:c>
      <x:c r="E97" s="61" t="str">
        <x:v>Oui</x:v>
      </x:c>
      <x:c r="F97" s="61" t="str"/>
      <x:c r="G97" s="61" t="str">
        <x:v>https://avp.fandom.com/wiki/Sister_Midnight</x:v>
      </x:c>
    </x:row>
    <x:row r="98">
      <x:c r="A98" s="61" t="str">
        <x:v>Skemte</x:v>
      </x:c>
      <x:c r="B98" s="61" t="str">
        <x:v>Univers étendu (comic/roman/audio/jeu)</x:v>
      </x:c>
      <x:c r="C98" s="61" t="str">
        <x:v>Voir la source individuelle</x:v>
      </x:c>
      <x:c r="D98" s="61" t="str">
        <x:v>Individu nommé ou surnommé</x:v>
      </x:c>
      <x:c r="E98" s="61" t="str">
        <x:v>Oui</x:v>
      </x:c>
      <x:c r="F98" s="61" t="str"/>
      <x:c r="G98" s="61" t="str">
        <x:v>https://avp.fandom.com/wiki/Skemte</x:v>
      </x:c>
    </x:row>
    <x:row r="99">
      <x:c r="A99" s="61" t="str">
        <x:v>Skinner</x:v>
      </x:c>
      <x:c r="B99" s="61" t="str">
        <x:v>Univers étendu (comic/roman/audio/jeu)</x:v>
      </x:c>
      <x:c r="C99" s="61" t="str">
        <x:v>Voir la source individuelle</x:v>
      </x:c>
      <x:c r="D99" s="61" t="str">
        <x:v>Individu nommé ou surnommé</x:v>
      </x:c>
      <x:c r="E99" s="61" t="str">
        <x:v>Oui</x:v>
      </x:c>
      <x:c r="F99" s="61" t="str"/>
      <x:c r="G99" s="61" t="str">
        <x:v>https://avp.fandom.com/wiki/Skinner</x:v>
      </x:c>
    </x:row>
    <x:row r="100">
      <x:c r="A100" s="61" t="str">
        <x:v>Skl'da'-si</x:v>
      </x:c>
      <x:c r="B100" s="61" t="str">
        <x:v>Univers étendu (comic/roman/audio/jeu)</x:v>
      </x:c>
      <x:c r="C100" s="61" t="str">
        <x:v>Voir la source individuelle</x:v>
      </x:c>
      <x:c r="D100" s="61" t="str">
        <x:v>Individu nommé ou surnommé</x:v>
      </x:c>
      <x:c r="E100" s="61" t="str">
        <x:v>Oui</x:v>
      </x:c>
      <x:c r="F100" s="61" t="str"/>
      <x:c r="G100" s="61" t="str">
        <x:v>https://avp.fandom.com/wiki/Skl'da'-si</x:v>
      </x:c>
    </x:row>
    <x:row r="101">
      <x:c r="A101" s="61" t="str">
        <x:v>Sky Devil</x:v>
      </x:c>
      <x:c r="B101" s="61" t="str">
        <x:v>Univers étendu (comic/roman/audio/jeu)</x:v>
      </x:c>
      <x:c r="C101" s="61" t="str">
        <x:v>Voir la source individuelle</x:v>
      </x:c>
      <x:c r="D101" s="61" t="str">
        <x:v>Individu nommé ou surnommé</x:v>
      </x:c>
      <x:c r="E101" s="61" t="str">
        <x:v>Oui</x:v>
      </x:c>
      <x:c r="F101" s="61" t="str"/>
      <x:c r="G101" s="61" t="str">
        <x:v>https://avp.fandom.com/wiki/Sky_Devil</x:v>
      </x:c>
    </x:row>
    <x:row r="102">
      <x:c r="A102" s="61" t="str">
        <x:v>Slats</x:v>
      </x:c>
      <x:c r="B102" s="61" t="str">
        <x:v>Univers étendu (comic/roman/audio/jeu)</x:v>
      </x:c>
      <x:c r="C102" s="61" t="str">
        <x:v>Voir la source individuelle</x:v>
      </x:c>
      <x:c r="D102" s="61" t="str">
        <x:v>Individu nommé ou surnommé</x:v>
      </x:c>
      <x:c r="E102" s="61" t="str">
        <x:v>Oui</x:v>
      </x:c>
      <x:c r="F102" s="61" t="str"/>
      <x:c r="G102" s="61" t="str">
        <x:v>https://avp.fandom.com/wiki/Slats</x:v>
      </x:c>
    </x:row>
    <x:row r="103">
      <x:c r="A103" s="61" t="str">
        <x:v>Smiley</x:v>
      </x:c>
      <x:c r="B103" s="61" t="str">
        <x:v>Comics • Roman / prose</x:v>
      </x:c>
      <x:c r="C103" s="61" t="str">
        <x:v>Voir la source individuelle</x:v>
      </x:c>
      <x:c r="D103" s="61" t="str">
        <x:v>Individu nommé ou surnommé</x:v>
      </x:c>
      <x:c r="E103" s="61" t="str">
        <x:v>Oui</x:v>
      </x:c>
      <x:c r="F103" s="61" t="str"/>
      <x:c r="G103" s="61" t="str">
        <x:v>https://avp.fandom.com/wiki/Smiley</x:v>
      </x:c>
    </x:row>
    <x:row r="104">
      <x:c r="A104" s="61" t="str">
        <x:v>Splitter</x:v>
      </x:c>
      <x:c r="B104" s="61" t="str">
        <x:v>Comics</x:v>
      </x:c>
      <x:c r="C104" s="61" t="str">
        <x:v>Voir la source individuelle</x:v>
      </x:c>
      <x:c r="D104" s="61" t="str">
        <x:v>Individu nommé ou surnommé</x:v>
      </x:c>
      <x:c r="E104" s="61" t="str">
        <x:v>Oui</x:v>
      </x:c>
      <x:c r="F104" s="61" t="str"/>
      <x:c r="G104" s="61" t="str">
        <x:v>https://avp.fandom.com/wiki/Splitter</x:v>
      </x:c>
    </x:row>
    <x:row r="105">
      <x:c r="A105" s="61" t="str">
        <x:v>Stalker (Bad Blood)</x:v>
      </x:c>
      <x:c r="B105" s="61" t="str">
        <x:v>Univers étendu (comic/roman/audio/jeu)</x:v>
      </x:c>
      <x:c r="C105" s="61" t="str">
        <x:v>Voir la source individuelle</x:v>
      </x:c>
      <x:c r="D105" s="61" t="str">
        <x:v>Individu nommé ou surnommé</x:v>
      </x:c>
      <x:c r="E105" s="61" t="str">
        <x:v>Oui</x:v>
      </x:c>
      <x:c r="F105" s="61" t="str"/>
      <x:c r="G105" s="61" t="str">
        <x:v>https://avp.fandom.com/wiki/Stalker_%28Bad_Blood%29</x:v>
      </x:c>
    </x:row>
    <x:row r="106">
      <x:c r="A106" s="61" t="str">
        <x:v>Ta'roga</x:v>
      </x:c>
      <x:c r="B106" s="61" t="str">
        <x:v>Univers étendu (comic/roman/audio/jeu)</x:v>
      </x:c>
      <x:c r="C106" s="61" t="str">
        <x:v>Voir la source individuelle</x:v>
      </x:c>
      <x:c r="D106" s="61" t="str">
        <x:v>Individu nommé ou surnommé</x:v>
      </x:c>
      <x:c r="E106" s="61" t="str">
        <x:v>Oui</x:v>
      </x:c>
      <x:c r="F106" s="61" t="str"/>
      <x:c r="G106" s="61" t="str">
        <x:v>https://avp.fandom.com/wiki/Ta'roga</x:v>
      </x:c>
    </x:row>
    <x:row r="107">
      <x:c r="A107" s="61" t="str">
        <x:v>The Devil</x:v>
      </x:c>
      <x:c r="B107" s="61" t="str">
        <x:v>Univers étendu (comic/roman/audio/jeu)</x:v>
      </x:c>
      <x:c r="C107" s="61" t="str">
        <x:v>Voir la source individuelle</x:v>
      </x:c>
      <x:c r="D107" s="61" t="str">
        <x:v>Individu nommé ou surnommé</x:v>
      </x:c>
      <x:c r="E107" s="61" t="str">
        <x:v>Oui</x:v>
      </x:c>
      <x:c r="F107" s="61" t="str"/>
      <x:c r="G107" s="61" t="str">
        <x:v>https://avp.fandom.com/wiki/The_Devil</x:v>
      </x:c>
    </x:row>
    <x:row r="108">
      <x:c r="A108" s="61" t="str">
        <x:v>Three Sparks (Aokigahara)</x:v>
      </x:c>
      <x:c r="B108" s="61" t="str">
        <x:v>Univers étendu (comic/roman/audio/jeu)</x:v>
      </x:c>
      <x:c r="C108" s="61" t="str">
        <x:v>Voir la source individuelle</x:v>
      </x:c>
      <x:c r="D108" s="61" t="str">
        <x:v>Groupe / collectif</x:v>
      </x:c>
      <x:c r="E108" s="61" t="str">
        <x:v>Non (groupe)</x:v>
      </x:c>
      <x:c r="F108" s="61" t="str"/>
      <x:c r="G108" s="61" t="str">
        <x:v>https://avp.fandom.com/wiki/Three_Sparks_%28Aokigahara%29</x:v>
      </x:c>
    </x:row>
    <x:row r="109">
      <x:c r="A109" s="61" t="str">
        <x:v>Three-mandibled Predator</x:v>
      </x:c>
      <x:c r="B109" s="61" t="str">
        <x:v>Comics</x:v>
      </x:c>
      <x:c r="C109" s="61" t="str">
        <x:v>Voir la source individuelle</x:v>
      </x:c>
      <x:c r="D109" s="61" t="str">
        <x:v>Individu nommé ou surnommé</x:v>
      </x:c>
      <x:c r="E109" s="61" t="str">
        <x:v>Oui</x:v>
      </x:c>
      <x:c r="F109" s="61" t="str"/>
      <x:c r="G109" s="61" t="str">
        <x:v>https://avp.fandom.com/wiki/Three-mandibled_Predator</x:v>
      </x:c>
    </x:row>
    <x:row r="110">
      <x:c r="A110" s="61" t="str">
        <x:v>Three-Spot</x:v>
      </x:c>
      <x:c r="B110" s="61" t="str">
        <x:v>Comics</x:v>
      </x:c>
      <x:c r="C110" s="61" t="str">
        <x:v>Voir la source individuelle</x:v>
      </x:c>
      <x:c r="D110" s="61" t="str">
        <x:v>Individu nommé ou surnommé</x:v>
      </x:c>
      <x:c r="E110" s="61" t="str">
        <x:v>Oui</x:v>
      </x:c>
      <x:c r="F110" s="61" t="str"/>
      <x:c r="G110" s="61" t="str">
        <x:v>https://avp.fandom.com/wiki/Three-Spot</x:v>
      </x:c>
    </x:row>
    <x:row r="111">
      <x:c r="A111" s="61" t="str">
        <x:v>Tichinde</x:v>
      </x:c>
      <x:c r="B111" s="61" t="str">
        <x:v>Comics • Roman / prose</x:v>
      </x:c>
      <x:c r="C111" s="61" t="str">
        <x:v>Aliens vs. Predator: Prey</x:v>
      </x:c>
      <x:c r="D111" s="61" t="str">
        <x:v>Individu nommé ou surnommé</x:v>
      </x:c>
      <x:c r="E111" s="61" t="str">
        <x:v>Oui</x:v>
      </x:c>
      <x:c r="F111" s="61" t="str"/>
      <x:c r="G111" s="61" t="str">
        <x:v>https://avp.fandom.com/wiki/Tichinde</x:v>
      </x:c>
    </x:row>
    <x:row r="112">
      <x:c r="A112" s="61" t="str">
        <x:v>Tli'uukop</x:v>
      </x:c>
      <x:c r="B112" s="61" t="str">
        <x:v>Univers étendu (comic/roman/audio/jeu)</x:v>
      </x:c>
      <x:c r="C112" s="61" t="str">
        <x:v>Voir la source individuelle</x:v>
      </x:c>
      <x:c r="D112" s="61" t="str">
        <x:v>Individu nommé ou surnommé</x:v>
      </x:c>
      <x:c r="E112" s="61" t="str">
        <x:v>Oui</x:v>
      </x:c>
      <x:c r="F112" s="61" t="str"/>
      <x:c r="G112" s="61" t="str">
        <x:v>https://avp.fandom.com/wiki/Tli'uukop</x:v>
      </x:c>
    </x:row>
    <x:row r="113">
      <x:c r="A113" s="61" t="str">
        <x:v>Top-Knot</x:v>
      </x:c>
      <x:c r="B113" s="61" t="str">
        <x:v>Comics • Roman / prose</x:v>
      </x:c>
      <x:c r="C113" s="61" t="str">
        <x:v>Aliens vs. Predator: War / Hunter's Planet</x:v>
      </x:c>
      <x:c r="D113" s="61" t="str">
        <x:v>Individu nommé ou surnommé</x:v>
      </x:c>
      <x:c r="E113" s="61" t="str">
        <x:v>Oui</x:v>
      </x:c>
      <x:c r="F113" s="61" t="str"/>
      <x:c r="G113" s="61" t="str">
        <x:v>https://avp.fandom.com/wiki/Top-Knot</x:v>
      </x:c>
    </x:row>
    <x:row r="114">
      <x:c r="A114" s="61" t="str">
        <x:v>Top-Knot's Clan</x:v>
      </x:c>
      <x:c r="B114" s="61" t="str">
        <x:v>Comics • Roman / prose</x:v>
      </x:c>
      <x:c r="C114" s="61" t="str">
        <x:v>Aliens vs. Predator: War / Hunter's Planet</x:v>
      </x:c>
      <x:c r="D114" s="61" t="str">
        <x:v>Groupe / clan</x:v>
      </x:c>
      <x:c r="E114" s="61" t="str">
        <x:v>Non (groupe)</x:v>
      </x:c>
      <x:c r="F114" s="61" t="str"/>
      <x:c r="G114" s="61" t="str">
        <x:v>https://avp.fandom.com/wiki/Top-Knot's_Clan</x:v>
      </x:c>
    </x:row>
    <x:row r="115">
      <x:c r="A115" s="61" t="str">
        <x:v>Tress</x:v>
      </x:c>
      <x:c r="B115" s="61" t="str">
        <x:v>Univers étendu (comic/roman/audio/jeu)</x:v>
      </x:c>
      <x:c r="C115" s="61" t="str">
        <x:v>Voir la source individuelle</x:v>
      </x:c>
      <x:c r="D115" s="61" t="str">
        <x:v>Individu nommé ou surnommé</x:v>
      </x:c>
      <x:c r="E115" s="61" t="str">
        <x:v>Oui</x:v>
      </x:c>
      <x:c r="F115" s="61" t="str"/>
      <x:c r="G115" s="61" t="str">
        <x:v>https://avp.fandom.com/wiki/Tress</x:v>
      </x:c>
    </x:row>
    <x:row r="116">
      <x:c r="A116" s="61" t="str">
        <x:v>Tunnels Predator</x:v>
      </x:c>
      <x:c r="B116" s="61" t="str">
        <x:v>Univers étendu (comic/roman/audio/jeu)</x:v>
      </x:c>
      <x:c r="C116" s="61" t="str">
        <x:v>Voir la source individuelle</x:v>
      </x:c>
      <x:c r="D116" s="61" t="str">
        <x:v>Individu nommé ou surnommé</x:v>
      </x:c>
      <x:c r="E116" s="61" t="str">
        <x:v>Oui</x:v>
      </x:c>
      <x:c r="F116" s="61" t="str"/>
      <x:c r="G116" s="61" t="str">
        <x:v>https://avp.fandom.com/wiki/Tunnels_Predator</x:v>
      </x:c>
    </x:row>
    <x:row r="117">
      <x:c r="A117" s="61" t="str">
        <x:v>Two-Stripes</x:v>
      </x:c>
      <x:c r="B117" s="61" t="str">
        <x:v>Comics</x:v>
      </x:c>
      <x:c r="C117" s="61" t="str">
        <x:v>Voir la source individuelle</x:v>
      </x:c>
      <x:c r="D117" s="61" t="str">
        <x:v>Individu nommé ou surnommé</x:v>
      </x:c>
      <x:c r="E117" s="61" t="str">
        <x:v>Oui</x:v>
      </x:c>
      <x:c r="F117" s="61" t="str"/>
      <x:c r="G117" s="61" t="str">
        <x:v>https://avp.fandom.com/wiki/Two-Stripes</x:v>
      </x:c>
    </x:row>
    <x:row r="118">
      <x:c r="A118" s="61" t="str">
        <x:v>Vagouti</x:v>
      </x:c>
      <x:c r="B118" s="61" t="str">
        <x:v>Univers étendu (comic/roman/audio/jeu)</x:v>
      </x:c>
      <x:c r="C118" s="61" t="str">
        <x:v>Voir la source individuelle</x:v>
      </x:c>
      <x:c r="D118" s="61" t="str">
        <x:v>Individu nommé ou surnommé</x:v>
      </x:c>
      <x:c r="E118" s="61" t="str">
        <x:v>Oui</x:v>
      </x:c>
      <x:c r="F118" s="61" t="str"/>
      <x:c r="G118" s="61" t="str">
        <x:v>https://avp.fandom.com/wiki/Vagouti</x:v>
      </x:c>
    </x:row>
    <x:row r="119">
      <x:c r="A119" s="61" t="str">
        <x:v>Vk'leita</x:v>
      </x:c>
      <x:c r="B119" s="61" t="str">
        <x:v>Univers étendu (comic/roman/audio/jeu)</x:v>
      </x:c>
      <x:c r="C119" s="61" t="str">
        <x:v>Voir la source individuelle</x:v>
      </x:c>
      <x:c r="D119" s="61" t="str">
        <x:v>Individu nommé ou surnommé</x:v>
      </x:c>
      <x:c r="E119" s="61" t="str">
        <x:v>Oui</x:v>
      </x:c>
      <x:c r="F119" s="61" t="str"/>
      <x:c r="G119" s="61" t="str">
        <x:v>https://avp.fandom.com/wiki/Vk'leita</x:v>
      </x:c>
    </x:row>
    <x:row r="120">
      <x:c r="A120" s="61" t="str">
        <x:v>Warkha</x:v>
      </x:c>
      <x:c r="B120" s="61" t="str">
        <x:v>Univers étendu (comic/roman/audio/jeu)</x:v>
      </x:c>
      <x:c r="C120" s="61" t="str">
        <x:v>Voir la source individuelle</x:v>
      </x:c>
      <x:c r="D120" s="61" t="str">
        <x:v>Individu nommé ou surnommé</x:v>
      </x:c>
      <x:c r="E120" s="61" t="str">
        <x:v>Oui</x:v>
      </x:c>
      <x:c r="F120" s="61" t="str"/>
      <x:c r="G120" s="61" t="str">
        <x:v>https://avp.fandom.com/wiki/Warkha</x:v>
      </x:c>
    </x:row>
    <x:row r="121">
      <x:c r="A121" s="61" t="str">
        <x:v>Wendigo</x:v>
      </x:c>
      <x:c r="B121" s="61" t="str">
        <x:v>Univers étendu (comic/roman/audio/jeu)</x:v>
      </x:c>
      <x:c r="C121" s="61" t="str">
        <x:v>Voir la source individuelle</x:v>
      </x:c>
      <x:c r="D121" s="61" t="str">
        <x:v>Individu nommé ou surnommé</x:v>
      </x:c>
      <x:c r="E121" s="61" t="str">
        <x:v>Oui</x:v>
      </x:c>
      <x:c r="F121" s="61" t="str"/>
      <x:c r="G121" s="61" t="str">
        <x:v>https://avp.fandom.com/wiki/Wendigo</x:v>
      </x:c>
    </x:row>
    <x:row r="122">
      <x:c r="A122" s="61" t="str">
        <x:v>Yaquita</x:v>
      </x:c>
      <x:c r="B122" s="61" t="str">
        <x:v>Univers étendu (comic/roman/audio/jeu)</x:v>
      </x:c>
      <x:c r="C122" s="61" t="str">
        <x:v>Voir la source individuelle</x:v>
      </x:c>
      <x:c r="D122" s="61" t="str">
        <x:v>Individu nommé ou surnommé</x:v>
      </x:c>
      <x:c r="E122" s="61" t="str">
        <x:v>Oui</x:v>
      </x:c>
      <x:c r="F122" s="61" t="str"/>
      <x:c r="G122" s="61" t="str">
        <x:v>https://avp.fandom.com/wiki/Yaquita</x:v>
      </x:c>
    </x:row>
    <x:row r="123">
      <x:c r="A123" s="61" t="str">
        <x:v>Yen'sha</x:v>
      </x:c>
      <x:c r="B123" s="61" t="str">
        <x:v>Univers étendu (comic/roman/audio/jeu)</x:v>
      </x:c>
      <x:c r="C123" s="61" t="str">
        <x:v>Voir la source individuelle</x:v>
      </x:c>
      <x:c r="D123" s="61" t="str">
        <x:v>Individu nommé ou surnommé</x:v>
      </x:c>
      <x:c r="E123" s="61" t="str">
        <x:v>Oui</x:v>
      </x:c>
      <x:c r="F123" s="61" t="str"/>
      <x:c r="G123" s="61" t="str">
        <x:v>https://avp.fandom.com/wiki/Yen'sha</x:v>
      </x:c>
    </x:row>
    <x:row r="124">
      <x:c r="A124" s="61" t="str">
        <x:v>Yeyinde</x:v>
      </x:c>
      <x:c r="B124" s="61" t="str">
        <x:v>Comics • Roman / prose</x:v>
      </x:c>
      <x:c r="C124" s="61" t="str">
        <x:v>Voir la source individuelle</x:v>
      </x:c>
      <x:c r="D124" s="61" t="str">
        <x:v>Individu nommé ou surnommé</x:v>
      </x:c>
      <x:c r="E124" s="61" t="str">
        <x:v>Oui</x:v>
      </x:c>
      <x:c r="F124" s="61" t="str"/>
      <x:c r="G124" s="61" t="str">
        <x:v>https://avp.fandom.com/wiki/Yeyinde</x:v>
      </x:c>
    </x:row>
  </x:sheetData>
  <x:pageMargins left="0.7" right="0.7" top="0.75" bottom="0.75" header="0.3" footer="0.3"/>
  <x:tableParts count="1">
    <x:tablePart xmlns:r="http://schemas.openxmlformats.org/officeDocument/2006/relationships" r:id="R4a2b277ec21243d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7" hidden="0" customWidth="1"/>
    <x:col min="3" max="3" width="34" hidden="0" customWidth="1"/>
    <x:col min="4" max="4" width="25" hidden="0" customWidth="1"/>
    <x:col min="5" max="5" width="20" hidden="0" customWidth="1"/>
    <x:col min="6" max="6" width="34" hidden="0" customWidth="1"/>
    <x:col min="7" max="7" width="52" hidden="0" customWidth="1"/>
  </x:cols>
  <x:sheetData>
    <x:row r="1" ht="32" customHeight="1">
      <x:c r="A1" s="53" t="str">
        <x:v>Période</x:v>
      </x:c>
      <x:c r="B1" s="53" t="str">
        <x:v>Gamme</x:v>
      </x:c>
      <x:c r="C1" s="53" t="str">
        <x:v>Nom sur emballage / sortie</x:v>
      </x:c>
      <x:c r="D1" s="53" t="str">
        <x:v>Nature</x:v>
      </x:c>
      <x:c r="E1" s="53" t="str">
        <x:v>Nouvelle identité ?</x:v>
      </x:c>
      <x:c r="F1" s="53" t="str">
        <x:v>Identité canonique / remarque</x:v>
      </x:c>
      <x:c r="G1" s="53" t="str">
        <x:v>Source URL</x:v>
      </x:c>
    </x:row>
    <x:row r="2">
      <x:c r="A2" s="61" t="str">
        <x:v>1993</x:v>
      </x:c>
      <x:c r="B2" s="61" t="str">
        <x:v>Series 1</x:v>
      </x:c>
      <x:c r="C2" s="61" t="str">
        <x:v>Cracked Tusk Predator</x:v>
      </x:c>
      <x:c r="D2" s="61" t="str">
        <x:v>Identité propre</x:v>
      </x:c>
      <x:c r="E2" s="61" t="str">
        <x:v>Oui</x:v>
      </x:c>
      <x:c r="F2" s="61" t="str">
        <x:v>Cracked Tusk Predator</x:v>
      </x:c>
      <x:c r="G2" s="61" t="str">
        <x:v>https://avp.fandom.com/wiki/Cracked_Tusk_Predator</x:v>
      </x:c>
    </x:row>
    <x:row r="3">
      <x:c r="A3" s="61" t="str">
        <x:v>1993</x:v>
      </x:c>
      <x:c r="B3" s="61" t="str">
        <x:v>Series 1</x:v>
      </x:c>
      <x:c r="C3" s="61" t="str">
        <x:v>Lava Planet Predator</x:v>
      </x:c>
      <x:c r="D3" s="61" t="str">
        <x:v>Identité propre</x:v>
      </x:c>
      <x:c r="E3" s="61" t="str">
        <x:v>Oui</x:v>
      </x:c>
      <x:c r="F3" s="61" t="str">
        <x:v>Lava Planet Predator</x:v>
      </x:c>
      <x:c r="G3" s="61" t="str">
        <x:v>https://avp.fandom.com/wiki/Lava_Planet_Predator</x:v>
      </x:c>
    </x:row>
    <x:row r="4">
      <x:c r="A4" s="61" t="str">
        <x:v>1993</x:v>
      </x:c>
      <x:c r="B4" s="61" t="str">
        <x:v>Series 1</x:v>
      </x:c>
      <x:c r="C4" s="61" t="str">
        <x:v>Nightstorm Predator</x:v>
      </x:c>
      <x:c r="D4" s="61" t="str">
        <x:v>Identité propre</x:v>
      </x:c>
      <x:c r="E4" s="61" t="str">
        <x:v>Oui</x:v>
      </x:c>
      <x:c r="F4" s="61" t="str">
        <x:v>Nightstorm Predator</x:v>
      </x:c>
      <x:c r="G4" s="61" t="str">
        <x:v>https://avp.fandom.com/wiki/Nightstorm_Predator</x:v>
      </x:c>
    </x:row>
    <x:row r="5">
      <x:c r="A5" s="61" t="str">
        <x:v>1993</x:v>
      </x:c>
      <x:c r="B5" s="61" t="str">
        <x:v>Series 1</x:v>
      </x:c>
      <x:c r="C5" s="61" t="str">
        <x:v>Scavage Predator – vert clair</x:v>
      </x:c>
      <x:c r="D5" s="61" t="str">
        <x:v>Variante couleur</x:v>
      </x:c>
      <x:c r="E5" s="61" t="str">
        <x:v>Non</x:v>
      </x:c>
      <x:c r="F5" s="61" t="str">
        <x:v>Scavage Predator</x:v>
      </x:c>
      <x:c r="G5" s="61" t="str">
        <x:v>https://avp.fandom.com/wiki/Scavage_Predator</x:v>
      </x:c>
    </x:row>
    <x:row r="6">
      <x:c r="A6" s="61" t="str">
        <x:v>1993</x:v>
      </x:c>
      <x:c r="B6" s="61" t="str">
        <x:v>Series 1</x:v>
      </x:c>
      <x:c r="C6" s="61" t="str">
        <x:v>Scavage Predator – vert foncé</x:v>
      </x:c>
      <x:c r="D6" s="61" t="str">
        <x:v>Variante couleur</x:v>
      </x:c>
      <x:c r="E6" s="61" t="str">
        <x:v>Non</x:v>
      </x:c>
      <x:c r="F6" s="61" t="str">
        <x:v>Scavage Predator</x:v>
      </x:c>
      <x:c r="G6" s="61" t="str">
        <x:v>https://avp.fandom.com/wiki/Scavage_Predator</x:v>
      </x:c>
    </x:row>
    <x:row r="7">
      <x:c r="A7" s="61" t="str">
        <x:v>1993</x:v>
      </x:c>
      <x:c r="B7" s="61" t="str">
        <x:v>Series 1</x:v>
      </x:c>
      <x:c r="C7" s="61" t="str">
        <x:v>Clan Leader Predator</x:v>
      </x:c>
      <x:c r="D7" s="61" t="str">
        <x:v>Identité propre</x:v>
      </x:c>
      <x:c r="E7" s="61" t="str">
        <x:v>Oui</x:v>
      </x:c>
      <x:c r="F7" s="61" t="str">
        <x:v>Clan Leader (Predator)</x:v>
      </x:c>
      <x:c r="G7" s="61" t="str">
        <x:v>https://avp.fandom.com/wiki/Clan_Leader_%28Predator%29</x:v>
      </x:c>
    </x:row>
    <x:row r="8">
      <x:c r="A8" s="61" t="str">
        <x:v>1993</x:v>
      </x:c>
      <x:c r="B8" s="61" t="str">
        <x:v>Series 1</x:v>
      </x:c>
      <x:c r="C8" s="61" t="str">
        <x:v>Spiked Tail Predator</x:v>
      </x:c>
      <x:c r="D8" s="61" t="str">
        <x:v>Identité propre</x:v>
      </x:c>
      <x:c r="E8" s="61" t="str">
        <x:v>Oui</x:v>
      </x:c>
      <x:c r="F8" s="61" t="str">
        <x:v>Spiked Tail Predator</x:v>
      </x:c>
      <x:c r="G8" s="61" t="str">
        <x:v>https://avp.fandom.com/wiki/Spiked_Tail_Predator</x:v>
      </x:c>
    </x:row>
    <x:row r="9">
      <x:c r="A9" s="61" t="str">
        <x:v>1993</x:v>
      </x:c>
      <x:c r="B9" s="61" t="str">
        <x:v>Series 1</x:v>
      </x:c>
      <x:c r="C9" s="61" t="str">
        <x:v>Stalker Predator</x:v>
      </x:c>
      <x:c r="D9" s="61" t="str">
        <x:v>Identité propre</x:v>
      </x:c>
      <x:c r="E9" s="61" t="str">
        <x:v>Oui</x:v>
      </x:c>
      <x:c r="F9" s="61" t="str">
        <x:v>Stalker (Night Hunter Clan)</x:v>
      </x:c>
      <x:c r="G9" s="61" t="str">
        <x:v>https://avp.fandom.com/wiki/Stalker_%28Night_Hunter_Clan%29</x:v>
      </x:c>
    </x:row>
    <x:row r="10">
      <x:c r="A10" s="61" t="str">
        <x:v>1994</x:v>
      </x:c>
      <x:c r="B10" s="61" t="str">
        <x:v>Series 2</x:v>
      </x:c>
      <x:c r="C10" s="61" t="str">
        <x:v>Lasershot Predator</x:v>
      </x:c>
      <x:c r="D10" s="61" t="str">
        <x:v>Identité propre</x:v>
      </x:c>
      <x:c r="E10" s="61" t="str">
        <x:v>Oui</x:v>
      </x:c>
      <x:c r="F10" s="61" t="str">
        <x:v>Lasershot Predator</x:v>
      </x:c>
      <x:c r="G10" s="61" t="str">
        <x:v>https://avp.fandom.com/wiki/Lasershot_Predator</x:v>
      </x:c>
    </x:row>
    <x:row r="11">
      <x:c r="A11" s="61" t="str">
        <x:v>1994–1995</x:v>
      </x:c>
      <x:c r="B11" s="61" t="str">
        <x:v>Series 3</x:v>
      </x:c>
      <x:c r="C11" s="61" t="str">
        <x:v>Renegade Predator</x:v>
      </x:c>
      <x:c r="D11" s="61" t="str">
        <x:v>Identité propre</x:v>
      </x:c>
      <x:c r="E11" s="61" t="str">
        <x:v>Oui</x:v>
      </x:c>
      <x:c r="F11" s="61" t="str">
        <x:v>Renegade Predator</x:v>
      </x:c>
      <x:c r="G11" s="61" t="str">
        <x:v>https://avp.fandom.com/wiki/Renegade_Predator</x:v>
      </x:c>
    </x:row>
    <x:row r="12">
      <x:c r="A12" s="61" t="str">
        <x:v>1994–1995</x:v>
      </x:c>
      <x:c r="B12" s="61" t="str">
        <x:v>Series 3</x:v>
      </x:c>
      <x:c r="C12" s="61" t="str">
        <x:v>Scavage Predator</x:v>
      </x:c>
      <x:c r="D12" s="61" t="str">
        <x:v>Réédition</x:v>
      </x:c>
      <x:c r="E12" s="61" t="str">
        <x:v>Non</x:v>
      </x:c>
      <x:c r="F12" s="61" t="str">
        <x:v>Scavage Predator</x:v>
      </x:c>
      <x:c r="G12" s="61" t="str">
        <x:v>https://avp.fandom.com/wiki/Scavage_Predator</x:v>
      </x:c>
    </x:row>
    <x:row r="13">
      <x:c r="A13" s="61" t="str">
        <x:v>1994–1995</x:v>
      </x:c>
      <x:c r="B13" s="61" t="str">
        <x:v>Series 3</x:v>
      </x:c>
      <x:c r="C13" s="61" t="str">
        <x:v>Spiked Tail Predator</x:v>
      </x:c>
      <x:c r="D13" s="61" t="str">
        <x:v>Réédition</x:v>
      </x:c>
      <x:c r="E13" s="61" t="str">
        <x:v>Non</x:v>
      </x:c>
      <x:c r="F13" s="61" t="str">
        <x:v>Spiked Tail Predator</x:v>
      </x:c>
      <x:c r="G13" s="61" t="str">
        <x:v>https://avp.fandom.com/wiki/Spiked_Tail_Predator</x:v>
      </x:c>
    </x:row>
    <x:row r="14">
      <x:c r="A14" s="61" t="str">
        <x:v>1994–1995</x:v>
      </x:c>
      <x:c r="B14" s="61" t="str">
        <x:v>Series 3</x:v>
      </x:c>
      <x:c r="C14" s="61" t="str">
        <x:v>Stalker Predator</x:v>
      </x:c>
      <x:c r="D14" s="61" t="str">
        <x:v>Réédition</x:v>
      </x:c>
      <x:c r="E14" s="61" t="str">
        <x:v>Non</x:v>
      </x:c>
      <x:c r="F14" s="61" t="str">
        <x:v>Stalker (Night Hunter Clan)</x:v>
      </x:c>
      <x:c r="G14" s="61" t="str">
        <x:v>https://avp.fandom.com/wiki/Stalker_%28Night_Hunter_Clan%29</x:v>
      </x:c>
    </x:row>
    <x:row r="15">
      <x:c r="A15" s="61" t="str">
        <x:v>Années 1990</x:v>
      </x:c>
      <x:c r="B15" s="61" t="str">
        <x:v>Mail-away</x:v>
      </x:c>
      <x:c r="C15" s="61" t="str">
        <x:v>Ambush Predator</x:v>
      </x:c>
      <x:c r="D15" s="61" t="str">
        <x:v>Identité propre</x:v>
      </x:c>
      <x:c r="E15" s="61" t="str">
        <x:v>Oui</x:v>
      </x:c>
      <x:c r="F15" s="61" t="str">
        <x:v>Ambush Predator</x:v>
      </x:c>
      <x:c r="G15" s="61" t="str">
        <x:v>https://avp.fandom.com/wiki/Ambush_Predator</x:v>
      </x:c>
    </x:row>
    <x:row r="16">
      <x:c r="A16" s="61" t="str">
        <x:v>Années 1990</x:v>
      </x:c>
      <x:c r="B16" s="61" t="str">
        <x:v>10-inch</x:v>
      </x:c>
      <x:c r="C16" s="61" t="str">
        <x:v>Ultimate Predator</x:v>
      </x:c>
      <x:c r="D16" s="61" t="str">
        <x:v>Identité propre Kenner</x:v>
      </x:c>
      <x:c r="E16" s="61" t="str">
        <x:v>Oui</x:v>
      </x:c>
      <x:c r="F16" s="61" t="str">
        <x:v>Ultimate Predator (Kenner)</x:v>
      </x:c>
      <x:c r="G16" s="61" t="str">
        <x:v>https://avp.fandom.com/wiki/Ultimate_Predator_%28Kenner%29</x:v>
      </x:c>
    </x:row>
    <x:row r="17">
      <x:c r="A17" s="61" t="str">
        <x:v>Années 1990</x:v>
      </x:c>
      <x:c r="B17" s="61" t="str">
        <x:v>2-pack Alien vs Predator</x:v>
      </x:c>
      <x:c r="C17" s="61" t="str">
        <x:v>Renegade Predator</x:v>
      </x:c>
      <x:c r="D17" s="61" t="str">
        <x:v>Réédition avec Warrior Alien</x:v>
      </x:c>
      <x:c r="E17" s="61" t="str">
        <x:v>Non</x:v>
      </x:c>
      <x:c r="F17" s="61" t="str">
        <x:v>Renegade Predator</x:v>
      </x:c>
      <x:c r="G17" s="61" t="str">
        <x:v>https://avp.fandom.com/wiki/Renegade_Predator</x:v>
      </x:c>
    </x:row>
    <x:row r="18">
      <x:c r="A18" s="61" t="str">
        <x:v>1998</x:v>
      </x:c>
      <x:c r="B18" s="61" t="str">
        <x:v>Aliens: Hive Wars</x:v>
      </x:c>
      <x:c r="C18" s="61" t="str">
        <x:v>Warrior Predator</x:v>
      </x:c>
      <x:c r="D18" s="61" t="str">
        <x:v>Identité/design de ligne</x:v>
      </x:c>
      <x:c r="E18" s="61" t="str">
        <x:v>Oui</x:v>
      </x:c>
      <x:c r="F18" s="61" t="str">
        <x:v>Warrior (Yautja)</x:v>
      </x:c>
      <x:c r="G18" s="61" t="str">
        <x:v>https://avp.fandom.com/wiki/Warrior_%28Yautja%29</x:v>
      </x:c>
    </x:row>
    <x:row r="19">
      <x:c r="A19" s="61" t="str">
        <x:v>1998</x:v>
      </x:c>
      <x:c r="B19" s="61" t="str">
        <x:v>Aliens: Hive Wars</x:v>
      </x:c>
      <x:c r="C19" s="61" t="str">
        <x:v>Night Recon Predator</x:v>
      </x:c>
      <x:c r="D19" s="61" t="str">
        <x:v>Identité propre</x:v>
      </x:c>
      <x:c r="E19" s="61" t="str">
        <x:v>Oui</x:v>
      </x:c>
      <x:c r="F19" s="61" t="str">
        <x:v>Night Recon Predator</x:v>
      </x:c>
      <x:c r="G19" s="61" t="str">
        <x:v>https://avp.fandom.com/wiki/Night_Recon_Predator</x:v>
      </x:c>
    </x:row>
  </x:sheetData>
  <x:pageMargins left="0.7" right="0.7" top="0.75" bottom="0.75" header="0.3" footer="0.3"/>
  <x:tableParts count="1">
    <x:tablePart xmlns:r="http://schemas.openxmlformats.org/officeDocument/2006/relationships" r:id="R471a2d02a05e462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36" hidden="0" customWidth="1"/>
    <x:col min="4" max="4" width="30" hidden="0" customWidth="1"/>
    <x:col min="5" max="5" width="12" hidden="0" customWidth="1"/>
    <x:col min="6" max="6" width="52" hidden="0" customWidth="1"/>
  </x:cols>
  <x:sheetData>
    <x:row r="1" ht="32" customHeight="1">
      <x:c r="A1" s="53" t="str">
        <x:v>Gamme / série</x:v>
      </x:c>
      <x:c r="B1" s="53" t="str">
        <x:v>Nom de la figurine</x:v>
      </x:c>
      <x:c r="C1" s="53" t="str">
        <x:v>Identité correspondante</x:v>
      </x:c>
      <x:c r="D1" s="53" t="str">
        <x:v>Nature</x:v>
      </x:c>
      <x:c r="E1" s="53" t="str">
        <x:v>Yautja ?</x:v>
      </x:c>
      <x:c r="F1" s="53" t="str">
        <x:v>Source URL</x:v>
      </x:c>
    </x:row>
    <x:row r="2">
      <x:c r="A2" s="61" t="str">
        <x:v>Series 1</x:v>
      </x:c>
      <x:c r="B2" s="61" t="str">
        <x:v>Classic Predator</x:v>
      </x:c>
      <x:c r="C2" s="61" t="str">
        <x:v>Jungle Hunter / Classic 2010 selon édition</x:v>
      </x:c>
      <x:c r="D2" s="61" t="str">
        <x:v>Alias/variante</x:v>
      </x:c>
      <x:c r="E2" s="61" t="str">
        <x:v>Oui</x:v>
      </x:c>
      <x:c r="F2" s="61" t="str">
        <x:v>https://necaonline.com/?s=predator</x:v>
      </x:c>
    </x:row>
    <x:row r="3">
      <x:c r="A3" s="61" t="str">
        <x:v>Series 1</x:v>
      </x:c>
      <x:c r="B3" s="61" t="str">
        <x:v>Berserker Predator</x:v>
      </x:c>
      <x:c r="C3" s="61" t="str">
        <x:v>Berserker (Game Preserve Planet)</x:v>
      </x:c>
      <x:c r="D3" s="61" t="str">
        <x:v>Existant</x:v>
      </x:c>
      <x:c r="E3" s="61" t="str">
        <x:v>Oui</x:v>
      </x:c>
      <x:c r="F3" s="61" t="str">
        <x:v>https://avp.fandom.com/wiki/Berserker_%28Game_Preserve_Planet%29</x:v>
      </x:c>
    </x:row>
    <x:row r="4">
      <x:c r="A4" s="61" t="str">
        <x:v>Series 1</x:v>
      </x:c>
      <x:c r="B4" s="61" t="str">
        <x:v>Falconer Predator</x:v>
      </x:c>
      <x:c r="C4" s="61" t="str">
        <x:v>Falconer (Game Preserve Planet)</x:v>
      </x:c>
      <x:c r="D4" s="61" t="str">
        <x:v>Existant</x:v>
      </x:c>
      <x:c r="E4" s="61" t="str">
        <x:v>Oui</x:v>
      </x:c>
      <x:c r="F4" s="61" t="str">
        <x:v>https://avp.fandom.com/wiki/Falconer_%28Game_Preserve_Planet%29</x:v>
      </x:c>
    </x:row>
    <x:row r="5">
      <x:c r="A5" s="61" t="str">
        <x:v>Series 2</x:v>
      </x:c>
      <x:c r="B5" s="61" t="str">
        <x:v>Battle-Damaged Classic Predator</x:v>
      </x:c>
      <x:c r="C5" s="61" t="str">
        <x:v>Crucified Predator</x:v>
      </x:c>
      <x:c r="D5" s="61" t="str">
        <x:v>Variante</x:v>
      </x:c>
      <x:c r="E5" s="61" t="str">
        <x:v>Oui</x:v>
      </x:c>
      <x:c r="F5" s="61" t="str">
        <x:v>https://avp.fandom.com/wiki/Crucified_Predator</x:v>
      </x:c>
    </x:row>
    <x:row r="6">
      <x:c r="A6" s="61" t="str">
        <x:v>Series 2</x:v>
      </x:c>
      <x:c r="B6" s="61" t="str">
        <x:v>Unmasked Berserker Predator</x:v>
      </x:c>
      <x:c r="C6" s="61" t="str">
        <x:v>Berserker (Game Preserve Planet)</x:v>
      </x:c>
      <x:c r="D6" s="61" t="str">
        <x:v>Variante</x:v>
      </x:c>
      <x:c r="E6" s="61" t="str">
        <x:v>Oui</x:v>
      </x:c>
      <x:c r="F6" s="61" t="str">
        <x:v>https://avp.fandom.com/wiki/Berserker_%28Game_Preserve_Planet%29</x:v>
      </x:c>
    </x:row>
    <x:row r="7">
      <x:c r="A7" s="61" t="str">
        <x:v>Series 2</x:v>
      </x:c>
      <x:c r="B7" s="61" t="str">
        <x:v>Tracker Predator</x:v>
      </x:c>
      <x:c r="C7" s="61" t="str">
        <x:v>Tracker</x:v>
      </x:c>
      <x:c r="D7" s="61" t="str">
        <x:v>Existant</x:v>
      </x:c>
      <x:c r="E7" s="61" t="str">
        <x:v>Oui</x:v>
      </x:c>
      <x:c r="F7" s="61" t="str">
        <x:v>https://avp.fandom.com/wiki/Tracker</x:v>
      </x:c>
    </x:row>
    <x:row r="8">
      <x:c r="A8" s="61" t="str">
        <x:v>Series 3</x:v>
      </x:c>
      <x:c r="B8" s="61" t="str">
        <x:v>Classic Predator (1987)</x:v>
      </x:c>
      <x:c r="C8" s="61" t="str">
        <x:v>Jungle Hunter</x:v>
      </x:c>
      <x:c r="D8" s="61" t="str">
        <x:v>Alias</x:v>
      </x:c>
      <x:c r="E8" s="61" t="str">
        <x:v>Oui</x:v>
      </x:c>
      <x:c r="F8" s="61" t="str">
        <x:v>https://avp.fandom.com/wiki/Jungle_Hunter</x:v>
      </x:c>
    </x:row>
    <x:row r="9">
      <x:c r="A9" s="61" t="str">
        <x:v>Series 3</x:v>
      </x:c>
      <x:c r="B9" s="61" t="str">
        <x:v>Elder Predator</x:v>
      </x:c>
      <x:c r="C9" s="61" t="str">
        <x:v>Greyback</x:v>
      </x:c>
      <x:c r="D9" s="61" t="str">
        <x:v>Alias</x:v>
      </x:c>
      <x:c r="E9" s="61" t="str">
        <x:v>Oui</x:v>
      </x:c>
      <x:c r="F9" s="61" t="str">
        <x:v>https://avp.fandom.com/wiki/Greyback</x:v>
      </x:c>
    </x:row>
    <x:row r="10">
      <x:c r="A10" s="61" t="str">
        <x:v>Series 3</x:v>
      </x:c>
      <x:c r="B10" s="61" t="str">
        <x:v>Predator Hound</x:v>
      </x:c>
      <x:c r="C10" s="61" t="str">
        <x:v>Non-Yautja</x:v>
      </x:c>
      <x:c r="D10" s="61" t="str">
        <x:v>Exclu</x:v>
      </x:c>
      <x:c r="E10" s="61" t="str">
        <x:v>Non</x:v>
      </x:c>
      <x:c r="F10" s="61" t="str">
        <x:v>https://necaonline.com/?s=predator</x:v>
      </x:c>
    </x:row>
    <x:row r="11">
      <x:c r="A11" s="61" t="str">
        <x:v>Series 4</x:v>
      </x:c>
      <x:c r="B11" s="61" t="str">
        <x:v>City Hunter</x:v>
      </x:c>
      <x:c r="C11" s="61" t="str">
        <x:v>City Hunter</x:v>
      </x:c>
      <x:c r="D11" s="61" t="str">
        <x:v>Existant</x:v>
      </x:c>
      <x:c r="E11" s="61" t="str">
        <x:v>Oui</x:v>
      </x:c>
      <x:c r="F11" s="61" t="str">
        <x:v>https://avp.fandom.com/wiki/City_Hunter</x:v>
      </x:c>
    </x:row>
    <x:row r="12">
      <x:c r="A12" s="61" t="str">
        <x:v>Series 4</x:v>
      </x:c>
      <x:c r="B12" s="61" t="str">
        <x:v>Boar Predator</x:v>
      </x:c>
      <x:c r="C12" s="61" t="str">
        <x:v>Boar</x:v>
      </x:c>
      <x:c r="D12" s="61" t="str">
        <x:v>Existant</x:v>
      </x:c>
      <x:c r="E12" s="61" t="str">
        <x:v>Oui</x:v>
      </x:c>
      <x:c r="F12" s="61" t="str">
        <x:v>https://avp.fandom.com/wiki/Boar</x:v>
      </x:c>
    </x:row>
    <x:row r="13">
      <x:c r="A13" s="61" t="str">
        <x:v>Series 4</x:v>
      </x:c>
      <x:c r="B13" s="61" t="str">
        <x:v>Shaman Predator</x:v>
      </x:c>
      <x:c r="C13" s="61" t="str">
        <x:v>Shaman</x:v>
      </x:c>
      <x:c r="D13" s="61" t="str">
        <x:v>Existant</x:v>
      </x:c>
      <x:c r="E13" s="61" t="str">
        <x:v>Oui</x:v>
      </x:c>
      <x:c r="F13" s="61" t="str">
        <x:v>https://avp.fandom.com/wiki/Shaman</x:v>
      </x:c>
    </x:row>
    <x:row r="14">
      <x:c r="A14" s="61" t="str">
        <x:v>Series 5</x:v>
      </x:c>
      <x:c r="B14" s="61" t="str">
        <x:v>Guardian Predator</x:v>
      </x:c>
      <x:c r="C14" s="61" t="str">
        <x:v>Guardian</x:v>
      </x:c>
      <x:c r="D14" s="61" t="str">
        <x:v>Existant</x:v>
      </x:c>
      <x:c r="E14" s="61" t="str">
        <x:v>Oui</x:v>
      </x:c>
      <x:c r="F14" s="61" t="str">
        <x:v>https://avp.fandom.com/wiki/Guardian</x:v>
      </x:c>
    </x:row>
    <x:row r="15">
      <x:c r="A15" s="61" t="str">
        <x:v>Series 5</x:v>
      </x:c>
      <x:c r="B15" s="61" t="str">
        <x:v>Stalker Predator</x:v>
      </x:c>
      <x:c r="C15" s="61" t="str">
        <x:v>Stalker (Lost Tribe)</x:v>
      </x:c>
      <x:c r="D15" s="61" t="str">
        <x:v>Existant</x:v>
      </x:c>
      <x:c r="E15" s="61" t="str">
        <x:v>Oui</x:v>
      </x:c>
      <x:c r="F15" s="61" t="str">
        <x:v>https://avp.fandom.com/wiki/Stalker_%28Lost_Tribe%29</x:v>
      </x:c>
    </x:row>
    <x:row r="16">
      <x:c r="A16" s="61" t="str">
        <x:v>Series 5</x:v>
      </x:c>
      <x:c r="B16" s="61" t="str">
        <x:v>Snake Predator</x:v>
      </x:c>
      <x:c r="C16" s="61" t="str">
        <x:v>Snake</x:v>
      </x:c>
      <x:c r="D16" s="61" t="str">
        <x:v>Existant</x:v>
      </x:c>
      <x:c r="E16" s="61" t="str">
        <x:v>Oui</x:v>
      </x:c>
      <x:c r="F16" s="61" t="str">
        <x:v>https://avp.fandom.com/wiki/Snake</x:v>
      </x:c>
    </x:row>
    <x:row r="17">
      <x:c r="A17" s="61" t="str">
        <x:v>Series 6</x:v>
      </x:c>
      <x:c r="B17" s="61" t="str">
        <x:v>Lost Predator</x:v>
      </x:c>
      <x:c r="C17" s="61" t="str">
        <x:v>Borg</x:v>
      </x:c>
      <x:c r="D17" s="61" t="str">
        <x:v>Alias</x:v>
      </x:c>
      <x:c r="E17" s="61" t="str">
        <x:v>Oui</x:v>
      </x:c>
      <x:c r="F17" s="61" t="str">
        <x:v>https://avp.fandom.com/wiki/Borg</x:v>
      </x:c>
    </x:row>
    <x:row r="18">
      <x:c r="A18" s="61" t="str">
        <x:v>Series 6</x:v>
      </x:c>
      <x:c r="B18" s="61" t="str">
        <x:v>Warrior Predator</x:v>
      </x:c>
      <x:c r="C18" s="61" t="str">
        <x:v>Warrior (Yautja)</x:v>
      </x:c>
      <x:c r="D18" s="61" t="str">
        <x:v>Existant</x:v>
      </x:c>
      <x:c r="E18" s="61" t="str">
        <x:v>Oui</x:v>
      </x:c>
      <x:c r="F18" s="61" t="str">
        <x:v>https://avp.fandom.com/wiki/Warrior_%28Yautja%29</x:v>
      </x:c>
    </x:row>
    <x:row r="19">
      <x:c r="A19" s="61" t="str">
        <x:v>Series 6</x:v>
      </x:c>
      <x:c r="B19" s="61" t="str">
        <x:v>Scout Predator</x:v>
      </x:c>
      <x:c r="C19" s="61" t="str">
        <x:v>Scout</x:v>
      </x:c>
      <x:c r="D19" s="61" t="str">
        <x:v>Existant</x:v>
      </x:c>
      <x:c r="E19" s="61" t="str">
        <x:v>Oui</x:v>
      </x:c>
      <x:c r="F19" s="61" t="str">
        <x:v>https://avp.fandom.com/wiki/Scout</x:v>
      </x:c>
    </x:row>
    <x:row r="20">
      <x:c r="A20" s="61" t="str">
        <x:v>Series 7</x:v>
      </x:c>
      <x:c r="B20" s="61" t="str">
        <x:v>Big Red Predator</x:v>
      </x:c>
      <x:c r="C20" s="61" t="str">
        <x:v>Big Red</x:v>
      </x:c>
      <x:c r="D20" s="61" t="str">
        <x:v>Fan-made puis licencié</x:v>
      </x:c>
      <x:c r="E20" s="61" t="str">
        <x:v>Oui</x:v>
      </x:c>
      <x:c r="F20" s="61" t="str">
        <x:v>https://avp.fandom.com/wiki/Big_Red</x:v>
      </x:c>
    </x:row>
    <x:row r="21">
      <x:c r="A21" s="61" t="str">
        <x:v>Series 7</x:v>
      </x:c>
      <x:c r="B21" s="61" t="str">
        <x:v>Masked City Hunter</x:v>
      </x:c>
      <x:c r="C21" s="61" t="str">
        <x:v>City Hunter</x:v>
      </x:c>
      <x:c r="D21" s="61" t="str">
        <x:v>Variante</x:v>
      </x:c>
      <x:c r="E21" s="61" t="str">
        <x:v>Oui</x:v>
      </x:c>
      <x:c r="F21" s="61" t="str">
        <x:v>https://avp.fandom.com/wiki/City_Hunter</x:v>
      </x:c>
    </x:row>
    <x:row r="22">
      <x:c r="A22" s="61" t="str">
        <x:v>Series 7</x:v>
      </x:c>
      <x:c r="B22" s="61" t="str">
        <x:v>Cloaked Falconer</x:v>
      </x:c>
      <x:c r="C22" s="61" t="str">
        <x:v>Falconer (Game Preserve Planet)</x:v>
      </x:c>
      <x:c r="D22" s="61" t="str">
        <x:v>Variante</x:v>
      </x:c>
      <x:c r="E22" s="61" t="str">
        <x:v>Oui</x:v>
      </x:c>
      <x:c r="F22" s="61" t="str">
        <x:v>https://avp.fandom.com/wiki/Falconer_%28Game_Preserve_Planet%29</x:v>
      </x:c>
    </x:row>
    <x:row r="23">
      <x:c r="A23" s="61" t="str">
        <x:v>Series 8</x:v>
      </x:c>
      <x:c r="B23" s="61" t="str">
        <x:v>Jungle Hunter</x:v>
      </x:c>
      <x:c r="C23" s="61" t="str">
        <x:v>Jungle Hunter</x:v>
      </x:c>
      <x:c r="D23" s="61" t="str">
        <x:v>Existant</x:v>
      </x:c>
      <x:c r="E23" s="61" t="str">
        <x:v>Oui</x:v>
      </x:c>
      <x:c r="F23" s="61" t="str">
        <x:v>https://avp.fandom.com/wiki/Jungle_Hunter</x:v>
      </x:c>
    </x:row>
    <x:row r="24">
      <x:c r="A24" s="61" t="str">
        <x:v>Series 8</x:v>
      </x:c>
      <x:c r="B24" s="61" t="str">
        <x:v>Jungle Patrol Dutch</x:v>
      </x:c>
      <x:c r="C24" s="61" t="str">
        <x:v>Humain</x:v>
      </x:c>
      <x:c r="D24" s="61" t="str">
        <x:v>Exclu</x:v>
      </x:c>
      <x:c r="E24" s="61" t="str">
        <x:v>Non</x:v>
      </x:c>
      <x:c r="F24" s="61" t="str">
        <x:v>https://necaonline.com/?s=predator</x:v>
      </x:c>
    </x:row>
    <x:row r="25">
      <x:c r="A25" s="61" t="str">
        <x:v>Series 8</x:v>
      </x:c>
      <x:c r="B25" s="61" t="str">
        <x:v>Jungle Extraction Dutch</x:v>
      </x:c>
      <x:c r="C25" s="61" t="str">
        <x:v>Humain</x:v>
      </x:c>
      <x:c r="D25" s="61" t="str">
        <x:v>Exclu</x:v>
      </x:c>
      <x:c r="E25" s="61" t="str">
        <x:v>Non</x:v>
      </x:c>
      <x:c r="F25" s="61" t="str">
        <x:v>https://necaonline.com/?s=predator</x:v>
      </x:c>
    </x:row>
    <x:row r="26">
      <x:c r="A26" s="61" t="str">
        <x:v>Series 9</x:v>
      </x:c>
      <x:c r="B26" s="61" t="str">
        <x:v>Water Emergence Jungle Hunter</x:v>
      </x:c>
      <x:c r="C26" s="61" t="str">
        <x:v>Jungle Hunter</x:v>
      </x:c>
      <x:c r="D26" s="61" t="str">
        <x:v>Variante</x:v>
      </x:c>
      <x:c r="E26" s="61" t="str">
        <x:v>Oui</x:v>
      </x:c>
      <x:c r="F26" s="61" t="str">
        <x:v>https://avp.fandom.com/wiki/Jungle_Hunter</x:v>
      </x:c>
    </x:row>
    <x:row r="27">
      <x:c r="A27" s="61" t="str">
        <x:v>Series 9</x:v>
      </x:c>
      <x:c r="B27" s="61" t="str">
        <x:v>Jungle Encounter Dutch</x:v>
      </x:c>
      <x:c r="C27" s="61" t="str">
        <x:v>Humain</x:v>
      </x:c>
      <x:c r="D27" s="61" t="str">
        <x:v>Exclu</x:v>
      </x:c>
      <x:c r="E27" s="61" t="str">
        <x:v>Non</x:v>
      </x:c>
      <x:c r="F27" s="61" t="str">
        <x:v>https://necaonline.com/?s=predator</x:v>
      </x:c>
    </x:row>
    <x:row r="28">
      <x:c r="A28" s="61" t="str">
        <x:v>Series 9</x:v>
      </x:c>
      <x:c r="B28" s="61" t="str">
        <x:v>Water Emergence Dutch</x:v>
      </x:c>
      <x:c r="C28" s="61" t="str">
        <x:v>Humain</x:v>
      </x:c>
      <x:c r="D28" s="61" t="str">
        <x:v>Exclu</x:v>
      </x:c>
      <x:c r="E28" s="61" t="str">
        <x:v>Non</x:v>
      </x:c>
      <x:c r="F28" s="61" t="str">
        <x:v>https://necaonline.com/?s=predator</x:v>
      </x:c>
    </x:row>
    <x:row r="29">
      <x:c r="A29" s="61" t="str">
        <x:v>Series 10</x:v>
      </x:c>
      <x:c r="B29" s="61" t="str">
        <x:v>Nightstorm Predator</x:v>
      </x:c>
      <x:c r="C29" s="61" t="str">
        <x:v>Nightstorm Predator</x:v>
      </x:c>
      <x:c r="D29" s="61" t="str">
        <x:v>Identité</x:v>
      </x:c>
      <x:c r="E29" s="61" t="str">
        <x:v>Oui</x:v>
      </x:c>
      <x:c r="F29" s="61" t="str">
        <x:v>https://avp.fandom.com/wiki/Nightstorm_Predator</x:v>
      </x:c>
    </x:row>
    <x:row r="30">
      <x:c r="A30" s="61" t="str">
        <x:v>Series 10</x:v>
      </x:c>
      <x:c r="B30" s="61" t="str">
        <x:v>Hive Wars Predator</x:v>
      </x:c>
      <x:c r="C30" s="61" t="str">
        <x:v>Hive Wars Predator</x:v>
      </x:c>
      <x:c r="D30" s="61" t="str">
        <x:v>Identité</x:v>
      </x:c>
      <x:c r="E30" s="61" t="str">
        <x:v>Oui</x:v>
      </x:c>
      <x:c r="F30" s="61" t="str">
        <x:v>https://avp.fandom.com/wiki/Hive_Wars_Predator</x:v>
      </x:c>
    </x:row>
    <x:row r="31">
      <x:c r="A31" s="61" t="str">
        <x:v>Series 10</x:v>
      </x:c>
      <x:c r="B31" s="61" t="str">
        <x:v>Lava Planet Predator</x:v>
      </x:c>
      <x:c r="C31" s="61" t="str">
        <x:v>Lava Planet Predator</x:v>
      </x:c>
      <x:c r="D31" s="61" t="str">
        <x:v>Identité</x:v>
      </x:c>
      <x:c r="E31" s="61" t="str">
        <x:v>Oui</x:v>
      </x:c>
      <x:c r="F31" s="61" t="str">
        <x:v>https://avp.fandom.com/wiki/Lava_Planet_Predator</x:v>
      </x:c>
    </x:row>
    <x:row r="32">
      <x:c r="A32" s="61" t="str">
        <x:v>Series 11</x:v>
      </x:c>
      <x:c r="B32" s="61" t="str">
        <x:v>Wasp Predator</x:v>
      </x:c>
      <x:c r="C32" s="61" t="str">
        <x:v>Wasp Predator</x:v>
      </x:c>
      <x:c r="D32" s="61" t="str">
        <x:v>Fan-made puis licencié</x:v>
      </x:c>
      <x:c r="E32" s="61" t="str">
        <x:v>Oui</x:v>
      </x:c>
      <x:c r="F32" s="61" t="str">
        <x:v>https://avp.fandom.com/wiki/Wasp_Predator</x:v>
      </x:c>
    </x:row>
    <x:row r="33">
      <x:c r="A33" s="61" t="str">
        <x:v>Series 11</x:v>
      </x:c>
      <x:c r="B33" s="61" t="str">
        <x:v>Armored Lost Predator</x:v>
      </x:c>
      <x:c r="C33" s="61" t="str">
        <x:v>Borg</x:v>
      </x:c>
      <x:c r="D33" s="61" t="str">
        <x:v>Variante</x:v>
      </x:c>
      <x:c r="E33" s="61" t="str">
        <x:v>Oui</x:v>
      </x:c>
      <x:c r="F33" s="61" t="str">
        <x:v>https://avp.fandom.com/wiki/Borg</x:v>
      </x:c>
    </x:row>
    <x:row r="34">
      <x:c r="A34" s="61" t="str">
        <x:v>Series 11</x:v>
      </x:c>
      <x:c r="B34" s="61" t="str">
        <x:v>Thermal Vision Dutch</x:v>
      </x:c>
      <x:c r="C34" s="61" t="str">
        <x:v>Humain</x:v>
      </x:c>
      <x:c r="D34" s="61" t="str">
        <x:v>Exclu</x:v>
      </x:c>
      <x:c r="E34" s="61" t="str">
        <x:v>Non</x:v>
      </x:c>
      <x:c r="F34" s="61" t="str">
        <x:v>https://necaonline.com/?s=predator</x:v>
      </x:c>
    </x:row>
    <x:row r="35">
      <x:c r="A35" s="61" t="str">
        <x:v>Series 12</x:v>
      </x:c>
      <x:c r="B35" s="61" t="str">
        <x:v>Enforcer Predator</x:v>
      </x:c>
      <x:c r="C35" s="61" t="str">
        <x:v>Enforcer Predator</x:v>
      </x:c>
      <x:c r="D35" s="61" t="str">
        <x:v>Existant</x:v>
      </x:c>
      <x:c r="E35" s="61" t="str">
        <x:v>Oui</x:v>
      </x:c>
      <x:c r="F35" s="61" t="str">
        <x:v>https://avp.fandom.com/wiki/Enforcer_Predator</x:v>
      </x:c>
    </x:row>
    <x:row r="36">
      <x:c r="A36" s="61" t="str">
        <x:v>Series 12</x:v>
      </x:c>
      <x:c r="B36" s="61" t="str">
        <x:v>Elder Predator v2</x:v>
      </x:c>
      <x:c r="C36" s="61" t="str">
        <x:v>Greyback</x:v>
      </x:c>
      <x:c r="D36" s="61" t="str">
        <x:v>Variante</x:v>
      </x:c>
      <x:c r="E36" s="61" t="str">
        <x:v>Oui</x:v>
      </x:c>
      <x:c r="F36" s="61" t="str">
        <x:v>https://avp.fandom.com/wiki/Greyback</x:v>
      </x:c>
    </x:row>
    <x:row r="37">
      <x:c r="A37" s="61" t="str">
        <x:v>Series 12</x:v>
      </x:c>
      <x:c r="B37" s="61" t="str">
        <x:v>Viper Predator</x:v>
      </x:c>
      <x:c r="C37" s="61" t="str">
        <x:v>Viper Predator</x:v>
      </x:c>
      <x:c r="D37" s="61" t="str">
        <x:v>Identité</x:v>
      </x:c>
      <x:c r="E37" s="61" t="str">
        <x:v>Oui</x:v>
      </x:c>
      <x:c r="F37" s="61" t="str">
        <x:v>https://avp.fandom.com/wiki/Viper_Predator</x:v>
      </x:c>
    </x:row>
    <x:row r="38">
      <x:c r="A38" s="61" t="str">
        <x:v>Series 13</x:v>
      </x:c>
      <x:c r="B38" s="61" t="str">
        <x:v>Cracked Tusk Predator</x:v>
      </x:c>
      <x:c r="C38" s="61" t="str">
        <x:v>Cracked Tusk Predator</x:v>
      </x:c>
      <x:c r="D38" s="61" t="str">
        <x:v>Identité</x:v>
      </x:c>
      <x:c r="E38" s="61" t="str">
        <x:v>Oui</x:v>
      </x:c>
      <x:c r="F38" s="61" t="str">
        <x:v>https://avp.fandom.com/wiki/Cracked_Tusk_Predator</x:v>
      </x:c>
    </x:row>
    <x:row r="39">
      <x:c r="A39" s="61" t="str">
        <x:v>Series 13</x:v>
      </x:c>
      <x:c r="B39" s="61" t="str">
        <x:v>Renegade Predator</x:v>
      </x:c>
      <x:c r="C39" s="61" t="str">
        <x:v>Renegade Predator</x:v>
      </x:c>
      <x:c r="D39" s="61" t="str">
        <x:v>Identité</x:v>
      </x:c>
      <x:c r="E39" s="61" t="str">
        <x:v>Oui</x:v>
      </x:c>
      <x:c r="F39" s="61" t="str">
        <x:v>https://avp.fandom.com/wiki/Renegade_Predator</x:v>
      </x:c>
    </x:row>
    <x:row r="40">
      <x:c r="A40" s="61" t="str">
        <x:v>Series 13</x:v>
      </x:c>
      <x:c r="B40" s="61" t="str">
        <x:v>Scavage Predator</x:v>
      </x:c>
      <x:c r="C40" s="61" t="str">
        <x:v>Scavage Predator</x:v>
      </x:c>
      <x:c r="D40" s="61" t="str">
        <x:v>Identité</x:v>
      </x:c>
      <x:c r="E40" s="61" t="str">
        <x:v>Oui</x:v>
      </x:c>
      <x:c r="F40" s="61" t="str">
        <x:v>https://avp.fandom.com/wiki/Scavage_Predator</x:v>
      </x:c>
    </x:row>
    <x:row r="41">
      <x:c r="A41" s="61" t="str">
        <x:v>Series 14</x:v>
      </x:c>
      <x:c r="B41" s="61" t="str">
        <x:v>Celtic Predator</x:v>
      </x:c>
      <x:c r="C41" s="61" t="str">
        <x:v>Celtic</x:v>
      </x:c>
      <x:c r="D41" s="61" t="str">
        <x:v>Existant</x:v>
      </x:c>
      <x:c r="E41" s="61" t="str">
        <x:v>Oui</x:v>
      </x:c>
      <x:c r="F41" s="61" t="str">
        <x:v>https://avp.fandom.com/wiki/Celtic</x:v>
      </x:c>
    </x:row>
    <x:row r="42">
      <x:c r="A42" s="61" t="str">
        <x:v>Series 14</x:v>
      </x:c>
      <x:c r="B42" s="61" t="str">
        <x:v>Scar Predator</x:v>
      </x:c>
      <x:c r="C42" s="61" t="str">
        <x:v>Scar</x:v>
      </x:c>
      <x:c r="D42" s="61" t="str">
        <x:v>Existant</x:v>
      </x:c>
      <x:c r="E42" s="61" t="str">
        <x:v>Oui</x:v>
      </x:c>
      <x:c r="F42" s="61" t="str">
        <x:v>https://avp.fandom.com/wiki/Scar</x:v>
      </x:c>
    </x:row>
    <x:row r="43">
      <x:c r="A43" s="61" t="str">
        <x:v>Series 14</x:v>
      </x:c>
      <x:c r="B43" s="61" t="str">
        <x:v>Chopper Predator</x:v>
      </x:c>
      <x:c r="C43" s="61" t="str">
        <x:v>Chopper</x:v>
      </x:c>
      <x:c r="D43" s="61" t="str">
        <x:v>Existant</x:v>
      </x:c>
      <x:c r="E43" s="61" t="str">
        <x:v>Oui</x:v>
      </x:c>
      <x:c r="F43" s="61" t="str">
        <x:v>https://avp.fandom.com/wiki/Chopper</x:v>
      </x:c>
    </x:row>
    <x:row r="44">
      <x:c r="A44" s="61" t="str">
        <x:v>Series 15</x:v>
      </x:c>
      <x:c r="B44" s="61" t="str">
        <x:v>Masked Scar Predator</x:v>
      </x:c>
      <x:c r="C44" s="61" t="str">
        <x:v>Scar</x:v>
      </x:c>
      <x:c r="D44" s="61" t="str">
        <x:v>Variante</x:v>
      </x:c>
      <x:c r="E44" s="61" t="str">
        <x:v>Oui</x:v>
      </x:c>
      <x:c r="F44" s="61" t="str">
        <x:v>https://avp.fandom.com/wiki/Scar</x:v>
      </x:c>
    </x:row>
    <x:row r="45">
      <x:c r="A45" s="61" t="str">
        <x:v>Series 15</x:v>
      </x:c>
      <x:c r="B45" s="61" t="str">
        <x:v>Warrior Predator</x:v>
      </x:c>
      <x:c r="C45" s="61" t="str">
        <x:v>Warrior (Yautja)</x:v>
      </x:c>
      <x:c r="D45" s="61" t="str">
        <x:v>Existant</x:v>
      </x:c>
      <x:c r="E45" s="61" t="str">
        <x:v>Oui</x:v>
      </x:c>
      <x:c r="F45" s="61" t="str">
        <x:v>https://avp.fandom.com/wiki/Warrior_%28Yautja%29</x:v>
      </x:c>
    </x:row>
    <x:row r="46">
      <x:c r="A46" s="61" t="str">
        <x:v>Series 15</x:v>
      </x:c>
      <x:c r="B46" s="61" t="str">
        <x:v>Temple Guard Predator</x:v>
      </x:c>
      <x:c r="C46" s="61" t="str">
        <x:v>Temple Guard Predator</x:v>
      </x:c>
      <x:c r="D46" s="61" t="str">
        <x:v>Identité/désignation</x:v>
      </x:c>
      <x:c r="E46" s="61" t="str">
        <x:v>Oui</x:v>
      </x:c>
      <x:c r="F46" s="61" t="str">
        <x:v>https://avp.fandom.com/wiki/Temple_Guard_Predator</x:v>
      </x:c>
    </x:row>
    <x:row r="47">
      <x:c r="A47" s="61" t="str">
        <x:v>Series 16</x:v>
      </x:c>
      <x:c r="B47" s="61" t="str">
        <x:v>Spiked Tail Predator</x:v>
      </x:c>
      <x:c r="C47" s="61" t="str">
        <x:v>Spiked Tail Predator</x:v>
      </x:c>
      <x:c r="D47" s="61" t="str">
        <x:v>Identité</x:v>
      </x:c>
      <x:c r="E47" s="61" t="str">
        <x:v>Oui</x:v>
      </x:c>
      <x:c r="F47" s="61" t="str">
        <x:v>https://avp.fandom.com/wiki/Spiked_Tail_Predator</x:v>
      </x:c>
    </x:row>
    <x:row r="48">
      <x:c r="A48" s="61" t="str">
        <x:v>Series 16</x:v>
      </x:c>
      <x:c r="B48" s="61" t="str">
        <x:v>Stalker Predator</x:v>
      </x:c>
      <x:c r="C48" s="61" t="str">
        <x:v>Stalker (Night Hunter Clan)</x:v>
      </x:c>
      <x:c r="D48" s="61" t="str">
        <x:v>Identité Kenner</x:v>
      </x:c>
      <x:c r="E48" s="61" t="str">
        <x:v>Oui</x:v>
      </x:c>
      <x:c r="F48" s="61" t="str">
        <x:v>https://avp.fandom.com/wiki/Stalker_%28Night_Hunter_Clan%29</x:v>
      </x:c>
    </x:row>
    <x:row r="49">
      <x:c r="A49" s="61" t="str">
        <x:v>Series 16</x:v>
      </x:c>
      <x:c r="B49" s="61" t="str">
        <x:v>Ghost Predator</x:v>
      </x:c>
      <x:c r="C49" s="61" t="str">
        <x:v>Ghost Predator</x:v>
      </x:c>
      <x:c r="D49" s="61" t="str">
        <x:v>Identité</x:v>
      </x:c>
      <x:c r="E49" s="61" t="str">
        <x:v>Oui</x:v>
      </x:c>
      <x:c r="F49" s="61" t="str">
        <x:v>https://avp.fandom.com/wiki/Ghost_Predator</x:v>
      </x:c>
    </x:row>
    <x:row r="50">
      <x:c r="A50" s="61" t="str">
        <x:v>Series 17</x:v>
      </x:c>
      <x:c r="B50" s="61" t="str">
        <x:v>Youngblood Predator</x:v>
      </x:c>
      <x:c r="C50" s="61" t="str">
        <x:v>Youngblood Predator</x:v>
      </x:c>
      <x:c r="D50" s="61" t="str">
        <x:v>Identité/désignation</x:v>
      </x:c>
      <x:c r="E50" s="61" t="str">
        <x:v>Oui</x:v>
      </x:c>
      <x:c r="F50" s="61" t="str">
        <x:v>https://avp.fandom.com/wiki/Youngblood_Predator</x:v>
      </x:c>
    </x:row>
    <x:row r="51">
      <x:c r="A51" s="61" t="str">
        <x:v>Series 17</x:v>
      </x:c>
      <x:c r="B51" s="61" t="str">
        <x:v>Elder Predator</x:v>
      </x:c>
      <x:c r="C51" s="61" t="str">
        <x:v>Ancient Predator (Earth)</x:v>
      </x:c>
      <x:c r="D51" s="61" t="str">
        <x:v>Version AVP</x:v>
      </x:c>
      <x:c r="E51" s="61" t="str">
        <x:v>Oui</x:v>
      </x:c>
      <x:c r="F51" s="61" t="str">
        <x:v>https://avp.fandom.com/wiki/Ancient_Predator_%28Earth%29</x:v>
      </x:c>
    </x:row>
    <x:row r="52">
      <x:c r="A52" s="61" t="str">
        <x:v>Series 17</x:v>
      </x:c>
      <x:c r="B52" s="61" t="str">
        <x:v>Serpent Hunter Predator</x:v>
      </x:c>
      <x:c r="C52" s="61" t="str">
        <x:v>Alien Head Predator</x:v>
      </x:c>
      <x:c r="D52" s="61" t="str">
        <x:v>Alias</x:v>
      </x:c>
      <x:c r="E52" s="61" t="str">
        <x:v>Oui</x:v>
      </x:c>
      <x:c r="F52" s="61" t="str">
        <x:v>https://avp.fandom.com/wiki/Alien_Head_Predator</x:v>
      </x:c>
    </x:row>
    <x:row r="53">
      <x:c r="A53" s="61" t="str">
        <x:v>Series 18</x:v>
      </x:c>
      <x:c r="B53" s="61" t="str">
        <x:v>Hornhead Predator</x:v>
      </x:c>
      <x:c r="C53" s="61" t="str">
        <x:v>Hornhead</x:v>
      </x:c>
      <x:c r="D53" s="61" t="str">
        <x:v>Identité</x:v>
      </x:c>
      <x:c r="E53" s="61" t="str">
        <x:v>Oui</x:v>
      </x:c>
      <x:c r="F53" s="61" t="str">
        <x:v>https://avp.fandom.com/wiki/Hornhead</x:v>
      </x:c>
    </x:row>
    <x:row r="54">
      <x:c r="A54" s="61" t="str">
        <x:v>Series 18</x:v>
      </x:c>
      <x:c r="B54" s="61" t="str">
        <x:v>Broken Tusk Predator</x:v>
      </x:c>
      <x:c r="C54" s="61" t="str">
        <x:v>Dachande</x:v>
      </x:c>
      <x:c r="D54" s="61" t="str">
        <x:v>Alias</x:v>
      </x:c>
      <x:c r="E54" s="61" t="str">
        <x:v>Oui</x:v>
      </x:c>
      <x:c r="F54" s="61" t="str">
        <x:v>https://avp.fandom.com/wiki/Dachande</x:v>
      </x:c>
    </x:row>
    <x:row r="55">
      <x:c r="A55" s="61" t="str">
        <x:v>Series 18</x:v>
      </x:c>
      <x:c r="B55" s="61" t="str">
        <x:v>Machiko Noguchi</x:v>
      </x:c>
      <x:c r="C55" s="61" t="str">
        <x:v>Humaine Blooded</x:v>
      </x:c>
      <x:c r="D55" s="61" t="str">
        <x:v>Exclu</x:v>
      </x:c>
      <x:c r="E55" s="61" t="str">
        <x:v>Non</x:v>
      </x:c>
      <x:c r="F55" s="61" t="str">
        <x:v>https://necaonline.com/?s=predator</x:v>
      </x:c>
    </x:row>
    <x:row r="56">
      <x:c r="A56" s="61" t="str">
        <x:v>Hors série</x:v>
      </x:c>
      <x:c r="B56" s="61" t="str">
        <x:v>Ultimate Feral Predator</x:v>
      </x:c>
      <x:c r="C56" s="61" t="str">
        <x:v>Feral Predator</x:v>
      </x:c>
      <x:c r="D56" s="61" t="str">
        <x:v>Variante/édition Ultimate</x:v>
      </x:c>
      <x:c r="E56" s="61" t="str">
        <x:v>Oui</x:v>
      </x:c>
      <x:c r="F56" s="61" t="str">
        <x:v>https://avp.fandom.com/wiki/Feral_Predator</x:v>
      </x:c>
    </x:row>
    <x:row r="57">
      <x:c r="A57" s="61" t="str">
        <x:v>Hors série</x:v>
      </x:c>
      <x:c r="B57" s="61" t="str">
        <x:v>Ultimate Snake Predator</x:v>
      </x:c>
      <x:c r="C57" s="61" t="str">
        <x:v>Snake</x:v>
      </x:c>
      <x:c r="D57" s="61" t="str">
        <x:v>Variante/édition Ultimate</x:v>
      </x:c>
      <x:c r="E57" s="61" t="str">
        <x:v>Oui</x:v>
      </x:c>
      <x:c r="F57" s="61" t="str">
        <x:v>https://avp.fandom.com/wiki/Snake</x:v>
      </x:c>
    </x:row>
    <x:row r="58">
      <x:c r="A58" s="61" t="str">
        <x:v>Hors série</x:v>
      </x:c>
      <x:c r="B58" s="61" t="str">
        <x:v>Ultimate Elder Predator</x:v>
      </x:c>
      <x:c r="C58" s="61" t="str">
        <x:v>Greyback</x:v>
      </x:c>
      <x:c r="D58" s="61" t="str">
        <x:v>Variante/édition Ultimate</x:v>
      </x:c>
      <x:c r="E58" s="61" t="str">
        <x:v>Oui</x:v>
      </x:c>
      <x:c r="F58" s="61" t="str">
        <x:v>https://avp.fandom.com/wiki/Greyback</x:v>
      </x:c>
    </x:row>
    <x:row r="59">
      <x:c r="A59" s="61" t="str">
        <x:v>Deluxe</x:v>
      </x:c>
      <x:c r="B59" s="61" t="str">
        <x:v>Stone Heart</x:v>
      </x:c>
      <x:c r="C59" s="61" t="str">
        <x:v>Stone Heart</x:v>
      </x:c>
      <x:c r="D59" s="61" t="str">
        <x:v>Existant</x:v>
      </x:c>
      <x:c r="E59" s="61" t="str">
        <x:v>Oui</x:v>
      </x:c>
      <x:c r="F59" s="61" t="str">
        <x:v>https://avp.fandom.com/wiki/Stone_Heart</x:v>
      </x:c>
    </x:row>
    <x:row r="60">
      <x:c r="A60" s="61" t="str">
        <x:v>Ultimate</x:v>
      </x:c>
      <x:c r="B60" s="61" t="str">
        <x:v>Boar Predator</x:v>
      </x:c>
      <x:c r="C60" s="61" t="str">
        <x:v>Boar</x:v>
      </x:c>
      <x:c r="D60" s="61" t="str">
        <x:v>Existant</x:v>
      </x:c>
      <x:c r="E60" s="61" t="str">
        <x:v>Oui</x:v>
      </x:c>
      <x:c r="F60" s="61" t="str">
        <x:v>https://avp.fandom.com/wiki/Boar</x:v>
      </x:c>
    </x:row>
    <x:row r="61">
      <x:c r="A61" s="61" t="str">
        <x:v>Ultimate</x:v>
      </x:c>
      <x:c r="B61" s="61" t="str">
        <x:v>Shaman Predator</x:v>
      </x:c>
      <x:c r="C61" s="61" t="str">
        <x:v>Shaman</x:v>
      </x:c>
      <x:c r="D61" s="61" t="str">
        <x:v>Existant</x:v>
      </x:c>
      <x:c r="E61" s="61" t="str">
        <x:v>Oui</x:v>
      </x:c>
      <x:c r="F61" s="61" t="str">
        <x:v>https://avp.fandom.com/wiki/Shaman</x:v>
      </x:c>
    </x:row>
    <x:row r="62">
      <x:c r="A62" s="61" t="str">
        <x:v>Ultimate</x:v>
      </x:c>
      <x:c r="B62" s="61" t="str">
        <x:v>Warrior Predator</x:v>
      </x:c>
      <x:c r="C62" s="61" t="str">
        <x:v>Warrior (Yautja)</x:v>
      </x:c>
      <x:c r="D62" s="61" t="str">
        <x:v>Existant</x:v>
      </x:c>
      <x:c r="E62" s="61" t="str">
        <x:v>Oui</x:v>
      </x:c>
      <x:c r="F62" s="61" t="str">
        <x:v>https://avp.fandom.com/wiki/Warrior_%28Yautja%29</x:v>
      </x:c>
    </x:row>
    <x:row r="63">
      <x:c r="A63" s="61" t="str">
        <x:v>Ultimate</x:v>
      </x:c>
      <x:c r="B63" s="61" t="str">
        <x:v>Unarmored Assassin Predator</x:v>
      </x:c>
      <x:c r="C63" s="61" t="str">
        <x:v>Upgrade Predator</x:v>
      </x:c>
      <x:c r="D63" s="61" t="str">
        <x:v>Variante</x:v>
      </x:c>
      <x:c r="E63" s="61" t="str">
        <x:v>Oui</x:v>
      </x:c>
      <x:c r="F63" s="61" t="str">
        <x:v>https://avp.fandom.com/wiki/Upgrade_Predator</x:v>
      </x:c>
    </x:row>
    <x:row r="64">
      <x:c r="A64" s="61" t="str">
        <x:v>Ultimate</x:v>
      </x:c>
      <x:c r="B64" s="61" t="str">
        <x:v>Battle-Damaged City Hunter</x:v>
      </x:c>
      <x:c r="C64" s="61" t="str">
        <x:v>City Hunter</x:v>
      </x:c>
      <x:c r="D64" s="61" t="str">
        <x:v>Variante</x:v>
      </x:c>
      <x:c r="E64" s="61" t="str">
        <x:v>Oui</x:v>
      </x:c>
      <x:c r="F64" s="61" t="str">
        <x:v>https://avp.fandom.com/wiki/City_Hunter</x:v>
      </x:c>
    </x:row>
    <x:row r="65">
      <x:c r="A65" s="61" t="str">
        <x:v>Ultimate</x:v>
      </x:c>
      <x:c r="B65" s="61" t="str">
        <x:v>Guardian Predator</x:v>
      </x:c>
      <x:c r="C65" s="61" t="str">
        <x:v>Guardian</x:v>
      </x:c>
      <x:c r="D65" s="61" t="str">
        <x:v>Existant</x:v>
      </x:c>
      <x:c r="E65" s="61" t="str">
        <x:v>Oui</x:v>
      </x:c>
      <x:c r="F65" s="61" t="str">
        <x:v>https://avp.fandom.com/wiki/Guardian</x:v>
      </x:c>
    </x:row>
    <x:row r="66">
      <x:c r="A66" s="61" t="str">
        <x:v>Ultimate</x:v>
      </x:c>
      <x:c r="B66" s="61" t="str">
        <x:v>Stalker Predator</x:v>
      </x:c>
      <x:c r="C66" s="61" t="str">
        <x:v>Stalker (Lost Tribe)</x:v>
      </x:c>
      <x:c r="D66" s="61" t="str">
        <x:v>Existant</x:v>
      </x:c>
      <x:c r="E66" s="61" t="str">
        <x:v>Oui</x:v>
      </x:c>
      <x:c r="F66" s="61" t="str">
        <x:v>https://avp.fandom.com/wiki/Stalker_%28Lost_Tribe%29</x:v>
      </x:c>
    </x:row>
    <x:row r="67">
      <x:c r="A67" s="61" t="str">
        <x:v>Ultimate</x:v>
      </x:c>
      <x:c r="B67" s="61" t="str">
        <x:v>Scout Predator</x:v>
      </x:c>
      <x:c r="C67" s="61" t="str">
        <x:v>Scout</x:v>
      </x:c>
      <x:c r="D67" s="61" t="str">
        <x:v>Existant</x:v>
      </x:c>
      <x:c r="E67" s="61" t="str">
        <x:v>Oui</x:v>
      </x:c>
      <x:c r="F67" s="61" t="str">
        <x:v>https://avp.fandom.com/wiki/Scout</x:v>
      </x:c>
    </x:row>
    <x:row r="68">
      <x:c r="A68" s="61" t="str">
        <x:v>Ultimate</x:v>
      </x:c>
      <x:c r="B68" s="61" t="str">
        <x:v>Armored Lost Predator</x:v>
      </x:c>
      <x:c r="C68" s="61" t="str">
        <x:v>Borg</x:v>
      </x:c>
      <x:c r="D68" s="61" t="str">
        <x:v>Variante</x:v>
      </x:c>
      <x:c r="E68" s="61" t="str">
        <x:v>Oui</x:v>
      </x:c>
      <x:c r="F68" s="61" t="str">
        <x:v>https://avp.fandom.com/wiki/Borg</x:v>
      </x:c>
    </x:row>
    <x:row r="69">
      <x:c r="A69" s="61" t="str">
        <x:v>Exclusive</x:v>
      </x:c>
      <x:c r="B69" s="61" t="str">
        <x:v>Cloaked City Demon Predator</x:v>
      </x:c>
      <x:c r="C69" s="61" t="str">
        <x:v>City Hunter</x:v>
      </x:c>
      <x:c r="D69" s="61" t="str">
        <x:v>Alias/variante</x:v>
      </x:c>
      <x:c r="E69" s="61" t="str">
        <x:v>Oui</x:v>
      </x:c>
      <x:c r="F69" s="61" t="str">
        <x:v>https://avp.fandom.com/wiki/City_Hunter</x:v>
      </x:c>
    </x:row>
    <x:row r="70">
      <x:c r="A70" s="61" t="str">
        <x:v>100th Predator</x:v>
      </x:c>
      <x:c r="B70" s="61" t="str">
        <x:v>Alpha Predator</x:v>
      </x:c>
      <x:c r="C70" s="61" t="str">
        <x:v>Alpha Predator</x:v>
      </x:c>
      <x:c r="D70" s="61" t="str">
        <x:v>Nouvelle identité NECA</x:v>
      </x:c>
      <x:c r="E70" s="61" t="str">
        <x:v>Oui</x:v>
      </x:c>
      <x:c r="F70" s="61" t="str">
        <x:v>https://avp.fandom.com/wiki/Alpha_Predator</x:v>
      </x:c>
    </x:row>
    <x:row r="71">
      <x:c r="A71" s="61" t="str">
        <x:v>Kenner Tribute</x:v>
      </x:c>
      <x:c r="B71" s="61" t="str">
        <x:v>Lasershot Predator</x:v>
      </x:c>
      <x:c r="C71" s="61" t="str">
        <x:v>Lasershot Predator</x:v>
      </x:c>
      <x:c r="D71" s="61" t="str">
        <x:v>Identité</x:v>
      </x:c>
      <x:c r="E71" s="61" t="str">
        <x:v>Oui</x:v>
      </x:c>
      <x:c r="F71" s="61" t="str">
        <x:v>https://avp.fandom.com/wiki/Lasershot_Predator</x:v>
      </x:c>
    </x:row>
    <x:row r="72">
      <x:c r="A72" s="61" t="str">
        <x:v>Crossover</x:v>
      </x:c>
      <x:c r="B72" s="61" t="str">
        <x:v>Batman vs Predator</x:v>
      </x:c>
      <x:c r="C72" s="61" t="str">
        <x:v>Bad Blood (Gotham City)</x:v>
      </x:c>
      <x:c r="D72" s="61" t="str">
        <x:v>Adaptation crossover</x:v>
      </x:c>
      <x:c r="E72" s="61" t="str">
        <x:v>Oui</x:v>
      </x:c>
      <x:c r="F72" s="61" t="str">
        <x:v>https://avp.fandom.com/wiki/Bad_Blood_%28Gotham_City%29</x:v>
      </x:c>
    </x:row>
    <x:row r="73">
      <x:c r="A73" s="61" t="str">
        <x:v>Deleted Scene</x:v>
      </x:c>
      <x:c r="B73" s="61" t="str">
        <x:v>Emissary Predator #1</x:v>
      </x:c>
      <x:c r="C73" s="61" t="str">
        <x:v>Emissary Predator</x:v>
      </x:c>
      <x:c r="D73" s="61" t="str">
        <x:v>Individu supprimé</x:v>
      </x:c>
      <x:c r="E73" s="61" t="str">
        <x:v>Oui</x:v>
      </x:c>
      <x:c r="F73" s="61" t="str">
        <x:v>https://avp.fandom.com/wiki/Emissary_Predator</x:v>
      </x:c>
    </x:row>
    <x:row r="74">
      <x:c r="A74" s="61" t="str">
        <x:v>Deleted Scene</x:v>
      </x:c>
      <x:c r="B74" s="61" t="str">
        <x:v>Emissary Predator #2</x:v>
      </x:c>
      <x:c r="C74" s="61" t="str">
        <x:v>Emissary Predator</x:v>
      </x:c>
      <x:c r="D74" s="61" t="str">
        <x:v>Individu supprimé</x:v>
      </x:c>
      <x:c r="E74" s="61" t="str">
        <x:v>Oui</x:v>
      </x:c>
      <x:c r="F74" s="61" t="str">
        <x:v>https://avp.fandom.com/wiki/Emissary_Predator</x:v>
      </x:c>
    </x:row>
    <x:row r="75">
      <x:c r="A75" s="61" t="str">
        <x:v>Ultimate</x:v>
      </x:c>
      <x:c r="B75" s="61" t="str">
        <x:v>Armored Assassin Predator</x:v>
      </x:c>
      <x:c r="C75" s="61" t="str">
        <x:v>Upgrade Predator</x:v>
      </x:c>
      <x:c r="D75" s="61" t="str">
        <x:v>Variante</x:v>
      </x:c>
      <x:c r="E75" s="61" t="str">
        <x:v>Oui</x:v>
      </x:c>
      <x:c r="F75" s="61" t="str">
        <x:v>https://avp.fandom.com/wiki/Upgrade_Predator</x:v>
      </x:c>
    </x:row>
    <x:row r="76">
      <x:c r="A76" s="61" t="str">
        <x:v>Ultimate</x:v>
      </x:c>
      <x:c r="B76" s="61" t="str">
        <x:v>Fugitive Predator</x:v>
      </x:c>
      <x:c r="C76" s="61" t="str">
        <x:v>Fugitive Predator</x:v>
      </x:c>
      <x:c r="D76" s="61" t="str">
        <x:v>Existant</x:v>
      </x:c>
      <x:c r="E76" s="61" t="str">
        <x:v>Oui</x:v>
      </x:c>
      <x:c r="F76" s="61" t="str">
        <x:v>https://avp.fandom.com/wiki/Fugitive_Predator</x:v>
      </x:c>
    </x:row>
    <x:row r="77">
      <x:c r="A77" s="61" t="str">
        <x:v>Ultimate</x:v>
      </x:c>
      <x:c r="B77" s="61" t="str">
        <x:v>Golden Angel Predator</x:v>
      </x:c>
      <x:c r="C77" s="61" t="str">
        <x:v>Greyback</x:v>
      </x:c>
      <x:c r="D77" s="61" t="str">
        <x:v>Alias/version jeune</x:v>
      </x:c>
      <x:c r="E77" s="61" t="str">
        <x:v>Oui</x:v>
      </x:c>
      <x:c r="F77" s="61" t="str">
        <x:v>https://avp.fandom.com/wiki/Greyback</x:v>
      </x:c>
    </x:row>
    <x:row r="78">
      <x:c r="A78" s="61" t="str">
        <x:v>2-pack</x:v>
      </x:c>
      <x:c r="B78" s="61" t="str">
        <x:v>Ultimate Bad Blood vs Ultimate Enforcer</x:v>
      </x:c>
      <x:c r="C78" s="61" t="str">
        <x:v>Bad Blood Predator / Enforcer Predator</x:v>
      </x:c>
      <x:c r="D78" s="61" t="str">
        <x:v>Rééditions</x:v>
      </x:c>
      <x:c r="E78" s="61" t="str">
        <x:v>Oui</x:v>
      </x:c>
      <x:c r="F78" s="61" t="str">
        <x:v>https://avp.fandom.com/wiki/Bad_Blood_Predator</x:v>
      </x:c>
    </x:row>
    <x:row r="79">
      <x:c r="A79" s="61" t="str">
        <x:v>Arcade</x:v>
      </x:c>
      <x:c r="B79" s="61" t="str">
        <x:v>Mad Predator</x:v>
      </x:c>
      <x:c r="C79" s="61" t="str">
        <x:v>Mad Predator</x:v>
      </x:c>
      <x:c r="D79" s="61" t="str">
        <x:v>Existant</x:v>
      </x:c>
      <x:c r="E79" s="61" t="str">
        <x:v>Oui</x:v>
      </x:c>
      <x:c r="F79" s="61" t="str">
        <x:v>https://avp.fandom.com/wiki/Mad_Predator</x:v>
      </x:c>
    </x:row>
    <x:row r="80">
      <x:c r="A80" s="61" t="str">
        <x:v>Arcade</x:v>
      </x:c>
      <x:c r="B80" s="61" t="str">
        <x:v>Warrior Predator</x:v>
      </x:c>
      <x:c r="C80" s="61" t="str">
        <x:v>Predator A6718 / classe Warrior</x:v>
      </x:c>
      <x:c r="D80" s="61" t="str">
        <x:v>Version arcade</x:v>
      </x:c>
      <x:c r="E80" s="61" t="str">
        <x:v>Oui</x:v>
      </x:c>
      <x:c r="F80" s="61" t="str">
        <x:v>https://avp.fandom.com/wiki/Predator_A6718</x:v>
      </x:c>
    </x:row>
    <x:row r="81">
      <x:c r="A81" s="61" t="str">
        <x:v>Arcade</x:v>
      </x:c>
      <x:c r="B81" s="61" t="str">
        <x:v>Hunter Predator</x:v>
      </x:c>
      <x:c r="C81" s="61" t="str">
        <x:v>Hunter (title)</x:v>
      </x:c>
      <x:c r="D81" s="61" t="str">
        <x:v>Classe/skin</x:v>
      </x:c>
      <x:c r="E81" s="61" t="str">
        <x:v>Oui</x:v>
      </x:c>
      <x:c r="F81" s="61" t="str">
        <x:v>https://avp.fandom.com/wiki/Hunter_%28title%29</x:v>
      </x:c>
    </x:row>
    <x:row r="82">
      <x:c r="A82" s="61" t="str">
        <x:v>Kenner Tribute</x:v>
      </x:c>
      <x:c r="B82" s="61" t="str">
        <x:v>Jungle Demon Predator</x:v>
      </x:c>
      <x:c r="C82" s="61" t="str">
        <x:v>Jungle Hunter</x:v>
      </x:c>
      <x:c r="D82" s="61" t="str">
        <x:v>Alias/variante</x:v>
      </x:c>
      <x:c r="E82" s="61" t="str">
        <x:v>Oui</x:v>
      </x:c>
      <x:c r="F82" s="61" t="str">
        <x:v>https://avp.fandom.com/wiki/Jungle_Hunter</x:v>
      </x:c>
    </x:row>
    <x:row r="83">
      <x:c r="A83" s="61" t="str">
        <x:v>Ultimate</x:v>
      </x:c>
      <x:c r="B83" s="61" t="str">
        <x:v>Jungle Hunter</x:v>
      </x:c>
      <x:c r="C83" s="61" t="str">
        <x:v>Jungle Hunter</x:v>
      </x:c>
      <x:c r="D83" s="61" t="str">
        <x:v>Existant</x:v>
      </x:c>
      <x:c r="E83" s="61" t="str">
        <x:v>Oui</x:v>
      </x:c>
      <x:c r="F83" s="61" t="str">
        <x:v>https://avp.fandom.com/wiki/Jungle_Hunter</x:v>
      </x:c>
    </x:row>
    <x:row r="84">
      <x:c r="A84" s="61" t="str">
        <x:v>Ultimate</x:v>
      </x:c>
      <x:c r="B84" s="61" t="str">
        <x:v>City Hunter</x:v>
      </x:c>
      <x:c r="C84" s="61" t="str">
        <x:v>City Hunter</x:v>
      </x:c>
      <x:c r="D84" s="61" t="str">
        <x:v>Existant</x:v>
      </x:c>
      <x:c r="E84" s="61" t="str">
        <x:v>Oui</x:v>
      </x:c>
      <x:c r="F84" s="61" t="str">
        <x:v>https://avp.fandom.com/wiki/City_Hunter</x:v>
      </x:c>
    </x:row>
    <x:row r="85">
      <x:c r="A85" s="61" t="str">
        <x:v>AVP</x:v>
      </x:c>
      <x:c r="B85" s="61" t="str">
        <x:v>Scar Predator – variantes</x:v>
      </x:c>
      <x:c r="C85" s="61" t="str">
        <x:v>Scar</x:v>
      </x:c>
      <x:c r="D85" s="61" t="str">
        <x:v>Variantes</x:v>
      </x:c>
      <x:c r="E85" s="61" t="str">
        <x:v>Oui</x:v>
      </x:c>
      <x:c r="F85" s="61" t="str">
        <x:v>https://avp.fandom.com/wiki/Scar</x:v>
      </x:c>
    </x:row>
    <x:row r="86">
      <x:c r="A86" s="61" t="str">
        <x:v>Kenner Tribute</x:v>
      </x:c>
      <x:c r="B86" s="61" t="str">
        <x:v>Clan Leader Predator</x:v>
      </x:c>
      <x:c r="C86" s="61" t="str">
        <x:v>Clan Leader (Predator)</x:v>
      </x:c>
      <x:c r="D86" s="61" t="str">
        <x:v>Identité</x:v>
      </x:c>
      <x:c r="E86" s="61" t="str">
        <x:v>Oui</x:v>
      </x:c>
      <x:c r="F86" s="61" t="str">
        <x:v>https://avp.fandom.com/wiki/Clan_Leader_%28Predator%29</x:v>
      </x:c>
    </x:row>
    <x:row r="87">
      <x:c r="A87" s="61" t="str">
        <x:v>Video Game</x:v>
      </x:c>
      <x:c r="B87" s="61" t="str">
        <x:v>Scarface Predator</x:v>
      </x:c>
      <x:c r="C87" s="61" t="str">
        <x:v>Scarface</x:v>
      </x:c>
      <x:c r="D87" s="61" t="str">
        <x:v>Existant</x:v>
      </x:c>
      <x:c r="E87" s="61" t="str">
        <x:v>Oui</x:v>
      </x:c>
      <x:c r="F87" s="61" t="str">
        <x:v>https://avp.fandom.com/wiki/Scarface</x:v>
      </x:c>
    </x:row>
    <x:row r="88">
      <x:c r="A88" s="61" t="str">
        <x:v>Anniversary</x:v>
      </x:c>
      <x:c r="B88" s="61" t="str">
        <x:v>Dark Horse 25th Anniversary Predator</x:v>
      </x:c>
      <x:c r="C88" s="61" t="str">
        <x:v>Dark Horse 25th Anniversary Predator</x:v>
      </x:c>
      <x:c r="D88" s="61" t="str">
        <x:v>Identité/design</x:v>
      </x:c>
      <x:c r="E88" s="61" t="str">
        <x:v>Oui</x:v>
      </x:c>
      <x:c r="F88" s="61" t="str">
        <x:v>https://avp.fandom.com/wiki/Dark_Horse_25th_Anniversary_Predator</x:v>
      </x:c>
    </x:row>
    <x:row r="89">
      <x:c r="A89" s="61" t="str">
        <x:v>Ultimate</x:v>
      </x:c>
      <x:c r="B89" s="61" t="str">
        <x:v>Bad Blood Predator</x:v>
      </x:c>
      <x:c r="C89" s="61" t="str">
        <x:v>Bad Blood Predator</x:v>
      </x:c>
      <x:c r="D89" s="61" t="str">
        <x:v>Existant</x:v>
      </x:c>
      <x:c r="E89" s="61" t="str">
        <x:v>Oui</x:v>
      </x:c>
      <x:c r="F89" s="61" t="str">
        <x:v>https://avp.fandom.com/wiki/Bad_Blood_Predator</x:v>
      </x:c>
    </x:row>
    <x:row r="90">
      <x:c r="A90" s="61" t="str">
        <x:v>Comic</x:v>
      </x:c>
      <x:c r="B90" s="61" t="str">
        <x:v>Ahab Predator</x:v>
      </x:c>
      <x:c r="C90" s="61" t="str">
        <x:v>Ahab</x:v>
      </x:c>
      <x:c r="D90" s="61" t="str">
        <x:v>Existant</x:v>
      </x:c>
      <x:c r="E90" s="61" t="str">
        <x:v>Oui</x:v>
      </x:c>
      <x:c r="F90" s="61" t="str">
        <x:v>https://avp.fandom.com/wiki/Ahab</x:v>
      </x:c>
    </x:row>
    <x:row r="91">
      <x:c r="A91" s="61" t="str">
        <x:v>Fan Film</x:v>
      </x:c>
      <x:c r="B91" s="61" t="str">
        <x:v>Big Red Predator</x:v>
      </x:c>
      <x:c r="C91" s="61" t="str">
        <x:v>Big Red</x:v>
      </x:c>
      <x:c r="D91" s="61" t="str">
        <x:v>Fan-made puis licencié</x:v>
      </x:c>
      <x:c r="E91" s="61" t="str">
        <x:v>Oui</x:v>
      </x:c>
      <x:c r="F91" s="61" t="str">
        <x:v>https://avp.fandom.com/wiki/Big_Red</x:v>
      </x:c>
    </x:row>
    <x:row r="92">
      <x:c r="A92" s="61" t="str">
        <x:v>Fan Film</x:v>
      </x:c>
      <x:c r="B92" s="61" t="str">
        <x:v>Albino Predator</x:v>
      </x:c>
      <x:c r="C92" s="61" t="str">
        <x:v>Albino Predator</x:v>
      </x:c>
      <x:c r="D92" s="61" t="str">
        <x:v>Fan-made puis licencié</x:v>
      </x:c>
      <x:c r="E92" s="61" t="str">
        <x:v>Oui</x:v>
      </x:c>
      <x:c r="F92" s="61" t="str">
        <x:v>https://avp.fandom.com/wiki/Albino_Predator</x:v>
      </x:c>
    </x:row>
    <x:row r="93">
      <x:c r="A93" s="61" t="str">
        <x:v>Production</x:v>
      </x:c>
      <x:c r="B93" s="61" t="str">
        <x:v>Gort Predator</x:v>
      </x:c>
      <x:c r="C93" s="61" t="str">
        <x:v>Guardian</x:v>
      </x:c>
      <x:c r="D93" s="61" t="str">
        <x:v>Alias</x:v>
      </x:c>
      <x:c r="E93" s="61" t="str">
        <x:v>Oui</x:v>
      </x:c>
      <x:c r="F93" s="61" t="str">
        <x:v>https://avp.fandom.com/wiki/Guardian</x:v>
      </x:c>
    </x:row>
    <x:row r="94">
      <x:c r="A94" s="61" t="str">
        <x:v>Exclusive</x:v>
      </x:c>
      <x:c r="B94" s="61" t="str">
        <x:v>Stealth Berserker Predator</x:v>
      </x:c>
      <x:c r="C94" s="61" t="str">
        <x:v>Berserker (Game Preserve Planet)</x:v>
      </x:c>
      <x:c r="D94" s="61" t="str">
        <x:v>Variante</x:v>
      </x:c>
      <x:c r="E94" s="61" t="str">
        <x:v>Oui</x:v>
      </x:c>
      <x:c r="F94" s="61" t="str">
        <x:v>https://avp.fandom.com/wiki/Berserker_%28Game_Preserve_Planet%29</x:v>
      </x:c>
    </x:row>
  </x:sheetData>
  <x:conditionalFormatting sqref="E2:E94">
    <x:cfRule type="expression" dxfId="4" priority="1">
      <x:formula>E2="Non"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5a015f8183458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50" hidden="0" customWidth="1"/>
    <x:col min="5" max="5" width="18" hidden="0" customWidth="1"/>
    <x:col min="6" max="6" width="52" hidden="0" customWidth="1"/>
  </x:cols>
  <x:sheetData>
    <x:row r="1" ht="32" customHeight="1">
      <x:c r="A1" s="53" t="str">
        <x:v>Année / statut</x:v>
      </x:c>
      <x:c r="B1" s="53" t="str">
        <x:v>Production</x:v>
      </x:c>
      <x:c r="C1" s="53" t="str">
        <x:v>Yautja recensé</x:v>
      </x:c>
      <x:c r="D1" s="53" t="str">
        <x:v>Périmètre / remarque</x:v>
      </x:c>
      <x:c r="E1" s="53" t="str">
        <x:v>Licencié ensuite ?</x:v>
      </x:c>
      <x:c r="F1" s="53" t="str">
        <x:v>Source URL</x:v>
      </x:c>
    </x:row>
    <x:row r="2">
      <x:c r="A2" s="61" t="str">
        <x:v>2003</x:v>
      </x:c>
      <x:c r="B2" s="61" t="str">
        <x:v>Batman: Dead End</x:v>
      </x:c>
      <x:c r="C2" s="61" t="str">
        <x:v>Big Red</x:v>
      </x:c>
      <x:c r="D2" s="61" t="str">
        <x:v>Fan-film achevé; personnage ensuite licencié en figurine.</x:v>
      </x:c>
      <x:c r="E2" s="61" t="str">
        <x:v>Oui</x:v>
      </x:c>
      <x:c r="F2" s="61" t="str">
        <x:v>https://avp.fandom.com/wiki/Big_Red</x:v>
      </x:c>
    </x:row>
    <x:row r="3">
      <x:c r="A3" s="61" t="str">
        <x:v>2003</x:v>
      </x:c>
      <x:c r="B3" s="61" t="str">
        <x:v>Batman: Dead End</x:v>
      </x:c>
      <x:c r="C3" s="61" t="str">
        <x:v>Wasp Predator</x:v>
      </x:c>
      <x:c r="D3" s="61" t="str">
        <x:v>Fan-film achevé; personnage ensuite licencié par NECA.</x:v>
      </x:c>
      <x:c r="E3" s="61" t="str">
        <x:v>Oui</x:v>
      </x:c>
      <x:c r="F3" s="61" t="str">
        <x:v>https://avp.fandom.com/wiki/Wasp_Predator</x:v>
      </x:c>
    </x:row>
    <x:row r="4">
      <x:c r="A4" s="61" t="str">
        <x:v>2003</x:v>
      </x:c>
      <x:c r="B4" s="61" t="str">
        <x:v>Batman: Dead End</x:v>
      </x:c>
      <x:c r="C4" s="61" t="str">
        <x:v>Albino Predator</x:v>
      </x:c>
      <x:c r="D4" s="61" t="str">
        <x:v>Fan-film achevé; personnage ensuite licencié par NECA.</x:v>
      </x:c>
      <x:c r="E4" s="61" t="str">
        <x:v>Oui</x:v>
      </x:c>
      <x:c r="F4" s="61" t="str">
        <x:v>https://avp.fandom.com/wiki/Albino_Predator</x:v>
      </x:c>
    </x:row>
    <x:row r="5">
      <x:c r="A5" s="61" t="str">
        <x:v>2010</x:v>
      </x:c>
      <x:c r="B5" s="61" t="str">
        <x:v>AVP: Redemption</x:v>
      </x:c>
      <x:c r="C5" s="61" t="str">
        <x:v>Predator(s) anonyme(s)</x:v>
      </x:c>
      <x:c r="D5" s="61" t="str">
        <x:v>Fan-film CGI; plusieurs Yautja non nommés.</x:v>
      </x:c>
      <x:c r="E5" s="61" t="str">
        <x:v>Non</x:v>
      </x:c>
      <x:c r="F5" s="61" t="str"/>
    </x:row>
    <x:row r="6">
      <x:c r="A6" s="61" t="str">
        <x:v>Années 2010</x:v>
      </x:c>
      <x:c r="B6" s="61" t="str">
        <x:v>Predator: Last Will</x:v>
      </x:c>
      <x:c r="C6" s="61" t="str">
        <x:v>Predator anonyme</x:v>
      </x:c>
      <x:c r="D6" s="61" t="str">
        <x:v>Machinima/fan-film; désignation descriptive.</x:v>
      </x:c>
      <x:c r="E6" s="61" t="str">
        <x:v>Non</x:v>
      </x:c>
      <x:c r="F6" s="61" t="str"/>
    </x:row>
    <x:row r="7">
      <x:c r="A7" s="61" t="str">
        <x:v>2015</x:v>
      </x:c>
      <x:c r="B7" s="61" t="str">
        <x:v>Predator: Dark Ages</x:v>
      </x:c>
      <x:c r="C7" s="61" t="str">
        <x:v>Dark Ages Predator</x:v>
      </x:c>
      <x:c r="D7" s="61" t="str">
        <x:v>Fan-film médiéval achevé.</x:v>
      </x:c>
      <x:c r="E7" s="61" t="str">
        <x:v>Non</x:v>
      </x:c>
      <x:c r="F7" s="61" t="str">
        <x:v>https://avp.fandom.com/wiki/Dark_Ages_Predator</x:v>
      </x:c>
    </x:row>
    <x:row r="8">
      <x:c r="A8" s="61" t="str">
        <x:v>Projet/concept</x:v>
      </x:c>
      <x:c r="B8" s="61" t="str">
        <x:v>Predator: Akuma</x:v>
      </x:c>
      <x:c r="C8" s="61" t="str">
        <x:v>Akuma Predator</x:v>
      </x:c>
      <x:c r="D8" s="61" t="str">
        <x:v>Concept/bande-annonce; statut de sortie intégrale incertain.</x:v>
      </x:c>
      <x:c r="E8" s="61" t="str">
        <x:v>Non</x:v>
      </x:c>
      <x:c r="F8" s="61" t="str">
        <x:v>https://avp.fandom.com/wiki/Akuma_Predator</x:v>
      </x:c>
    </x:row>
  </x:sheetData>
  <x:pageMargins left="0.7" right="0.7" top="0.75" bottom="0.75" header="0.3" footer="0.3"/>
  <x:tableParts count="1">
    <x:tablePart xmlns:r="http://schemas.openxmlformats.org/officeDocument/2006/relationships" r:id="R995b550a1e0e458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40" hidden="0" customWidth="1"/>
    <x:col min="4" max="4" width="55" hidden="0" customWidth="1"/>
  </x:cols>
  <x:sheetData>
    <x:row r="1" ht="32" customHeight="1">
      <x:c r="A1" s="53" t="str">
        <x:v>Alias / nom secondaire</x:v>
      </x:c>
      <x:c r="B1" s="53" t="str">
        <x:v>Identité canonique</x:v>
      </x:c>
      <x:c r="C1" s="53" t="str">
        <x:v>Contexte</x:v>
      </x:c>
      <x:c r="D1" s="53" t="str">
        <x:v>Avertissement / note</x:v>
      </x:c>
    </x:row>
    <x:row r="2">
      <x:c r="A2" s="61" t="str">
        <x:v>Assassin Predator</x:v>
      </x:c>
      <x:c r="B2" s="61" t="str">
        <x:v>Upgrade Predator</x:v>
      </x:c>
      <x:c r="C2" s="61" t="str">
        <x:v>The Predator (2018)</x:v>
      </x:c>
      <x:c r="D2" s="61" t="str"/>
    </x:row>
    <x:row r="3">
      <x:c r="A3" s="61" t="str">
        <x:v>Broken Tusk Predator</x:v>
      </x:c>
      <x:c r="B3" s="61" t="str">
        <x:v>Dachande</x:v>
      </x:c>
      <x:c r="C3" s="61" t="str">
        <x:v>Aliens vs. Predator / Aliens vs. Predator: Prey</x:v>
      </x:c>
      <x:c r="D3" s="61" t="str"/>
    </x:row>
    <x:row r="4">
      <x:c r="A4" s="61" t="str">
        <x:v>Brother Boar Predator</x:v>
      </x:c>
      <x:c r="B4" s="61" t="str">
        <x:v>Stalker (Lost Tribe)</x:v>
      </x:c>
      <x:c r="C4" s="61" t="str">
        <x:v>Predator 2 / NECA</x:v>
      </x:c>
      <x:c r="D4" s="61" t="str"/>
    </x:row>
    <x:row r="5">
      <x:c r="A5" s="61" t="str">
        <x:v>Captured Predator</x:v>
      </x:c>
      <x:c r="B5" s="61" t="str">
        <x:v>Crucified Predator</x:v>
      </x:c>
      <x:c r="C5" s="61" t="str">
        <x:v>Predators (2010)</x:v>
      </x:c>
      <x:c r="D5" s="61" t="str">
        <x:v>Même individu que le Crucified/Classic Predator de Predators (2010).</x:v>
      </x:c>
    </x:row>
    <x:row r="6">
      <x:c r="A6" s="61" t="str">
        <x:v>City Demon Predator</x:v>
      </x:c>
      <x:c r="B6" s="61" t="str">
        <x:v>City Hunter</x:v>
      </x:c>
      <x:c r="C6" s="61" t="str">
        <x:v>NECA</x:v>
      </x:c>
      <x:c r="D6" s="61" t="str"/>
    </x:row>
    <x:row r="7">
      <x:c r="A7" s="61" t="str">
        <x:v>Classic Predator (1987)</x:v>
      </x:c>
      <x:c r="B7" s="61" t="str">
        <x:v>Jungle Hunter</x:v>
      </x:c>
      <x:c r="C7" s="61" t="str">
        <x:v>Predator (1987)</x:v>
      </x:c>
      <x:c r="D7" s="61" t="str"/>
    </x:row>
    <x:row r="8">
      <x:c r="A8" s="61" t="str">
        <x:v>Classic Predator (2010)</x:v>
      </x:c>
      <x:c r="B8" s="61" t="str">
        <x:v>Crucified Predator</x:v>
      </x:c>
      <x:c r="C8" s="61" t="str">
        <x:v>Predators (2010)</x:v>
      </x:c>
      <x:c r="D8" s="61" t="str"/>
    </x:row>
    <x:row r="9">
      <x:c r="A9" s="61" t="str">
        <x:v>Elder Predator / Golden Angel</x:v>
      </x:c>
      <x:c r="B9" s="61" t="str">
        <x:v>Greyback</x:v>
      </x:c>
      <x:c r="C9" s="61" t="str"/>
      <x:c r="D9" s="61" t="str"/>
    </x:row>
    <x:row r="10">
      <x:c r="A10" s="61" t="str">
        <x:v>Father Predator</x:v>
      </x:c>
      <x:c r="B10" s="61" t="str">
        <x:v>Njohrr</x:v>
      </x:c>
      <x:c r="C10" s="61" t="str">
        <x:v>Predator: Hunting Grounds (alias de Njohrr)</x:v>
      </x:c>
      <x:c r="D10" s="61" t="str"/>
    </x:row>
    <x:row r="11">
      <x:c r="A11" s="61" t="str">
        <x:v>Golden Angel Predator</x:v>
      </x:c>
      <x:c r="B11" s="61" t="str">
        <x:v>Greyback</x:v>
      </x:c>
      <x:c r="C11" s="61" t="str">
        <x:v>Predator 1718 / NECA</x:v>
      </x:c>
      <x:c r="D11" s="61" t="str"/>
    </x:row>
    <x:row r="12">
      <x:c r="A12" s="61" t="str">
        <x:v>Gort Predator</x:v>
      </x:c>
      <x:c r="B12" s="61" t="str">
        <x:v>Guardian</x:v>
      </x:c>
      <x:c r="C12" s="61" t="str">
        <x:v>Predator 2 / NECA</x:v>
      </x:c>
      <x:c r="D12" s="61" t="str"/>
    </x:row>
    <x:row r="13">
      <x:c r="A13" s="61" t="str">
        <x:v>Hippie Predator</x:v>
      </x:c>
      <x:c r="B13" s="61" t="str">
        <x:v>Shaman</x:v>
      </x:c>
      <x:c r="C13" s="61" t="str">
        <x:v>Predator 2 / NECA</x:v>
      </x:c>
      <x:c r="D13" s="61" t="str"/>
    </x:row>
    <x:row r="14">
      <x:c r="A14" s="61" t="str">
        <x:v>Jotun Predator</x:v>
      </x:c>
      <x:c r="B14" s="61" t="str">
        <x:v>Grendel (Yautja)</x:v>
      </x:c>
      <x:c r="C14" s="61" t="str">
        <x:v>Predator: Hunting Grounds (alias de Grendel)</x:v>
      </x:c>
      <x:c r="D14" s="61" t="str"/>
    </x:row>
    <x:row r="15">
      <x:c r="A15" s="61" t="str">
        <x:v>Jungle Demon Predator</x:v>
      </x:c>
      <x:c r="B15" s="61" t="str">
        <x:v>Jungle Hunter</x:v>
      </x:c>
      <x:c r="C15" s="61" t="str">
        <x:v>NECA</x:v>
      </x:c>
      <x:c r="D15" s="61" t="str"/>
    </x:row>
    <x:row r="16">
      <x:c r="A16" s="61" t="str">
        <x:v>Lost Predator</x:v>
      </x:c>
      <x:c r="B16" s="61" t="str">
        <x:v>Borg</x:v>
      </x:c>
      <x:c r="C16" s="61" t="str">
        <x:v>Predator 2 / NECA</x:v>
      </x:c>
      <x:c r="D16" s="61" t="str"/>
    </x:row>
    <x:row r="17">
      <x:c r="A17" s="61" t="str">
        <x:v>Mr. Black</x:v>
      </x:c>
      <x:c r="B17" s="61" t="str">
        <x:v>Berserker (Game Preserve Planet)</x:v>
      </x:c>
      <x:c r="C17" s="61" t="str">
        <x:v>Predators (2010)</x:v>
      </x:c>
      <x:c r="D17" s="61" t="str"/>
    </x:row>
    <x:row r="18">
      <x:c r="A18" s="61" t="str">
        <x:v>Predator (Feudal Era)</x:v>
      </x:c>
      <x:c r="B18" s="61" t="str">
        <x:v>Oni Predator</x:v>
      </x:c>
      <x:c r="C18" s="61" t="str">
        <x:v>Predator: Killer of Killers (2025)</x:v>
      </x:c>
      <x:c r="D18" s="61" t="str"/>
    </x:row>
    <x:row r="19">
      <x:c r="A19" s="61" t="str">
        <x:v>Ram Predator</x:v>
      </x:c>
      <x:c r="B19" s="61" t="str">
        <x:v>Warrior (Yautja)</x:v>
      </x:c>
      <x:c r="C19" s="61" t="str">
        <x:v>Predator 2 / NECA</x:v>
      </x:c>
      <x:c r="D19" s="61" t="str"/>
    </x:row>
    <x:row r="20">
      <x:c r="A20" s="61" t="str">
        <x:v>Rogue Predator</x:v>
      </x:c>
      <x:c r="B20" s="61" t="str">
        <x:v>Fugitive Predator</x:v>
      </x:c>
      <x:c r="C20" s="61" t="str">
        <x:v>The Predator (2018)</x:v>
      </x:c>
      <x:c r="D20" s="61" t="str"/>
    </x:row>
    <x:row r="21">
      <x:c r="A21" s="61" t="str">
        <x:v>Serpent Hunter Predator</x:v>
      </x:c>
      <x:c r="B21" s="61" t="str">
        <x:v>Alien Head Predator</x:v>
      </x:c>
      <x:c r="C21" s="61" t="str">
        <x:v>NECA</x:v>
      </x:c>
      <x:c r="D21" s="61" t="str"/>
    </x:row>
    <x:row r="22">
      <x:c r="A22" s="61" t="str">
        <x:v>Shadow Predator</x:v>
      </x:c>
      <x:c r="B22" s="61" t="str">
        <x:v>Snake</x:v>
      </x:c>
      <x:c r="C22" s="61" t="str">
        <x:v>Predator 2 / NECA</x:v>
      </x:c>
      <x:c r="D22" s="61" t="str"/>
    </x:row>
    <x:row r="23">
      <x:c r="A23" s="61" t="str">
        <x:v>Ultimate Predator (2018)</x:v>
      </x:c>
      <x:c r="B23" s="61" t="str">
        <x:v>Upgrade Predator</x:v>
      </x:c>
      <x:c r="C23" s="61" t="str">
        <x:v>The Predator (2018)</x:v>
      </x:c>
      <x:c r="D23" s="61" t="str"/>
    </x:row>
  </x:sheetData>
  <x:pageMargins left="0.7" right="0.7" top="0.75" bottom="0.75" header="0.3" footer="0.3"/>
  <x:tableParts count="1">
    <x:tablePart xmlns:r="http://schemas.openxmlformats.org/officeDocument/2006/relationships" r:id="Re109e43e862a423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39" hidden="0" customWidth="1"/>
    <x:col min="4" max="4" width="58" hidden="0" customWidth="1"/>
  </x:cols>
  <x:sheetData>
    <x:row r="1">
      <x:c r="A1" s="65" t="str">
        <x:v>CLANS, MEUTES ET COLLECTIFS</x:v>
      </x:c>
      <x:c r="B1" s="65" t="str"/>
      <x:c r="C1" s="65" t="str"/>
      <x:c r="D1" s="65" t="str"/>
    </x:row>
    <x:row r="2">
      <x:c r="A2" s="66" t="str">
        <x:v>Nom</x:v>
      </x:c>
      <x:c r="B2" s="66" t="str">
        <x:v>Type</x:v>
      </x:c>
      <x:c r="C2" s="66" t="str">
        <x:v>Média / œuvre</x:v>
      </x:c>
      <x:c r="D2" s="66" t="str">
        <x:v>Membres ou remarque</x:v>
      </x:c>
    </x:row>
    <x:row r="3">
      <x:c r="A3" s="61" t="str">
        <x:v>Lost Tribe / Los Angeles hunting party</x:v>
      </x:c>
      <x:c r="B3" s="61" t="str">
        <x:v>Clan / groupe de chasse</x:v>
      </x:c>
      <x:c r="C3" s="61" t="str">
        <x:v>Predator 2</x:v>
      </x:c>
      <x:c r="D3" s="61" t="str">
        <x:v>Greyback, Boar, Borg, Guardian, Scout, Shaman, Snake, Stalker, Warrior, City Hunter</x:v>
      </x:c>
    </x:row>
    <x:row r="4">
      <x:c r="A4" s="61" t="str">
        <x:v>Jungle Hunter Clan</x:v>
      </x:c>
      <x:c r="B4" s="61" t="str">
        <x:v>Clan</x:v>
      </x:c>
      <x:c r="C4" s="61" t="str">
        <x:v>Predator / Prey / Killer of Killers</x:v>
      </x:c>
      <x:c r="D4" s="61" t="str">
        <x:v>Jungle Hunter; Feral Predator; autres selon continuités</x:v>
      </x:c>
    </x:row>
    <x:row r="5">
      <x:c r="A5" s="61" t="str">
        <x:v>Warlord's Clan</x:v>
      </x:c>
      <x:c r="B5" s="61" t="str">
        <x:v>Clan</x:v>
      </x:c>
      <x:c r="C5" s="61" t="str">
        <x:v>Killer of Killers</x:v>
      </x:c>
      <x:c r="D5" s="61" t="str">
        <x:v>Grendel King; Feral Predator; gardes et chasseurs anonymes</x:v>
      </x:c>
    </x:row>
    <x:row r="6">
      <x:c r="A6" s="61" t="str">
        <x:v>Dachande's Clan</x:v>
      </x:c>
      <x:c r="B6" s="61" t="str">
        <x:v>Clan</x:v>
      </x:c>
      <x:c r="C6" s="61" t="str">
        <x:v>AVP comics / Prey</x:v>
      </x:c>
      <x:c r="D6" s="61" t="str">
        <x:v>Dachande et sa meute</x:v>
      </x:c>
    </x:row>
    <x:row r="7">
      <x:c r="A7" s="61" t="str">
        <x:v>Top-Knot's Clan</x:v>
      </x:c>
      <x:c r="B7" s="61" t="str">
        <x:v>Clan</x:v>
      </x:c>
      <x:c r="C7" s="61" t="str">
        <x:v>AVP: War / Hunter's Planet</x:v>
      </x:c>
      <x:c r="D7" s="61" t="str">
        <x:v>Top-Knot et ses chasseurs</x:v>
      </x:c>
    </x:row>
    <x:row r="8">
      <x:c r="A8" s="61" t="str">
        <x:v>Elite Clan</x:v>
      </x:c>
      <x:c r="B8" s="61" t="str">
        <x:v>Clan</x:v>
      </x:c>
      <x:c r="C8" s="61" t="str">
        <x:v>AVP (2010)</x:v>
      </x:c>
      <x:c r="D8" s="61" t="str">
        <x:v>Dark, Wolf (Elite Clan), Spartan, Hunter et autres</x:v>
      </x:c>
    </x:row>
    <x:row r="9">
      <x:c r="A9" s="61" t="str">
        <x:v>Isolated Clan</x:v>
      </x:c>
      <x:c r="B9" s="61" t="str">
        <x:v>Clan</x:v>
      </x:c>
      <x:c r="C9" s="61" t="str">
        <x:v>AVP / jeux</x:v>
      </x:c>
      <x:c r="D9" s="61" t="str">
        <x:v>Groupe catalogué; composition variable</x:v>
      </x:c>
    </x:row>
    <x:row r="10">
      <x:c r="A10" s="61" t="str">
        <x:v>Night Hunter Clan</x:v>
      </x:c>
      <x:c r="B10" s="61" t="str">
        <x:v>Clan de merchandising</x:v>
      </x:c>
      <x:c r="C10" s="61" t="str">
        <x:v>Kenner / NECA</x:v>
      </x:c>
      <x:c r="D10" s="61" t="str">
        <x:v>Stalker et autres personnages de la ligne</x:v>
      </x:c>
    </x:row>
    <x:row r="11">
      <x:c r="A11" s="61" t="str">
        <x:v>Rogue Space Tribe</x:v>
      </x:c>
      <x:c r="B11" s="61" t="str">
        <x:v>Clan de Bad Bloods</x:v>
      </x:c>
      <x:c r="C11" s="61" t="str">
        <x:v>Biographies NECA</x:v>
      </x:c>
      <x:c r="D11" s="61" t="str">
        <x:v>Spiked Tail, Lasershot et associés</x:v>
      </x:c>
    </x:row>
    <x:row r="12">
      <x:c r="A12" s="61" t="str">
        <x:v>Killers Clan</x:v>
      </x:c>
      <x:c r="B12" s="61" t="str">
        <x:v>Clan hostile</x:v>
      </x:c>
      <x:c r="C12" s="61" t="str">
        <x:v>AVP: Three World War</x:v>
      </x:c>
      <x:c r="D12" s="61" t="str">
        <x:v>Collectif de Killers</x:v>
      </x:c>
    </x:row>
    <x:row r="13">
      <x:c r="A13" s="61" t="str">
        <x:v>Super Predators</x:v>
      </x:c>
      <x:c r="B13" s="61" t="str">
        <x:v>Branche / clan</x:v>
      </x:c>
      <x:c r="C13" s="61" t="str">
        <x:v>Predators (2010)</x:v>
      </x:c>
      <x:c r="D13" s="61" t="str">
        <x:v>Berserker/Mr. Black, Falconer, Tracker; dérivés</x:v>
      </x:c>
    </x:row>
    <x:row r="14">
      <x:c r="A14" s="61" t="str">
        <x:v>Exiles</x:v>
      </x:c>
      <x:c r="B14" s="61" t="str">
        <x:v>Groupe</x:v>
      </x:c>
      <x:c r="C14" s="61" t="str">
        <x:v>Comics</x:v>
      </x:c>
      <x:c r="D14" s="61" t="str">
        <x:v>Collectif, pas un individu</x:v>
      </x:c>
    </x:row>
    <x:row r="15">
      <x:c r="A15" s="61" t="str">
        <x:v>Captured Hunters</x:v>
      </x:c>
      <x:c r="B15" s="61" t="str">
        <x:v>Groupe</x:v>
      </x:c>
      <x:c r="C15" s="61" t="str">
        <x:v>Jeux</x:v>
      </x:c>
      <x:c r="D15" s="61" t="str">
        <x:v>Plusieurs Yautja capturés</x:v>
      </x:c>
    </x:row>
    <x:row r="16">
      <x:c r="A16" s="61" t="str">
        <x:v>Dominator Predators</x:v>
      </x:c>
      <x:c r="B16" s="61" t="str">
        <x:v>Groupe génétiquement modifié</x:v>
      </x:c>
      <x:c r="C16" s="61" t="str">
        <x:v>JLA versus Predator</x:v>
      </x:c>
      <x:c r="D16" s="61" t="str">
        <x:v>Collectif crossover DC</x:v>
      </x:c>
    </x:row>
    <x:row r="17">
      <x:c r="A17" s="61" t="str">
        <x:v>Unnamed Gateway Predators</x:v>
      </x:c>
      <x:c r="B17" s="61" t="str">
        <x:v>Groupe anonyme</x:v>
      </x:c>
      <x:c r="C17" s="61" t="str">
        <x:v>Jeux</x:v>
      </x:c>
      <x:c r="D17" s="61" t="str">
        <x:v>Plusieurs Yautja sans noms individuels</x:v>
      </x:c>
    </x:row>
    <x:row r="18">
      <x:c r="A18" s="61" t="str">
        <x:v>Three Sparks (Aokigahara)</x:v>
      </x:c>
      <x:c r="B18" s="61" t="str">
        <x:v>Collectif de trois</x:v>
      </x:c>
      <x:c r="C18" s="61" t="str">
        <x:v>Univers étendu</x:v>
      </x:c>
      <x:c r="D18" s="61" t="str">
        <x:v>Désignation collective</x:v>
      </x:c>
    </x:row>
    <x:row r="19">
      <x:c r="A19" s="61"/>
      <x:c r="B19" s="61"/>
      <x:c r="C19" s="61"/>
      <x:c r="D19" s="61"/>
    </x:row>
    <x:row r="20">
      <x:c r="A20" s="65" t="str">
        <x:v>ESPÈCES, BRANCHES, RANGS ET CLASSES</x:v>
      </x:c>
      <x:c r="B20" s="65"/>
      <x:c r="C20" s="65"/>
      <x:c r="D20" s="65"/>
    </x:row>
    <x:row r="21">
      <x:c r="A21" s="66" t="str">
        <x:v>Nom</x:v>
      </x:c>
      <x:c r="B21" s="66" t="str">
        <x:v>Catégorie</x:v>
      </x:c>
      <x:c r="C21" s="66" t="str">
        <x:v>Définition / remarque</x:v>
      </x:c>
      <x:c r="D21" s="61"/>
    </x:row>
    <x:row r="22">
      <x:c r="A22" s="61" t="str">
        <x:v>Yautja</x:v>
      </x:c>
      <x:c r="B22" s="61" t="str">
        <x:v>Espèce</x:v>
      </x:c>
      <x:c r="C22" s="61" t="str">
        <x:v>Nom introduit dans la prose AVP puis utilisé à l'écran.</x:v>
      </x:c>
      <x:c r="D22" s="61"/>
    </x:row>
    <x:row r="23">
      <x:c r="A23" s="61" t="str">
        <x:v>Hish-qu-Ten</x:v>
      </x:c>
      <x:c r="B23" s="61" t="str">
        <x:v>Espèce apparentée / autre continuité</x:v>
      </x:c>
      <x:c r="C23" s="61" t="str">
        <x:v>À ne pas fusionner automatiquement avec tous les Yautja.</x:v>
      </x:c>
      <x:c r="D23" s="61"/>
    </x:row>
    <x:row r="24">
      <x:c r="A24" s="61" t="str">
        <x:v>Super Predator</x:v>
      </x:c>
      <x:c r="B24" s="61" t="str">
        <x:v>Branche / sous-type</x:v>
      </x:c>
      <x:c r="C24" s="61" t="str">
        <x:v>Lignée/clan de Predators (2010).</x:v>
      </x:c>
      <x:c r="D24" s="61"/>
    </x:row>
    <x:row r="25">
      <x:c r="A25" s="61" t="str">
        <x:v>Feral branch</x:v>
      </x:c>
      <x:c r="B25" s="61" t="str">
        <x:v>Branche morphologique</x:v>
      </x:c>
      <x:c r="C25" s="61" t="str">
        <x:v>Feral et son clan diffèrent des Yautja classiques.</x:v>
      </x:c>
      <x:c r="D25" s="61"/>
    </x:row>
    <x:row r="26">
      <x:c r="A26" s="61" t="str">
        <x:v>Translucent Yautja</x:v>
      </x:c>
      <x:c r="B26" s="61" t="str">
        <x:v>Sous-type</x:v>
      </x:c>
      <x:c r="C26" s="61" t="str">
        <x:v>Entrée de l'univers étendu.</x:v>
      </x:c>
      <x:c r="D26" s="61"/>
    </x:row>
    <x:row r="27">
      <x:c r="A27" s="61" t="str">
        <x:v>Scout's subspecies</x:v>
      </x:c>
      <x:c r="B27" s="61" t="str">
        <x:v>Sous-type non nommé</x:v>
      </x:c>
      <x:c r="C27" s="61" t="str">
        <x:v>Désignation communautaire.</x:v>
      </x:c>
      <x:c r="D27" s="61"/>
    </x:row>
    <x:row r="28">
      <x:c r="A28" s="61" t="str">
        <x:v>Mutated Yautja</x:v>
      </x:c>
      <x:c r="B28" s="61" t="str">
        <x:v>Mutation</x:v>
      </x:c>
      <x:c r="C28" s="61" t="str">
        <x:v>Individu/type de l'univers étendu.</x:v>
      </x:c>
      <x:c r="D28" s="61"/>
    </x:row>
    <x:row r="29">
      <x:c r="A29" s="61" t="str">
        <x:v>Four-armed Predator</x:v>
      </x:c>
      <x:c r="B29" s="61" t="str">
        <x:v>Mutation / variation</x:v>
      </x:c>
      <x:c r="C29" s="61" t="str">
        <x:v>Individu à quatre bras.</x:v>
      </x:c>
      <x:c r="D29" s="61"/>
    </x:row>
    <x:row r="30">
      <x:c r="A30" s="61" t="str">
        <x:v>Upgrade / Assassin</x:v>
      </x:c>
      <x:c r="B30" s="61" t="str">
        <x:v>Hybride génétiquement amélioré</x:v>
      </x:c>
      <x:c r="C30" s="61" t="str">
        <x:v>The Predator (2018).</x:v>
      </x:c>
      <x:c r="D30" s="61"/>
    </x:row>
    <x:row r="31">
      <x:c r="A31" s="61" t="str">
        <x:v>Fugitive / Rogue</x:v>
      </x:c>
      <x:c r="B31" s="61" t="str">
        <x:v>Yautja modifié</x:v>
      </x:c>
      <x:c r="C31" s="61" t="str">
        <x:v>The Predator (2018).</x:v>
      </x:c>
      <x:c r="D31" s="61"/>
    </x:row>
    <x:row r="32">
      <x:c r="A32" s="61" t="str">
        <x:v>Un-Blooded</x:v>
      </x:c>
      <x:c r="B32" s="61" t="str">
        <x:v>Rang</x:v>
      </x:c>
      <x:c r="C32" s="61" t="str">
        <x:v>Novice n'ayant pas encore été marqué.</x:v>
      </x:c>
      <x:c r="D32" s="61"/>
    </x:row>
    <x:row r="33">
      <x:c r="A33" s="61" t="str">
        <x:v>Young Blood</x:v>
      </x:c>
      <x:c r="B33" s="61" t="str">
        <x:v>Rang</x:v>
      </x:c>
      <x:c r="C33" s="61" t="str">
        <x:v>Jeune chasseur en rite de passage.</x:v>
      </x:c>
      <x:c r="D33" s="61"/>
    </x:row>
    <x:row r="34">
      <x:c r="A34" s="61" t="str">
        <x:v>Blooded</x:v>
      </x:c>
      <x:c r="B34" s="61" t="str">
        <x:v>Rang</x:v>
      </x:c>
      <x:c r="C34" s="61" t="str">
        <x:v>Chasseur ayant achevé son rite.</x:v>
      </x:c>
      <x:c r="D34" s="61"/>
    </x:row>
    <x:row r="35">
      <x:c r="A35" s="61" t="str">
        <x:v>Elite</x:v>
      </x:c>
      <x:c r="B35" s="61" t="str">
        <x:v>Rang</x:v>
      </x:c>
      <x:c r="C35" s="61" t="str">
        <x:v>Chasseur vétéran d'élite.</x:v>
      </x:c>
      <x:c r="D35" s="61"/>
    </x:row>
    <x:row r="36">
      <x:c r="A36" s="61" t="str">
        <x:v>Elder</x:v>
      </x:c>
      <x:c r="B36" s="61" t="str">
        <x:v>Rang</x:v>
      </x:c>
      <x:c r="C36" s="61" t="str">
        <x:v>Ancien / chef expérimenté.</x:v>
      </x:c>
      <x:c r="D36" s="61"/>
    </x:row>
    <x:row r="37">
      <x:c r="A37" s="61" t="str">
        <x:v>Clan Leader</x:v>
      </x:c>
      <x:c r="B37" s="61" t="str">
        <x:v>Rang</x:v>
      </x:c>
      <x:c r="C37" s="61" t="str">
        <x:v>Chef de clan.</x:v>
      </x:c>
      <x:c r="D37" s="61"/>
    </x:row>
    <x:row r="38">
      <x:c r="A38" s="61" t="str">
        <x:v>Enforcer</x:v>
      </x:c>
      <x:c r="B38" s="61" t="str">
        <x:v>Fonction</x:v>
      </x:c>
      <x:c r="C38" s="61" t="str">
        <x:v>Chasseur chargé de traquer les Bad Bloods.</x:v>
      </x:c>
      <x:c r="D38" s="61"/>
    </x:row>
    <x:row r="39">
      <x:c r="A39" s="61" t="str">
        <x:v>Bad Blood</x:v>
      </x:c>
      <x:c r="B39" s="61" t="str">
        <x:v>Statut</x:v>
      </x:c>
      <x:c r="C39" s="61" t="str">
        <x:v>Yautja ayant gravement violé le code d'honneur.</x:v>
      </x:c>
      <x:c r="D39" s="61"/>
    </x:row>
    <x:row r="40">
      <x:c r="A40" s="61" t="str">
        <x:v>Hunter</x:v>
      </x:c>
      <x:c r="B40" s="61" t="str">
        <x:v>Classe / titre</x:v>
      </x:c>
      <x:c r="C40" s="61" t="str">
        <x:v>Terme générique et classe de jeu.</x:v>
      </x:c>
      <x:c r="D40" s="61"/>
    </x:row>
    <x:row r="41">
      <x:c r="A41" s="61" t="str">
        <x:v>Stalker</x:v>
      </x:c>
      <x:c r="B41" s="61" t="str">
        <x:v>Classe / titre</x:v>
      </x:c>
      <x:c r="C41" s="61" t="str">
        <x:v>Titre/skin distinct de plusieurs individus appelés Stalker.</x:v>
      </x:c>
      <x:c r="D41" s="61"/>
    </x:row>
    <x:row r="42">
      <x:c r="A42" s="61" t="str">
        <x:v>Brawler</x:v>
      </x:c>
      <x:c r="B42" s="61" t="str">
        <x:v>Classe de jeu</x:v>
      </x:c>
      <x:c r="C42" s="61" t="str">
        <x:v>Archétype de combat.</x:v>
      </x:c>
      <x:c r="D42" s="61"/>
    </x:row>
    <x:row r="43">
      <x:c r="A43" s="61" t="str">
        <x:v>Disc Master</x:v>
      </x:c>
      <x:c r="B43" s="61" t="str">
        <x:v>Classe de jeu</x:v>
      </x:c>
      <x:c r="C43" s="61" t="str">
        <x:v>Archétype lié au Smart Disc.</x:v>
      </x:c>
      <x:c r="D43" s="61"/>
    </x:row>
    <x:row r="44">
      <x:c r="A44" s="61" t="str">
        <x:v>Spear Master</x:v>
      </x:c>
      <x:c r="B44" s="61" t="str">
        <x:v>Classe de jeu</x:v>
      </x:c>
      <x:c r="C44" s="61" t="str">
        <x:v>Archétype lié à la lance.</x:v>
      </x:c>
      <x:c r="D44" s="61"/>
    </x:row>
    <x:row r="45">
      <x:c r="A45" s="61" t="str">
        <x:v>Blazer</x:v>
      </x:c>
      <x:c r="B45" s="61" t="str">
        <x:v>Classe de jeu</x:v>
      </x:c>
      <x:c r="C45" s="61" t="str">
        <x:v>Archétype/titre.</x:v>
      </x:c>
      <x:c r="D45" s="61"/>
    </x:row>
  </x:sheetData>
  <x:mergeCells>
    <x:mergeCell ref="A1:D1"/>
    <x:mergeCell ref="A20:D2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0" hidden="0" customWidth="1"/>
    <x:col min="3" max="3" width="70" hidden="0" customWidth="1"/>
  </x:cols>
  <x:sheetData>
    <x:row r="1" ht="32" customHeight="1">
      <x:c r="A1" s="53" t="str">
        <x:v>Entrée souvent confondue</x:v>
      </x:c>
      <x:c r="B1" s="53" t="str">
        <x:v>Nature réelle</x:v>
      </x:c>
      <x:c r="C1" s="53" t="str">
        <x:v>Pourquoi elle n'est pas comptée comme Yautja distinct</x:v>
      </x:c>
    </x:row>
    <x:row r="2">
      <x:c r="A2" s="61" t="str">
        <x:v>Machiko Noguchi</x:v>
      </x:c>
      <x:c r="B2" s="61" t="str">
        <x:v>Humaine Blooded</x:v>
      </x:c>
      <x:c r="C2" s="61" t="str">
        <x:v>Adoptée par un clan Yautja; pas biologiquement Yautja.</x:v>
      </x:c>
    </x:row>
    <x:row r="3">
      <x:c r="A3" s="61" t="str">
        <x:v>Alexa 'Lex' Woods</x:v>
      </x:c>
      <x:c r="B3" s="61" t="str">
        <x:v>Humaine marquée</x:v>
      </x:c>
      <x:c r="C3" s="61" t="str">
        <x:v>Reçoit la marque de Scar; pas Yautja.</x:v>
      </x:c>
    </x:row>
    <x:row r="4">
      <x:c r="A4" s="61" t="str">
        <x:v>Predalien / Abomination</x:v>
      </x:c>
      <x:c r="B4" s="61" t="str">
        <x:v>Hybride xénomorphe</x:v>
      </x:c>
      <x:c r="C4" s="61" t="str">
        <x:v>Issu d'un hôte Yautja, mais classé Xénomorphe/hybride.</x:v>
      </x:c>
    </x:row>
    <x:row r="5">
      <x:c r="A5" s="61" t="str">
        <x:v>Predator Hound</x:v>
      </x:c>
      <x:c r="B5" s="61" t="str">
        <x:v>Animal</x:v>
      </x:c>
      <x:c r="C5" s="61" t="str">
        <x:v>Créature de chasse, pas un Yautja.</x:v>
      </x:c>
    </x:row>
    <x:row r="6">
      <x:c r="A6" s="61" t="str">
        <x:v>Predator Killer armor</x:v>
      </x:c>
      <x:c r="B6" s="61" t="str">
        <x:v>Équipement</x:v>
      </x:c>
      <x:c r="C6" s="61" t="str">
        <x:v>Armure/arme, pas un individu.</x:v>
      </x:c>
    </x:row>
    <x:row r="7">
      <x:c r="A7" s="61" t="str">
        <x:v>Dutch, Harrigan, Naru, Ursa, Kenji, Torres</x:v>
      </x:c>
      <x:c r="B7" s="61" t="str">
        <x:v>Humains</x:v>
      </x:c>
      <x:c r="C7" s="61" t="str">
        <x:v>Tueurs ou captifs des Yautja, pas des Yautja.</x:v>
      </x:c>
    </x:row>
    <x:row r="8">
      <x:c r="A8" s="61" t="str">
        <x:v>Repaints sans nouveau nom</x:v>
      </x:c>
      <x:c r="B8" s="61" t="str">
        <x:v>Variante de SKU</x:v>
      </x:c>
      <x:c r="C8" s="61" t="str">
        <x:v>Non comptés comme nouvelle identité.</x:v>
      </x:c>
    </x:row>
    <x:row r="9">
      <x:c r="A9" s="61" t="str">
        <x:v>Customs privés / OCs / cosplays</x:v>
      </x:c>
      <x:c r="B9" s="61" t="str">
        <x:v>Créations non indexables</x:v>
      </x:c>
      <x:c r="C9" s="61" t="str">
        <x:v>Pas de registre mondial; exclus du périmètre exhaustif vérifiable.</x:v>
      </x:c>
    </x:row>
  </x:sheetData>
  <x:pageMargins left="0.7" right="0.7" top="0.75" bottom="0.75" header="0.3" footer="0.3"/>
  <x:tableParts count="1">
    <x:tablePart xmlns:r="http://schemas.openxmlformats.org/officeDocument/2006/relationships" r:id="Ra66c74c1567244b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62" hidden="0" customWidth="1"/>
    <x:col min="3" max="3" width="70" hidden="0" customWidth="1"/>
  </x:cols>
  <x:sheetData>
    <x:row r="1" ht="32" customHeight="1">
      <x:c r="A1" s="53" t="str">
        <x:v>Source / corpus</x:v>
      </x:c>
      <x:c r="B1" s="53" t="str">
        <x:v>URL</x:v>
      </x:c>
      <x:c r="C1" s="53" t="str">
        <x:v>Utilisation et limites</x:v>
      </x:c>
    </x:row>
    <x:row r="2">
      <x:c r="A2" s="61" t="str">
        <x:v>Catalogue communautaire principal</x:v>
      </x:c>
      <x:c r="B2" s="61" t="str">
        <x:v>https://avp.fandom.com/wiki/Category:Yautja_individuals</x:v>
      </x:c>
      <x:c r="C2" s="61" t="str">
        <x:v>Base de départ; la catégorie mélange individus, groupes et humains Blooded.</x:v>
      </x:c>
    </x:row>
    <x:row r="3">
      <x:c r="A3" s="61" t="str">
        <x:v>Espèce Yautja</x:v>
      </x:c>
      <x:c r="B3" s="61" t="str">
        <x:v>https://avp.fandom.com/wiki/Yautja_(Predator)</x:v>
      </x:c>
      <x:c r="C3" s="61" t="str">
        <x:v>Terminologie, culture, liens vers personnages.</x:v>
      </x:c>
    </x:row>
    <x:row r="4">
      <x:c r="A4" s="61" t="str">
        <x:v>Predator: Killer of Killers</x:v>
      </x:c>
      <x:c r="B4" s="61" t="str">
        <x:v>https://avp.fandom.com/wiki/Predator:_Killer_of_Killers</x:v>
      </x:c>
      <x:c r="C4" s="61" t="str">
        <x:v>Animation officielle de 2025.</x:v>
      </x:c>
    </x:row>
    <x:row r="5">
      <x:c r="A5" s="61" t="str">
        <x:v>Predator: Badlands</x:v>
      </x:c>
      <x:c r="B5" s="61" t="str">
        <x:v>https://www.20thcenturystudios.com/movies/predator-badlands</x:v>
      </x:c>
      <x:c r="C5" s="61" t="str">
        <x:v>Film officiel de 2025.</x:v>
      </x:c>
    </x:row>
    <x:row r="6">
      <x:c r="A6" s="61" t="str">
        <x:v>Predator: Hunting Grounds</x:v>
      </x:c>
      <x:c r="B6" s="61" t="str">
        <x:v>https://www.predatorhuntinggrounds.com/</x:v>
      </x:c>
      <x:c r="C6" s="61" t="str">
        <x:v>Personnages jouables et mises à jour.</x:v>
      </x:c>
    </x:row>
    <x:row r="7">
      <x:c r="A7" s="61" t="str">
        <x:v>Anime AVP: Annihilation</x:v>
      </x:c>
      <x:c r="B7" s="61" t="str">
        <x:v>https://www.avpgalaxy.net/tv/avp-annihilation/</x:v>
      </x:c>
      <x:c r="C7" s="61" t="str">
        <x:v>Anime CG achevé mais non diffusé; informations publiques sur Bone et le cyborg.</x:v>
      </x:c>
    </x:row>
    <x:row r="8">
      <x:c r="A8" s="61" t="str">
        <x:v>Kenner Predator</x:v>
      </x:c>
      <x:c r="B8" s="61" t="str">
        <x:v>https://avp.fandom.com/wiki/Kenner_Predator_action_figures</x:v>
      </x:c>
      <x:c r="C8" s="61" t="str">
        <x:v>Gammes Kenner et identités de merchandising.</x:v>
      </x:c>
    </x:row>
    <x:row r="9">
      <x:c r="A9" s="61" t="str">
        <x:v>NECA Predator</x:v>
      </x:c>
      <x:c r="B9" s="61" t="str">
        <x:v>https://necaonline.com/?s=predator</x:v>
      </x:c>
      <x:c r="C9" s="61" t="str">
        <x:v>Pages produit et sorties NECA.</x:v>
      </x:c>
    </x:row>
    <x:row r="10">
      <x:c r="A10" s="61" t="str">
        <x:v>Fan films</x:v>
      </x:c>
      <x:c r="B10" s="61" t="str">
        <x:v>https://avp.fandom.com/wiki/Category:Fan_films</x:v>
      </x:c>
      <x:c r="C10" s="61" t="str">
        <x:v>Point de départ non exhaustif pour les productions de fans.</x:v>
      </x:c>
    </x:row>
    <x:row r="11">
      <x:c r="A11" s="61" t="str">
        <x:v>Batman: Dead End</x:v>
      </x:c>
      <x:c r="B11" s="61" t="str">
        <x:v>https://avp.fandom.com/wiki/Batman:_Dead_End</x:v>
      </x:c>
      <x:c r="C11" s="61" t="str">
        <x:v>Big Red, Wasp et Albino; fan-film licencié en produits dérivés.</x:v>
      </x:c>
    </x:row>
  </x:sheetData>
  <x:pageMargins left="0.7" right="0.7" top="0.75" bottom="0.75" header="0.3" footer="0.3"/>
  <x:tableParts count="1">
    <x:tablePart xmlns:r="http://schemas.openxmlformats.org/officeDocument/2006/relationships" r:id="R426ab7dca5b04964"/>
  </x:tableParts>
</x:worksheet>
</file>